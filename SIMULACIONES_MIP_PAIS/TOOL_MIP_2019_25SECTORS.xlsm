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02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niandes-my.sharepoint.com/personal/ja_guerrae_uniandes_edu_co/Documents/11. DOCUMENTO CEDE TRANSICION ENR/SIMULACIONES_MIP_ENERGY_TRANSITION/SIMULACIONES_MIP_PAIS/"/>
    </mc:Choice>
  </mc:AlternateContent>
  <xr:revisionPtr revIDLastSave="4048" documentId="13_ncr:1_{0BF81BAB-D9A2-49A5-B3E2-EBC33B089386}" xr6:coauthVersionLast="47" xr6:coauthVersionMax="47" xr10:uidLastSave="{AC29FFA1-B0D4-4D30-83AF-D1BC0A84EABC}"/>
  <bookViews>
    <workbookView xWindow="12946" yWindow="0" windowWidth="13232" windowHeight="14047" tabRatio="712" activeTab="1" xr2:uid="{00000000-000D-0000-FFFF-FFFF00000000}"/>
  </bookViews>
  <sheets>
    <sheet name="Cuadro 10" sheetId="26" r:id="rId1"/>
    <sheet name="Herramienta choques" sheetId="25" r:id="rId2"/>
    <sheet name="Hoja1" sheetId="24" r:id="rId3"/>
    <sheet name="Graph_demand" sheetId="21" r:id="rId4"/>
    <sheet name="Graph_supply" sheetId="19" r:id="rId5"/>
    <sheet name="Graph_supply&amp;demand" sheetId="20" r:id="rId6"/>
    <sheet name="Graph_demand_Tourism" sheetId="22" r:id="rId7"/>
    <sheet name="Graph_supply_Agrop" sheetId="23" r:id="rId8"/>
  </sheets>
  <externalReferences>
    <externalReference r:id="rId9"/>
    <externalReference r:id="rId10"/>
    <externalReference r:id="rId11"/>
  </externalReferences>
  <definedNames>
    <definedName name="_xlnm._FilterDatabase" localSheetId="3" hidden="1">Graph_demand!$A$1:$G$1</definedName>
    <definedName name="_xlnm._FilterDatabase" localSheetId="6" hidden="1">Graph_demand_Tourism!$A$1:$G$1</definedName>
    <definedName name="_xlnm._FilterDatabase" localSheetId="4" hidden="1">Graph_supply!$A$1:$G$1</definedName>
    <definedName name="_xlnm._FilterDatabase" localSheetId="5" hidden="1">'Graph_supply&amp;demand'!$A$1:$G$1</definedName>
    <definedName name="_xlnm._FilterDatabase" localSheetId="7" hidden="1">Graph_supply_Agrop!$A$1:$G$1</definedName>
    <definedName name="_xlnm.Print_Area">#REF!</definedName>
    <definedName name="FECHA" localSheetId="0">#REF!</definedName>
    <definedName name="FECHA">#REF!</definedName>
    <definedName name="k120.">#REF!</definedName>
    <definedName name="Logico">[1]Configuracion!$A$4:$A$5</definedName>
    <definedName name="Naturaleza1">#REF!</definedName>
    <definedName name="PERIODO" localSheetId="0">#REF!</definedName>
    <definedName name="PERIODO">#REF!</definedName>
    <definedName name="Print_Area">#REF!</definedName>
    <definedName name="Print_Titles">#REF!,#REF!</definedName>
    <definedName name="Rama1">#REF!</definedName>
    <definedName name="RangoCriterio2">[2]Detalle!$K$1:$K$65536</definedName>
    <definedName name="RangoValor">[2]Detalle!$I$1:$I$65536</definedName>
    <definedName name="Sector1">[3]Cuentas_Corrientes!$A$133:$I$133</definedName>
    <definedName name="Sector3">#REF!</definedName>
    <definedName name="Sector4">#REF!</definedName>
    <definedName name="TITULO" localSheetId="0">#REF!</definedName>
    <definedName name="TITULO">#REF!</definedName>
    <definedName name="_xlnm.Print_Titles">#REF!,#REF!</definedName>
    <definedName name="Transaccion1">#REF!</definedName>
    <definedName name="VA" localSheetId="0">#REF!</definedName>
    <definedName name="VA">#REF!</definedName>
    <definedName name="VA_Ktes" localSheetId="0">#REF!</definedName>
    <definedName name="VA_Ktes">#REF!</definedName>
    <definedName name="Valoracion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2" i="26" l="1"/>
  <c r="AC12" i="26"/>
  <c r="AD12" i="26"/>
  <c r="AE12" i="26"/>
  <c r="AB13" i="26"/>
  <c r="AC13" i="26"/>
  <c r="AD13" i="26"/>
  <c r="AE13" i="26"/>
  <c r="AB14" i="26"/>
  <c r="AC14" i="26"/>
  <c r="AD14" i="26"/>
  <c r="AE14" i="26"/>
  <c r="AB15" i="26"/>
  <c r="AC15" i="26"/>
  <c r="AD15" i="26"/>
  <c r="AE15" i="26"/>
  <c r="AB16" i="26"/>
  <c r="AC16" i="26"/>
  <c r="AD16" i="26"/>
  <c r="AE16" i="26"/>
  <c r="AB17" i="26"/>
  <c r="AC17" i="26"/>
  <c r="AD17" i="26"/>
  <c r="AE17" i="26"/>
  <c r="AB18" i="26"/>
  <c r="AC18" i="26"/>
  <c r="AD18" i="26"/>
  <c r="AE18" i="26"/>
  <c r="AB19" i="26"/>
  <c r="AC19" i="26"/>
  <c r="AD19" i="26"/>
  <c r="AE19" i="26"/>
  <c r="AB20" i="26"/>
  <c r="AC20" i="26"/>
  <c r="AD20" i="26"/>
  <c r="AE20" i="26"/>
  <c r="AB21" i="26"/>
  <c r="AC21" i="26"/>
  <c r="AD21" i="26"/>
  <c r="AE21" i="26"/>
  <c r="AB22" i="26"/>
  <c r="AC22" i="26"/>
  <c r="AD22" i="26"/>
  <c r="AE22" i="26"/>
  <c r="AB23" i="26"/>
  <c r="AC23" i="26"/>
  <c r="AD23" i="26"/>
  <c r="AE23" i="26"/>
  <c r="AB24" i="26"/>
  <c r="AC24" i="26"/>
  <c r="AD24" i="26"/>
  <c r="AE24" i="26"/>
  <c r="AB25" i="26"/>
  <c r="AC25" i="26"/>
  <c r="AD25" i="26"/>
  <c r="AE25" i="26"/>
  <c r="AB26" i="26"/>
  <c r="AC26" i="26"/>
  <c r="AD26" i="26"/>
  <c r="AE26" i="26"/>
  <c r="AB27" i="26"/>
  <c r="AC27" i="26"/>
  <c r="AD27" i="26"/>
  <c r="AE27" i="26"/>
  <c r="AB28" i="26"/>
  <c r="AC28" i="26"/>
  <c r="AD28" i="26"/>
  <c r="AE28" i="26"/>
  <c r="AB29" i="26"/>
  <c r="AC29" i="26"/>
  <c r="AD29" i="26"/>
  <c r="AE29" i="26"/>
  <c r="AB30" i="26"/>
  <c r="AC30" i="26"/>
  <c r="AD30" i="26"/>
  <c r="AE30" i="26"/>
  <c r="AB31" i="26"/>
  <c r="AC31" i="26"/>
  <c r="AD31" i="26"/>
  <c r="AE31" i="26"/>
  <c r="AB32" i="26"/>
  <c r="AC32" i="26"/>
  <c r="AD32" i="26"/>
  <c r="AE32" i="26"/>
  <c r="AB33" i="26"/>
  <c r="AC33" i="26"/>
  <c r="AD33" i="26"/>
  <c r="AE33" i="26"/>
  <c r="AB34" i="26"/>
  <c r="AC34" i="26"/>
  <c r="AD34" i="26"/>
  <c r="AE34" i="26"/>
  <c r="AB35" i="26"/>
  <c r="AC35" i="26"/>
  <c r="AD35" i="26"/>
  <c r="AE35" i="26"/>
  <c r="AB36" i="26"/>
  <c r="AC36" i="26"/>
  <c r="AD36" i="26"/>
  <c r="AE36" i="26"/>
  <c r="AB37" i="26"/>
  <c r="AC37" i="26"/>
  <c r="AD37" i="26"/>
  <c r="AE37" i="26"/>
  <c r="AB38" i="26"/>
  <c r="AC38" i="26"/>
  <c r="AD38" i="26"/>
  <c r="AE38" i="26"/>
  <c r="AB39" i="26"/>
  <c r="AC39" i="26"/>
  <c r="AD39" i="26"/>
  <c r="AE39" i="26"/>
  <c r="AB40" i="26"/>
  <c r="AC40" i="26"/>
  <c r="AD40" i="26"/>
  <c r="AE40" i="26"/>
  <c r="AE11" i="26"/>
  <c r="AB11" i="26"/>
  <c r="AC11" i="26"/>
  <c r="AD11" i="26"/>
  <c r="AD10" i="26"/>
  <c r="AE10" i="26"/>
  <c r="AC10" i="26"/>
  <c r="AB10" i="26"/>
  <c r="V23" i="26"/>
  <c r="V24" i="26"/>
  <c r="W24" i="26"/>
  <c r="X24" i="26"/>
  <c r="Y24" i="26"/>
  <c r="Z24" i="26"/>
  <c r="W23" i="26"/>
  <c r="X23" i="26"/>
  <c r="Y23" i="26"/>
  <c r="Z23" i="26"/>
  <c r="V20" i="26"/>
  <c r="W20" i="26"/>
  <c r="X20" i="26"/>
  <c r="Y20" i="26"/>
  <c r="Z20" i="26"/>
  <c r="W19" i="26"/>
  <c r="X19" i="26"/>
  <c r="Y19" i="26"/>
  <c r="Z19" i="26"/>
  <c r="V19" i="26"/>
  <c r="V11" i="26"/>
  <c r="V12" i="26"/>
  <c r="W12" i="26"/>
  <c r="X12" i="26"/>
  <c r="Y12" i="26"/>
  <c r="Z12" i="26"/>
  <c r="V13" i="26"/>
  <c r="W13" i="26"/>
  <c r="X13" i="26"/>
  <c r="Y13" i="26"/>
  <c r="Z13" i="26"/>
  <c r="V14" i="26"/>
  <c r="W14" i="26"/>
  <c r="X14" i="26"/>
  <c r="Y14" i="26"/>
  <c r="Z14" i="26"/>
  <c r="V15" i="26"/>
  <c r="W15" i="26"/>
  <c r="X15" i="26"/>
  <c r="Y15" i="26"/>
  <c r="Z15" i="26"/>
  <c r="W11" i="26"/>
  <c r="X11" i="26"/>
  <c r="Y11" i="26"/>
  <c r="Z11" i="26"/>
  <c r="Q24" i="26"/>
  <c r="AP17" i="25"/>
  <c r="Q20" i="26"/>
  <c r="AP13" i="25"/>
  <c r="AT18" i="25"/>
  <c r="S40" i="25"/>
  <c r="D55" i="25" s="1"/>
  <c r="AU17" i="25" l="1"/>
  <c r="I45" i="25" l="1"/>
  <c r="J45" i="25"/>
  <c r="K45" i="25"/>
  <c r="M45" i="25"/>
  <c r="N45" i="25"/>
  <c r="P45" i="25"/>
  <c r="Q45" i="25"/>
  <c r="R45" i="25"/>
  <c r="S45" i="25"/>
  <c r="U45" i="25"/>
  <c r="V45" i="25"/>
  <c r="W45" i="25"/>
  <c r="X45" i="25"/>
  <c r="Y45" i="25"/>
  <c r="Z45" i="25"/>
  <c r="AB45" i="25"/>
  <c r="AC45" i="25"/>
  <c r="AD45" i="25"/>
  <c r="AE45" i="25"/>
  <c r="AF45" i="25"/>
  <c r="AG45" i="25"/>
  <c r="AH45" i="25"/>
  <c r="AI45" i="25"/>
  <c r="AJ45" i="25"/>
  <c r="I46" i="25"/>
  <c r="J46" i="25"/>
  <c r="K46" i="25"/>
  <c r="M46" i="25"/>
  <c r="N46" i="25"/>
  <c r="P46" i="25"/>
  <c r="Q46" i="25"/>
  <c r="R46" i="25"/>
  <c r="S46" i="25"/>
  <c r="U46" i="25"/>
  <c r="V46" i="25"/>
  <c r="W46" i="25"/>
  <c r="X46" i="25"/>
  <c r="Y46" i="25"/>
  <c r="Z46" i="25"/>
  <c r="AB46" i="25"/>
  <c r="AC46" i="25"/>
  <c r="AD46" i="25"/>
  <c r="AE46" i="25"/>
  <c r="AF46" i="25"/>
  <c r="AG46" i="25"/>
  <c r="AH46" i="25"/>
  <c r="AI46" i="25"/>
  <c r="AJ46" i="25"/>
  <c r="I47" i="25"/>
  <c r="J47" i="25"/>
  <c r="K47" i="25"/>
  <c r="M47" i="25"/>
  <c r="N47" i="25"/>
  <c r="P47" i="25"/>
  <c r="Q47" i="25"/>
  <c r="R47" i="25"/>
  <c r="S47" i="25"/>
  <c r="U47" i="25"/>
  <c r="V47" i="25"/>
  <c r="W47" i="25"/>
  <c r="X47" i="25"/>
  <c r="Y47" i="25"/>
  <c r="Z47" i="25"/>
  <c r="AB47" i="25"/>
  <c r="AC47" i="25"/>
  <c r="AD47" i="25"/>
  <c r="AE47" i="25"/>
  <c r="AF47" i="25"/>
  <c r="AG47" i="25"/>
  <c r="AH47" i="25"/>
  <c r="AI47" i="25"/>
  <c r="AJ47" i="25"/>
  <c r="I49" i="25"/>
  <c r="J49" i="25"/>
  <c r="K49" i="25"/>
  <c r="M49" i="25"/>
  <c r="N49" i="25"/>
  <c r="P49" i="25"/>
  <c r="Q49" i="25"/>
  <c r="R49" i="25"/>
  <c r="S49" i="25"/>
  <c r="U49" i="25"/>
  <c r="V49" i="25"/>
  <c r="W49" i="25"/>
  <c r="X49" i="25"/>
  <c r="Y49" i="25"/>
  <c r="Z49" i="25"/>
  <c r="AB49" i="25"/>
  <c r="AC49" i="25"/>
  <c r="AD49" i="25"/>
  <c r="AE49" i="25"/>
  <c r="AF49" i="25"/>
  <c r="AG49" i="25"/>
  <c r="AH49" i="25"/>
  <c r="AI49" i="25"/>
  <c r="AJ49" i="25"/>
  <c r="I50" i="25"/>
  <c r="J50" i="25"/>
  <c r="K50" i="25"/>
  <c r="M50" i="25"/>
  <c r="N50" i="25"/>
  <c r="P50" i="25"/>
  <c r="Q50" i="25"/>
  <c r="R50" i="25"/>
  <c r="S50" i="25"/>
  <c r="U50" i="25"/>
  <c r="V50" i="25"/>
  <c r="W50" i="25"/>
  <c r="X50" i="25"/>
  <c r="Y50" i="25"/>
  <c r="Z50" i="25"/>
  <c r="AB50" i="25"/>
  <c r="AC50" i="25"/>
  <c r="AD50" i="25"/>
  <c r="AE50" i="25"/>
  <c r="AF50" i="25"/>
  <c r="AG50" i="25"/>
  <c r="AH50" i="25"/>
  <c r="AI50" i="25"/>
  <c r="AJ50" i="25"/>
  <c r="I52" i="25"/>
  <c r="J52" i="25"/>
  <c r="K52" i="25"/>
  <c r="M52" i="25"/>
  <c r="N52" i="25"/>
  <c r="P52" i="25"/>
  <c r="Q52" i="25"/>
  <c r="R52" i="25"/>
  <c r="S52" i="25"/>
  <c r="U52" i="25"/>
  <c r="V52" i="25"/>
  <c r="W52" i="25"/>
  <c r="X52" i="25"/>
  <c r="Y52" i="25"/>
  <c r="Z52" i="25"/>
  <c r="AB52" i="25"/>
  <c r="AC52" i="25"/>
  <c r="AD52" i="25"/>
  <c r="AE52" i="25"/>
  <c r="AF52" i="25"/>
  <c r="AG52" i="25"/>
  <c r="AH52" i="25"/>
  <c r="AI52" i="25"/>
  <c r="AJ52" i="25"/>
  <c r="I53" i="25"/>
  <c r="J53" i="25"/>
  <c r="K53" i="25"/>
  <c r="M53" i="25"/>
  <c r="N53" i="25"/>
  <c r="P53" i="25"/>
  <c r="Q53" i="25"/>
  <c r="R53" i="25"/>
  <c r="S53" i="25"/>
  <c r="U53" i="25"/>
  <c r="V53" i="25"/>
  <c r="W53" i="25"/>
  <c r="X53" i="25"/>
  <c r="Y53" i="25"/>
  <c r="Z53" i="25"/>
  <c r="AB53" i="25"/>
  <c r="AC53" i="25"/>
  <c r="AD53" i="25"/>
  <c r="AE53" i="25"/>
  <c r="AF53" i="25"/>
  <c r="AG53" i="25"/>
  <c r="AH53" i="25"/>
  <c r="AI53" i="25"/>
  <c r="AJ53" i="25"/>
  <c r="I54" i="25"/>
  <c r="J54" i="25"/>
  <c r="K54" i="25"/>
  <c r="M54" i="25"/>
  <c r="N54" i="25"/>
  <c r="P54" i="25"/>
  <c r="Q54" i="25"/>
  <c r="R54" i="25"/>
  <c r="S54" i="25"/>
  <c r="U54" i="25"/>
  <c r="V54" i="25"/>
  <c r="W54" i="25"/>
  <c r="X54" i="25"/>
  <c r="Y54" i="25"/>
  <c r="Z54" i="25"/>
  <c r="AB54" i="25"/>
  <c r="AC54" i="25"/>
  <c r="AD54" i="25"/>
  <c r="AE54" i="25"/>
  <c r="AF54" i="25"/>
  <c r="AG54" i="25"/>
  <c r="AH54" i="25"/>
  <c r="AI54" i="25"/>
  <c r="AJ54" i="25"/>
  <c r="I55" i="25"/>
  <c r="J55" i="25"/>
  <c r="K55" i="25"/>
  <c r="M55" i="25"/>
  <c r="N55" i="25"/>
  <c r="P55" i="25"/>
  <c r="Q55" i="25"/>
  <c r="R55" i="25"/>
  <c r="S55" i="25"/>
  <c r="U55" i="25"/>
  <c r="V55" i="25"/>
  <c r="W55" i="25"/>
  <c r="X55" i="25"/>
  <c r="Y55" i="25"/>
  <c r="Z55" i="25"/>
  <c r="AB55" i="25"/>
  <c r="AC55" i="25"/>
  <c r="AD55" i="25"/>
  <c r="AE55" i="25"/>
  <c r="AF55" i="25"/>
  <c r="AG55" i="25"/>
  <c r="AH55" i="25"/>
  <c r="AI55" i="25"/>
  <c r="AJ55" i="25"/>
  <c r="I57" i="25"/>
  <c r="J57" i="25"/>
  <c r="K57" i="25"/>
  <c r="M57" i="25"/>
  <c r="N57" i="25"/>
  <c r="P57" i="25"/>
  <c r="Q57" i="25"/>
  <c r="R57" i="25"/>
  <c r="S57" i="25"/>
  <c r="U57" i="25"/>
  <c r="V57" i="25"/>
  <c r="W57" i="25"/>
  <c r="X57" i="25"/>
  <c r="Y57" i="25"/>
  <c r="Z57" i="25"/>
  <c r="AB57" i="25"/>
  <c r="AC57" i="25"/>
  <c r="AD57" i="25"/>
  <c r="AE57" i="25"/>
  <c r="AF57" i="25"/>
  <c r="AG57" i="25"/>
  <c r="AH57" i="25"/>
  <c r="AI57" i="25"/>
  <c r="AJ57" i="25"/>
  <c r="I58" i="25"/>
  <c r="J58" i="25"/>
  <c r="K58" i="25"/>
  <c r="M58" i="25"/>
  <c r="N58" i="25"/>
  <c r="P58" i="25"/>
  <c r="Q58" i="25"/>
  <c r="R58" i="25"/>
  <c r="S58" i="25"/>
  <c r="U58" i="25"/>
  <c r="V58" i="25"/>
  <c r="W58" i="25"/>
  <c r="X58" i="25"/>
  <c r="Y58" i="25"/>
  <c r="Z58" i="25"/>
  <c r="AB58" i="25"/>
  <c r="AC58" i="25"/>
  <c r="AD58" i="25"/>
  <c r="AE58" i="25"/>
  <c r="AF58" i="25"/>
  <c r="AG58" i="25"/>
  <c r="AH58" i="25"/>
  <c r="AI58" i="25"/>
  <c r="AJ58" i="25"/>
  <c r="I60" i="25"/>
  <c r="J60" i="25"/>
  <c r="K60" i="25"/>
  <c r="M60" i="25"/>
  <c r="N60" i="25"/>
  <c r="P60" i="25"/>
  <c r="Q60" i="25"/>
  <c r="R60" i="25"/>
  <c r="S60" i="25"/>
  <c r="U60" i="25"/>
  <c r="V60" i="25"/>
  <c r="W60" i="25"/>
  <c r="X60" i="25"/>
  <c r="Y60" i="25"/>
  <c r="Z60" i="25"/>
  <c r="AB60" i="25"/>
  <c r="AC60" i="25"/>
  <c r="AD60" i="25"/>
  <c r="AE60" i="25"/>
  <c r="AF60" i="25"/>
  <c r="AG60" i="25"/>
  <c r="AH60" i="25"/>
  <c r="AI60" i="25"/>
  <c r="AJ60" i="25"/>
  <c r="I62" i="25"/>
  <c r="J62" i="25"/>
  <c r="K62" i="25"/>
  <c r="M62" i="25"/>
  <c r="N62" i="25"/>
  <c r="P62" i="25"/>
  <c r="Q62" i="25"/>
  <c r="R62" i="25"/>
  <c r="S62" i="25"/>
  <c r="U62" i="25"/>
  <c r="V62" i="25"/>
  <c r="W62" i="25"/>
  <c r="X62" i="25"/>
  <c r="Y62" i="25"/>
  <c r="Z62" i="25"/>
  <c r="AB62" i="25"/>
  <c r="AC62" i="25"/>
  <c r="AD62" i="25"/>
  <c r="AE62" i="25"/>
  <c r="AF62" i="25"/>
  <c r="AG62" i="25"/>
  <c r="AH62" i="25"/>
  <c r="AI62" i="25"/>
  <c r="AJ62" i="25"/>
  <c r="I64" i="25"/>
  <c r="J64" i="25"/>
  <c r="K64" i="25"/>
  <c r="M64" i="25"/>
  <c r="N64" i="25"/>
  <c r="P64" i="25"/>
  <c r="Q64" i="25"/>
  <c r="R64" i="25"/>
  <c r="S64" i="25"/>
  <c r="U64" i="25"/>
  <c r="V64" i="25"/>
  <c r="W64" i="25"/>
  <c r="X64" i="25"/>
  <c r="Y64" i="25"/>
  <c r="Z64" i="25"/>
  <c r="AB64" i="25"/>
  <c r="AC64" i="25"/>
  <c r="AD64" i="25"/>
  <c r="AE64" i="25"/>
  <c r="AF64" i="25"/>
  <c r="AG64" i="25"/>
  <c r="AH64" i="25"/>
  <c r="AI64" i="25"/>
  <c r="AJ64" i="25"/>
  <c r="I65" i="25"/>
  <c r="J65" i="25"/>
  <c r="K65" i="25"/>
  <c r="M65" i="25"/>
  <c r="N65" i="25"/>
  <c r="P65" i="25"/>
  <c r="Q65" i="25"/>
  <c r="R65" i="25"/>
  <c r="S65" i="25"/>
  <c r="U65" i="25"/>
  <c r="V65" i="25"/>
  <c r="W65" i="25"/>
  <c r="X65" i="25"/>
  <c r="Y65" i="25"/>
  <c r="Z65" i="25"/>
  <c r="AB65" i="25"/>
  <c r="AC65" i="25"/>
  <c r="AD65" i="25"/>
  <c r="AE65" i="25"/>
  <c r="AF65" i="25"/>
  <c r="AG65" i="25"/>
  <c r="AH65" i="25"/>
  <c r="AI65" i="25"/>
  <c r="AJ65" i="25"/>
  <c r="I66" i="25"/>
  <c r="J66" i="25"/>
  <c r="K66" i="25"/>
  <c r="M66" i="25"/>
  <c r="N66" i="25"/>
  <c r="P66" i="25"/>
  <c r="Q66" i="25"/>
  <c r="R66" i="25"/>
  <c r="S66" i="25"/>
  <c r="U66" i="25"/>
  <c r="V66" i="25"/>
  <c r="W66" i="25"/>
  <c r="X66" i="25"/>
  <c r="Y66" i="25"/>
  <c r="Z66" i="25"/>
  <c r="AB66" i="25"/>
  <c r="AC66" i="25"/>
  <c r="AD66" i="25"/>
  <c r="AE66" i="25"/>
  <c r="AF66" i="25"/>
  <c r="AG66" i="25"/>
  <c r="AH66" i="25"/>
  <c r="AI66" i="25"/>
  <c r="AJ66" i="25"/>
  <c r="I67" i="25"/>
  <c r="J67" i="25"/>
  <c r="K67" i="25"/>
  <c r="M67" i="25"/>
  <c r="N67" i="25"/>
  <c r="P67" i="25"/>
  <c r="Q67" i="25"/>
  <c r="R67" i="25"/>
  <c r="S67" i="25"/>
  <c r="U67" i="25"/>
  <c r="V67" i="25"/>
  <c r="W67" i="25"/>
  <c r="X67" i="25"/>
  <c r="Y67" i="25"/>
  <c r="Z67" i="25"/>
  <c r="AB67" i="25"/>
  <c r="AC67" i="25"/>
  <c r="AD67" i="25"/>
  <c r="AE67" i="25"/>
  <c r="AF67" i="25"/>
  <c r="AG67" i="25"/>
  <c r="AH67" i="25"/>
  <c r="AI67" i="25"/>
  <c r="AJ67" i="25"/>
  <c r="I68" i="25"/>
  <c r="J68" i="25"/>
  <c r="K68" i="25"/>
  <c r="M68" i="25"/>
  <c r="N68" i="25"/>
  <c r="P68" i="25"/>
  <c r="Q68" i="25"/>
  <c r="R68" i="25"/>
  <c r="S68" i="25"/>
  <c r="U68" i="25"/>
  <c r="V68" i="25"/>
  <c r="W68" i="25"/>
  <c r="X68" i="25"/>
  <c r="Y68" i="25"/>
  <c r="Z68" i="25"/>
  <c r="AB68" i="25"/>
  <c r="AC68" i="25"/>
  <c r="AD68" i="25"/>
  <c r="AE68" i="25"/>
  <c r="AF68" i="25"/>
  <c r="AG68" i="25"/>
  <c r="AH68" i="25"/>
  <c r="AI68" i="25"/>
  <c r="AJ68" i="25"/>
  <c r="I69" i="25"/>
  <c r="J69" i="25"/>
  <c r="K69" i="25"/>
  <c r="M69" i="25"/>
  <c r="N69" i="25"/>
  <c r="P69" i="25"/>
  <c r="Q69" i="25"/>
  <c r="R69" i="25"/>
  <c r="S69" i="25"/>
  <c r="U69" i="25"/>
  <c r="V69" i="25"/>
  <c r="W69" i="25"/>
  <c r="X69" i="25"/>
  <c r="Y69" i="25"/>
  <c r="Z69" i="25"/>
  <c r="AB69" i="25"/>
  <c r="AC69" i="25"/>
  <c r="AD69" i="25"/>
  <c r="AE69" i="25"/>
  <c r="AF69" i="25"/>
  <c r="AG69" i="25"/>
  <c r="AH69" i="25"/>
  <c r="AI69" i="25"/>
  <c r="AJ69" i="25"/>
  <c r="I70" i="25"/>
  <c r="J70" i="25"/>
  <c r="K70" i="25"/>
  <c r="M70" i="25"/>
  <c r="N70" i="25"/>
  <c r="P70" i="25"/>
  <c r="Q70" i="25"/>
  <c r="R70" i="25"/>
  <c r="S70" i="25"/>
  <c r="U70" i="25"/>
  <c r="V70" i="25"/>
  <c r="W70" i="25"/>
  <c r="X70" i="25"/>
  <c r="Y70" i="25"/>
  <c r="Z70" i="25"/>
  <c r="AB70" i="25"/>
  <c r="AC70" i="25"/>
  <c r="AD70" i="25"/>
  <c r="AE70" i="25"/>
  <c r="AF70" i="25"/>
  <c r="AG70" i="25"/>
  <c r="AH70" i="25"/>
  <c r="AI70" i="25"/>
  <c r="AJ70" i="25"/>
  <c r="I71" i="25"/>
  <c r="J71" i="25"/>
  <c r="K71" i="25"/>
  <c r="M71" i="25"/>
  <c r="N71" i="25"/>
  <c r="P71" i="25"/>
  <c r="Q71" i="25"/>
  <c r="R71" i="25"/>
  <c r="S71" i="25"/>
  <c r="U71" i="25"/>
  <c r="V71" i="25"/>
  <c r="W71" i="25"/>
  <c r="X71" i="25"/>
  <c r="Y71" i="25"/>
  <c r="Z71" i="25"/>
  <c r="AB71" i="25"/>
  <c r="AC71" i="25"/>
  <c r="AD71" i="25"/>
  <c r="AE71" i="25"/>
  <c r="AF71" i="25"/>
  <c r="AG71" i="25"/>
  <c r="AH71" i="25"/>
  <c r="AI71" i="25"/>
  <c r="AJ71" i="25"/>
  <c r="I72" i="25"/>
  <c r="J72" i="25"/>
  <c r="K72" i="25"/>
  <c r="M72" i="25"/>
  <c r="N72" i="25"/>
  <c r="P72" i="25"/>
  <c r="Q72" i="25"/>
  <c r="R72" i="25"/>
  <c r="S72" i="25"/>
  <c r="U72" i="25"/>
  <c r="V72" i="25"/>
  <c r="W72" i="25"/>
  <c r="X72" i="25"/>
  <c r="Y72" i="25"/>
  <c r="Z72" i="25"/>
  <c r="AB72" i="25"/>
  <c r="AC72" i="25"/>
  <c r="AD72" i="25"/>
  <c r="AE72" i="25"/>
  <c r="AF72" i="25"/>
  <c r="AG72" i="25"/>
  <c r="AH72" i="25"/>
  <c r="AI72" i="25"/>
  <c r="AJ72" i="25"/>
  <c r="BL37" i="25"/>
  <c r="BR8" i="25" s="1"/>
  <c r="BN65" i="25"/>
  <c r="BN77" i="25" s="1"/>
  <c r="BN66" i="25"/>
  <c r="BN78" i="25" s="1"/>
  <c r="BN67" i="25"/>
  <c r="BN79" i="25" s="1"/>
  <c r="BH79" i="25" s="1"/>
  <c r="BN68" i="25"/>
  <c r="BN80" i="25" s="1"/>
  <c r="BN69" i="25"/>
  <c r="BN81" i="25" s="1"/>
  <c r="BN70" i="25"/>
  <c r="BN82" i="25" s="1"/>
  <c r="BN71" i="25"/>
  <c r="BN83" i="25" s="1"/>
  <c r="BN72" i="25"/>
  <c r="BN84" i="25" s="1"/>
  <c r="BH84" i="25" s="1"/>
  <c r="BN64" i="25"/>
  <c r="BN76" i="25" s="1"/>
  <c r="BH53" i="25"/>
  <c r="BH66" i="25"/>
  <c r="AT25" i="25"/>
  <c r="AT10" i="25"/>
  <c r="AT4" i="25"/>
  <c r="BH58" i="25"/>
  <c r="AT13" i="25"/>
  <c r="AT6" i="25" s="1"/>
  <c r="AR6" i="25" s="1"/>
  <c r="H40" i="25" s="1"/>
  <c r="AV4" i="25"/>
  <c r="BR13" i="25" l="1"/>
  <c r="BR18" i="25"/>
  <c r="AT5" i="25"/>
  <c r="AR5" i="25" s="1"/>
  <c r="BH71" i="25"/>
  <c r="BR11" i="25"/>
  <c r="BR7" i="25"/>
  <c r="BR19" i="25"/>
  <c r="BR26" i="25"/>
  <c r="BR25" i="25"/>
  <c r="BR32" i="25"/>
  <c r="BR31" i="25"/>
  <c r="BR6" i="25"/>
  <c r="BR30" i="25"/>
  <c r="BR22" i="25"/>
  <c r="BR14" i="25"/>
  <c r="BR5" i="25"/>
  <c r="BR4" i="25"/>
  <c r="BR27" i="25"/>
  <c r="BR34" i="25"/>
  <c r="BR33" i="25"/>
  <c r="BR17" i="25"/>
  <c r="BR16" i="25"/>
  <c r="BR23" i="25"/>
  <c r="BR29" i="25"/>
  <c r="BR21" i="25"/>
  <c r="BR10" i="25"/>
  <c r="BR9" i="25"/>
  <c r="BR24" i="25"/>
  <c r="BR15" i="25"/>
  <c r="BR28" i="25"/>
  <c r="BR20" i="25"/>
  <c r="BR12" i="25"/>
  <c r="AR4" i="25"/>
  <c r="AR18" i="25"/>
  <c r="T40" i="25" s="1"/>
  <c r="D56" i="25" s="1"/>
  <c r="AR13" i="25"/>
  <c r="O40" i="25" s="1"/>
  <c r="AR25" i="25"/>
  <c r="D61" i="25"/>
  <c r="BM33" i="25"/>
  <c r="BN33" i="25" s="1"/>
  <c r="BM34" i="25"/>
  <c r="BN34" i="25" s="1"/>
  <c r="BM5" i="25"/>
  <c r="BN5" i="25" s="1"/>
  <c r="BM6" i="25"/>
  <c r="BM7" i="25"/>
  <c r="BN7" i="25" s="1"/>
  <c r="BM8" i="25"/>
  <c r="BN8" i="25" s="1"/>
  <c r="BM9" i="25"/>
  <c r="BN9" i="25" s="1"/>
  <c r="BM10" i="25"/>
  <c r="BN10" i="25" s="1"/>
  <c r="BM11" i="25"/>
  <c r="BN11" i="25" s="1"/>
  <c r="BM12" i="25"/>
  <c r="BN12" i="25" s="1"/>
  <c r="BM13" i="25"/>
  <c r="BN13" i="25" s="1"/>
  <c r="BM14" i="25"/>
  <c r="BN14" i="25" s="1"/>
  <c r="BM15" i="25"/>
  <c r="BN15" i="25" s="1"/>
  <c r="BM16" i="25"/>
  <c r="BN16" i="25" s="1"/>
  <c r="BM17" i="25"/>
  <c r="BN17" i="25" s="1"/>
  <c r="BM18" i="25"/>
  <c r="BN18" i="25" s="1"/>
  <c r="BM19" i="25"/>
  <c r="BN19" i="25" s="1"/>
  <c r="BM20" i="25"/>
  <c r="BN20" i="25" s="1"/>
  <c r="BM21" i="25"/>
  <c r="BN21" i="25" s="1"/>
  <c r="BM22" i="25"/>
  <c r="BN22" i="25" s="1"/>
  <c r="BM23" i="25"/>
  <c r="BN23" i="25" s="1"/>
  <c r="BM24" i="25"/>
  <c r="BN24" i="25" s="1"/>
  <c r="BM25" i="25"/>
  <c r="BN25" i="25" s="1"/>
  <c r="BM26" i="25"/>
  <c r="BN26" i="25" s="1"/>
  <c r="BM27" i="25"/>
  <c r="BN27" i="25" s="1"/>
  <c r="BM28" i="25"/>
  <c r="BN28" i="25" s="1"/>
  <c r="BM29" i="25"/>
  <c r="BN29" i="25" s="1"/>
  <c r="BM30" i="25"/>
  <c r="BN30" i="25" s="1"/>
  <c r="BM31" i="25"/>
  <c r="BN31" i="25" s="1"/>
  <c r="BM32" i="25"/>
  <c r="BN32" i="25" s="1"/>
  <c r="BM4" i="25"/>
  <c r="BN4" i="25" s="1"/>
  <c r="BE5" i="25"/>
  <c r="BE6" i="25"/>
  <c r="BF6" i="25" s="1"/>
  <c r="BE7" i="25"/>
  <c r="BF7" i="25" s="1"/>
  <c r="BE8" i="25"/>
  <c r="BF8" i="25" s="1"/>
  <c r="BE9" i="25"/>
  <c r="BF9" i="25" s="1"/>
  <c r="BE10" i="25"/>
  <c r="BF10" i="25" s="1"/>
  <c r="BE11" i="25"/>
  <c r="BE12" i="25"/>
  <c r="BF12" i="25" s="1"/>
  <c r="BE13" i="25"/>
  <c r="BF13" i="25" s="1"/>
  <c r="BE14" i="25"/>
  <c r="BF14" i="25" s="1"/>
  <c r="BE15" i="25"/>
  <c r="BF15" i="25" s="1"/>
  <c r="BE16" i="25"/>
  <c r="BF16" i="25" s="1"/>
  <c r="BE17" i="25"/>
  <c r="BF17" i="25" s="1"/>
  <c r="BE18" i="25"/>
  <c r="BF18" i="25" s="1"/>
  <c r="BE19" i="25"/>
  <c r="BE20" i="25"/>
  <c r="BF20" i="25" s="1"/>
  <c r="BE21" i="25"/>
  <c r="BF21" i="25" s="1"/>
  <c r="BE22" i="25"/>
  <c r="BE23" i="25"/>
  <c r="BF23" i="25" s="1"/>
  <c r="BE24" i="25"/>
  <c r="BF24" i="25" s="1"/>
  <c r="BE25" i="25"/>
  <c r="BF25" i="25" s="1"/>
  <c r="BE26" i="25"/>
  <c r="BF26" i="25" s="1"/>
  <c r="BE27" i="25"/>
  <c r="BE28" i="25"/>
  <c r="BF28" i="25" s="1"/>
  <c r="BE29" i="25"/>
  <c r="BE30" i="25"/>
  <c r="BF30" i="25" s="1"/>
  <c r="BE31" i="25"/>
  <c r="BF31" i="25" s="1"/>
  <c r="BE32" i="25"/>
  <c r="BF32" i="25" s="1"/>
  <c r="BE33" i="25"/>
  <c r="BF33" i="25" s="1"/>
  <c r="BE34" i="25"/>
  <c r="BF34" i="25" s="1"/>
  <c r="BE4" i="25"/>
  <c r="BF4" i="25" s="1"/>
  <c r="I61" i="25" l="1"/>
  <c r="S61" i="25"/>
  <c r="AC61" i="25"/>
  <c r="J61" i="25"/>
  <c r="U61" i="25"/>
  <c r="AD61" i="25"/>
  <c r="K61" i="25"/>
  <c r="V61" i="25"/>
  <c r="AE61" i="25"/>
  <c r="M61" i="25"/>
  <c r="W61" i="25"/>
  <c r="AF61" i="25"/>
  <c r="N61" i="25"/>
  <c r="X61" i="25"/>
  <c r="AG61" i="25"/>
  <c r="P61" i="25"/>
  <c r="Y61" i="25"/>
  <c r="AH61" i="25"/>
  <c r="Q61" i="25"/>
  <c r="Z61" i="25"/>
  <c r="AI61" i="25"/>
  <c r="R61" i="25"/>
  <c r="AB61" i="25"/>
  <c r="AJ61" i="25"/>
  <c r="BN6" i="25"/>
  <c r="BM35" i="25"/>
  <c r="BR35" i="25"/>
  <c r="G40" i="25"/>
  <c r="D43" i="25" s="1"/>
  <c r="F40" i="25"/>
  <c r="F65" i="25" s="1"/>
  <c r="G65" i="25"/>
  <c r="G62" i="25"/>
  <c r="G66" i="25"/>
  <c r="G57" i="25"/>
  <c r="G67" i="25"/>
  <c r="G68" i="25"/>
  <c r="G50" i="25"/>
  <c r="G72" i="25"/>
  <c r="G45" i="25"/>
  <c r="G60" i="25"/>
  <c r="M43" i="25"/>
  <c r="D51" i="25"/>
  <c r="H51" i="25" s="1"/>
  <c r="O49" i="25"/>
  <c r="O53" i="25"/>
  <c r="O57" i="25"/>
  <c r="O61" i="25"/>
  <c r="O66" i="25"/>
  <c r="O70" i="25"/>
  <c r="O46" i="25"/>
  <c r="O52" i="25"/>
  <c r="O60" i="25"/>
  <c r="O55" i="25"/>
  <c r="O64" i="25"/>
  <c r="O68" i="25"/>
  <c r="O69" i="25"/>
  <c r="O45" i="25"/>
  <c r="O50" i="25"/>
  <c r="O54" i="25"/>
  <c r="O58" i="25"/>
  <c r="O62" i="25"/>
  <c r="O67" i="25"/>
  <c r="O71" i="25"/>
  <c r="O72" i="25"/>
  <c r="O47" i="25"/>
  <c r="O65" i="25"/>
  <c r="T47" i="25"/>
  <c r="T65" i="25"/>
  <c r="T57" i="25"/>
  <c r="T66" i="25"/>
  <c r="T67" i="25"/>
  <c r="T71" i="25"/>
  <c r="T46" i="25"/>
  <c r="T55" i="25"/>
  <c r="T64" i="25"/>
  <c r="T68" i="25"/>
  <c r="T72" i="25"/>
  <c r="T52" i="25"/>
  <c r="T54" i="25"/>
  <c r="T62" i="25"/>
  <c r="T60" i="25"/>
  <c r="T69" i="25"/>
  <c r="T49" i="25"/>
  <c r="T53" i="25"/>
  <c r="T61" i="25"/>
  <c r="T70" i="25"/>
  <c r="T45" i="25"/>
  <c r="T50" i="25"/>
  <c r="T58" i="25"/>
  <c r="H60" i="25"/>
  <c r="H65" i="25"/>
  <c r="H69" i="25"/>
  <c r="H68" i="25"/>
  <c r="H72" i="25"/>
  <c r="H45" i="25"/>
  <c r="H47" i="25"/>
  <c r="H50" i="25"/>
  <c r="H52" i="25"/>
  <c r="H54" i="25"/>
  <c r="H58" i="25"/>
  <c r="H62" i="25"/>
  <c r="H67" i="25"/>
  <c r="H71" i="25"/>
  <c r="H61" i="25"/>
  <c r="H70" i="25"/>
  <c r="H57" i="25"/>
  <c r="H66" i="25"/>
  <c r="H46" i="25"/>
  <c r="H53" i="25"/>
  <c r="H49" i="25"/>
  <c r="H55" i="25"/>
  <c r="H64" i="25"/>
  <c r="AA40" i="25"/>
  <c r="BF29" i="25"/>
  <c r="BF27" i="25"/>
  <c r="BF5" i="25"/>
  <c r="BF22" i="25"/>
  <c r="BF11" i="25"/>
  <c r="BF19" i="25"/>
  <c r="G69" i="25" l="1"/>
  <c r="G71" i="25"/>
  <c r="G46" i="25"/>
  <c r="G53" i="25"/>
  <c r="G64" i="25"/>
  <c r="G70" i="25"/>
  <c r="BF37" i="25"/>
  <c r="BJ5" i="25" s="1"/>
  <c r="G61" i="25"/>
  <c r="BJ13" i="25"/>
  <c r="BJ22" i="25"/>
  <c r="BJ30" i="25"/>
  <c r="BJ25" i="25"/>
  <c r="BJ6" i="25"/>
  <c r="BJ8" i="25"/>
  <c r="BJ26" i="25"/>
  <c r="BJ7" i="25"/>
  <c r="BJ19" i="25"/>
  <c r="BJ18" i="25"/>
  <c r="BJ10" i="25"/>
  <c r="G58" i="25"/>
  <c r="G54" i="25"/>
  <c r="G52" i="25"/>
  <c r="G55" i="25"/>
  <c r="G49" i="25"/>
  <c r="G47" i="25"/>
  <c r="F46" i="25"/>
  <c r="F71" i="25"/>
  <c r="F52" i="25"/>
  <c r="F68" i="25"/>
  <c r="F67" i="25"/>
  <c r="F60" i="25"/>
  <c r="F72" i="25"/>
  <c r="F47" i="25"/>
  <c r="F66" i="25"/>
  <c r="F53" i="25"/>
  <c r="F49" i="25"/>
  <c r="F70" i="25"/>
  <c r="F61" i="25"/>
  <c r="F62" i="25"/>
  <c r="F69" i="25"/>
  <c r="F64" i="25"/>
  <c r="F58" i="25"/>
  <c r="F54" i="25"/>
  <c r="F56" i="25"/>
  <c r="F50" i="25"/>
  <c r="F45" i="25"/>
  <c r="D42" i="25"/>
  <c r="F55" i="25"/>
  <c r="F57" i="25"/>
  <c r="S43" i="25"/>
  <c r="S77" i="25" s="1"/>
  <c r="V43" i="25"/>
  <c r="V77" i="25" s="1"/>
  <c r="K43" i="25"/>
  <c r="AH43" i="25"/>
  <c r="AH77" i="25" s="1"/>
  <c r="P43" i="25"/>
  <c r="P77" i="25" s="1"/>
  <c r="Z43" i="25"/>
  <c r="Z77" i="25" s="1"/>
  <c r="F51" i="25"/>
  <c r="Y43" i="25"/>
  <c r="Y77" i="25" s="1"/>
  <c r="T43" i="25"/>
  <c r="T77" i="25" s="1"/>
  <c r="Q43" i="25"/>
  <c r="Q77" i="25" s="1"/>
  <c r="W43" i="25"/>
  <c r="AJ43" i="25"/>
  <c r="AJ77" i="25" s="1"/>
  <c r="AF43" i="25"/>
  <c r="AF77" i="25" s="1"/>
  <c r="F43" i="25"/>
  <c r="AC43" i="25"/>
  <c r="AC77" i="25" s="1"/>
  <c r="N43" i="25"/>
  <c r="N77" i="25" s="1"/>
  <c r="AD43" i="25"/>
  <c r="AD77" i="25" s="1"/>
  <c r="H43" i="25"/>
  <c r="R43" i="25"/>
  <c r="R77" i="25" s="1"/>
  <c r="G43" i="25"/>
  <c r="G77" i="25" s="1"/>
  <c r="J43" i="25"/>
  <c r="J77" i="25" s="1"/>
  <c r="AG43" i="25"/>
  <c r="AG77" i="25" s="1"/>
  <c r="AI43" i="25"/>
  <c r="AI77" i="25" s="1"/>
  <c r="I43" i="25"/>
  <c r="I77" i="25" s="1"/>
  <c r="X43" i="25"/>
  <c r="AE43" i="25"/>
  <c r="AB43" i="25"/>
  <c r="AB77" i="25" s="1"/>
  <c r="U43" i="25"/>
  <c r="U77" i="25" s="1"/>
  <c r="O43" i="25"/>
  <c r="O77" i="25" s="1"/>
  <c r="H56" i="25"/>
  <c r="J51" i="25"/>
  <c r="J85" i="25" s="1"/>
  <c r="S51" i="25"/>
  <c r="S85" i="25" s="1"/>
  <c r="AB51" i="25"/>
  <c r="AB85" i="25" s="1"/>
  <c r="AJ51" i="25"/>
  <c r="AJ85" i="25" s="1"/>
  <c r="AF51" i="25"/>
  <c r="AF85" i="25" s="1"/>
  <c r="Q51" i="25"/>
  <c r="Q85" i="25" s="1"/>
  <c r="R51" i="25"/>
  <c r="R85" i="25" s="1"/>
  <c r="K51" i="25"/>
  <c r="K85" i="25" s="1"/>
  <c r="T51" i="25"/>
  <c r="T85" i="25" s="1"/>
  <c r="AC51" i="25"/>
  <c r="AC85" i="25" s="1"/>
  <c r="N51" i="25"/>
  <c r="N85" i="25" s="1"/>
  <c r="O51" i="25"/>
  <c r="O85" i="25" s="1"/>
  <c r="Y51" i="25"/>
  <c r="Y85" i="25" s="1"/>
  <c r="I51" i="25"/>
  <c r="I85" i="25" s="1"/>
  <c r="Z51" i="25"/>
  <c r="Z85" i="25" s="1"/>
  <c r="M51" i="25"/>
  <c r="M85" i="25" s="1"/>
  <c r="U51" i="25"/>
  <c r="U85" i="25" s="1"/>
  <c r="AD51" i="25"/>
  <c r="AD85" i="25" s="1"/>
  <c r="V51" i="25"/>
  <c r="V85" i="25" s="1"/>
  <c r="AE51" i="25"/>
  <c r="AE85" i="25" s="1"/>
  <c r="W51" i="25"/>
  <c r="P51" i="25"/>
  <c r="P85" i="25" s="1"/>
  <c r="X51" i="25"/>
  <c r="AG51" i="25"/>
  <c r="AG85" i="25" s="1"/>
  <c r="AH51" i="25"/>
  <c r="AH85" i="25" s="1"/>
  <c r="AI51" i="25"/>
  <c r="AI85" i="25" s="1"/>
  <c r="G51" i="25"/>
  <c r="G85" i="25" s="1"/>
  <c r="Q56" i="25"/>
  <c r="Q90" i="25" s="1"/>
  <c r="Y56" i="25"/>
  <c r="Y90" i="25" s="1"/>
  <c r="AH56" i="25"/>
  <c r="AH90" i="25" s="1"/>
  <c r="K56" i="25"/>
  <c r="K90" i="25" s="1"/>
  <c r="N56" i="25"/>
  <c r="N90" i="25" s="1"/>
  <c r="V56" i="25"/>
  <c r="V90" i="25" s="1"/>
  <c r="AF56" i="25"/>
  <c r="AF90" i="25" s="1"/>
  <c r="X56" i="25"/>
  <c r="I56" i="25"/>
  <c r="I90" i="25" s="1"/>
  <c r="R56" i="25"/>
  <c r="R90" i="25" s="1"/>
  <c r="Z56" i="25"/>
  <c r="Z90" i="25" s="1"/>
  <c r="AI56" i="25"/>
  <c r="AI90" i="25" s="1"/>
  <c r="AC56" i="25"/>
  <c r="AC90" i="25" s="1"/>
  <c r="U56" i="25"/>
  <c r="U90" i="25" s="1"/>
  <c r="O56" i="25"/>
  <c r="O90" i="25" s="1"/>
  <c r="AG56" i="25"/>
  <c r="AG90" i="25" s="1"/>
  <c r="J56" i="25"/>
  <c r="J90" i="25" s="1"/>
  <c r="S56" i="25"/>
  <c r="S90" i="25" s="1"/>
  <c r="AB56" i="25"/>
  <c r="AB90" i="25" s="1"/>
  <c r="AJ56" i="25"/>
  <c r="AJ90" i="25" s="1"/>
  <c r="T56" i="25"/>
  <c r="T90" i="25" s="1"/>
  <c r="M56" i="25"/>
  <c r="M90" i="25" s="1"/>
  <c r="AD56" i="25"/>
  <c r="AD90" i="25" s="1"/>
  <c r="AE56" i="25"/>
  <c r="AE90" i="25" s="1"/>
  <c r="W56" i="25"/>
  <c r="P56" i="25"/>
  <c r="P90" i="25" s="1"/>
  <c r="G56" i="25"/>
  <c r="G90" i="25" s="1"/>
  <c r="D63" i="25"/>
  <c r="AA51" i="25"/>
  <c r="AA85" i="25" s="1"/>
  <c r="AA57" i="25"/>
  <c r="AA91" i="25" s="1"/>
  <c r="AA70" i="25"/>
  <c r="AA104" i="25" s="1"/>
  <c r="AA46" i="25"/>
  <c r="AA80" i="25" s="1"/>
  <c r="AA69" i="25"/>
  <c r="AA103" i="25" s="1"/>
  <c r="AA53" i="25"/>
  <c r="AA87" i="25" s="1"/>
  <c r="AA65" i="25"/>
  <c r="AA99" i="25" s="1"/>
  <c r="AA71" i="25"/>
  <c r="AA105" i="25" s="1"/>
  <c r="AA47" i="25"/>
  <c r="AA81" i="25" s="1"/>
  <c r="AA52" i="25"/>
  <c r="AA86" i="25" s="1"/>
  <c r="AA58" i="25"/>
  <c r="AA92" i="25" s="1"/>
  <c r="AA64" i="25"/>
  <c r="AA98" i="25" s="1"/>
  <c r="AA45" i="25"/>
  <c r="AA79" i="25" s="1"/>
  <c r="AA50" i="25"/>
  <c r="AA84" i="25" s="1"/>
  <c r="AA56" i="25"/>
  <c r="AA90" i="25" s="1"/>
  <c r="AA62" i="25"/>
  <c r="AA96" i="25" s="1"/>
  <c r="AA68" i="25"/>
  <c r="AA102" i="25" s="1"/>
  <c r="AA54" i="25"/>
  <c r="AA88" i="25" s="1"/>
  <c r="AA66" i="25"/>
  <c r="AA100" i="25" s="1"/>
  <c r="AA72" i="25"/>
  <c r="AA106" i="25" s="1"/>
  <c r="AA49" i="25"/>
  <c r="AA83" i="25" s="1"/>
  <c r="AA55" i="25"/>
  <c r="AA89" i="25" s="1"/>
  <c r="AA61" i="25"/>
  <c r="AA67" i="25"/>
  <c r="AA101" i="25" s="1"/>
  <c r="AA43" i="25"/>
  <c r="AA77" i="25" s="1"/>
  <c r="AA60" i="25"/>
  <c r="AA94" i="25" s="1"/>
  <c r="K77" i="25"/>
  <c r="M77" i="25"/>
  <c r="AE77" i="25"/>
  <c r="G79" i="25"/>
  <c r="I79" i="25"/>
  <c r="J79" i="25"/>
  <c r="K79" i="25"/>
  <c r="M79" i="25"/>
  <c r="N79" i="25"/>
  <c r="O79" i="25"/>
  <c r="P79" i="25"/>
  <c r="Q79" i="25"/>
  <c r="R79" i="25"/>
  <c r="S79" i="25"/>
  <c r="T79" i="25"/>
  <c r="U79" i="25"/>
  <c r="V79" i="25"/>
  <c r="Y79" i="25"/>
  <c r="Z79" i="25"/>
  <c r="AB79" i="25"/>
  <c r="AC79" i="25"/>
  <c r="AD79" i="25"/>
  <c r="AE79" i="25"/>
  <c r="AF79" i="25"/>
  <c r="AG79" i="25"/>
  <c r="AH79" i="25"/>
  <c r="AI79" i="25"/>
  <c r="AJ79" i="25"/>
  <c r="G80" i="25"/>
  <c r="I80" i="25"/>
  <c r="J80" i="25"/>
  <c r="K80" i="25"/>
  <c r="M80" i="25"/>
  <c r="N80" i="25"/>
  <c r="O80" i="25"/>
  <c r="P80" i="25"/>
  <c r="Q80" i="25"/>
  <c r="R80" i="25"/>
  <c r="S80" i="25"/>
  <c r="T80" i="25"/>
  <c r="U80" i="25"/>
  <c r="V80" i="25"/>
  <c r="Y80" i="25"/>
  <c r="Z80" i="25"/>
  <c r="AB80" i="25"/>
  <c r="AC80" i="25"/>
  <c r="AD80" i="25"/>
  <c r="AE80" i="25"/>
  <c r="AF80" i="25"/>
  <c r="AG80" i="25"/>
  <c r="AH80" i="25"/>
  <c r="AI80" i="25"/>
  <c r="AJ80" i="25"/>
  <c r="G81" i="25"/>
  <c r="I81" i="25"/>
  <c r="J81" i="25"/>
  <c r="K81" i="25"/>
  <c r="M81" i="25"/>
  <c r="N81" i="25"/>
  <c r="O81" i="25"/>
  <c r="P81" i="25"/>
  <c r="Q81" i="25"/>
  <c r="R81" i="25"/>
  <c r="S81" i="25"/>
  <c r="T81" i="25"/>
  <c r="U81" i="25"/>
  <c r="V81" i="25"/>
  <c r="Y81" i="25"/>
  <c r="Z81" i="25"/>
  <c r="AB81" i="25"/>
  <c r="AC81" i="25"/>
  <c r="AD81" i="25"/>
  <c r="AE81" i="25"/>
  <c r="AF81" i="25"/>
  <c r="AG81" i="25"/>
  <c r="AH81" i="25"/>
  <c r="AI81" i="25"/>
  <c r="AJ81" i="25"/>
  <c r="G83" i="25"/>
  <c r="I83" i="25"/>
  <c r="J83" i="25"/>
  <c r="K83" i="25"/>
  <c r="M83" i="25"/>
  <c r="N83" i="25"/>
  <c r="O83" i="25"/>
  <c r="P83" i="25"/>
  <c r="Q83" i="25"/>
  <c r="R83" i="25"/>
  <c r="S83" i="25"/>
  <c r="T83" i="25"/>
  <c r="U83" i="25"/>
  <c r="V83" i="25"/>
  <c r="Y83" i="25"/>
  <c r="Z83" i="25"/>
  <c r="AB83" i="25"/>
  <c r="AC83" i="25"/>
  <c r="AD83" i="25"/>
  <c r="AE83" i="25"/>
  <c r="AF83" i="25"/>
  <c r="AG83" i="25"/>
  <c r="AH83" i="25"/>
  <c r="AI83" i="25"/>
  <c r="AJ83" i="25"/>
  <c r="G84" i="25"/>
  <c r="I84" i="25"/>
  <c r="J84" i="25"/>
  <c r="K84" i="25"/>
  <c r="M84" i="25"/>
  <c r="N84" i="25"/>
  <c r="O84" i="25"/>
  <c r="P84" i="25"/>
  <c r="Q84" i="25"/>
  <c r="R84" i="25"/>
  <c r="S84" i="25"/>
  <c r="T84" i="25"/>
  <c r="U84" i="25"/>
  <c r="V84" i="25"/>
  <c r="Y84" i="25"/>
  <c r="Z84" i="25"/>
  <c r="AB84" i="25"/>
  <c r="AC84" i="25"/>
  <c r="AD84" i="25"/>
  <c r="AE84" i="25"/>
  <c r="AF84" i="25"/>
  <c r="AG84" i="25"/>
  <c r="AH84" i="25"/>
  <c r="AI84" i="25"/>
  <c r="AJ84" i="25"/>
  <c r="G86" i="25"/>
  <c r="I86" i="25"/>
  <c r="J86" i="25"/>
  <c r="K86" i="25"/>
  <c r="M86" i="25"/>
  <c r="N86" i="25"/>
  <c r="O86" i="25"/>
  <c r="P86" i="25"/>
  <c r="Q86" i="25"/>
  <c r="R86" i="25"/>
  <c r="S86" i="25"/>
  <c r="T86" i="25"/>
  <c r="U86" i="25"/>
  <c r="V86" i="25"/>
  <c r="Y86" i="25"/>
  <c r="Z86" i="25"/>
  <c r="AB86" i="25"/>
  <c r="AC86" i="25"/>
  <c r="AD86" i="25"/>
  <c r="AE86" i="25"/>
  <c r="AF86" i="25"/>
  <c r="AG86" i="25"/>
  <c r="AH86" i="25"/>
  <c r="AI86" i="25"/>
  <c r="AJ86" i="25"/>
  <c r="G87" i="25"/>
  <c r="I87" i="25"/>
  <c r="J87" i="25"/>
  <c r="K87" i="25"/>
  <c r="M87" i="25"/>
  <c r="N87" i="25"/>
  <c r="O87" i="25"/>
  <c r="P87" i="25"/>
  <c r="Q87" i="25"/>
  <c r="R87" i="25"/>
  <c r="S87" i="25"/>
  <c r="T87" i="25"/>
  <c r="U87" i="25"/>
  <c r="V87" i="25"/>
  <c r="Y87" i="25"/>
  <c r="Z87" i="25"/>
  <c r="AB87" i="25"/>
  <c r="AC87" i="25"/>
  <c r="AD87" i="25"/>
  <c r="AE87" i="25"/>
  <c r="AF87" i="25"/>
  <c r="AG87" i="25"/>
  <c r="AH87" i="25"/>
  <c r="AI87" i="25"/>
  <c r="AJ87" i="25"/>
  <c r="G88" i="25"/>
  <c r="I88" i="25"/>
  <c r="J88" i="25"/>
  <c r="K88" i="25"/>
  <c r="M88" i="25"/>
  <c r="N88" i="25"/>
  <c r="O88" i="25"/>
  <c r="P88" i="25"/>
  <c r="Q88" i="25"/>
  <c r="R88" i="25"/>
  <c r="S88" i="25"/>
  <c r="T88" i="25"/>
  <c r="U88" i="25"/>
  <c r="V88" i="25"/>
  <c r="Y88" i="25"/>
  <c r="Z88" i="25"/>
  <c r="AB88" i="25"/>
  <c r="AC88" i="25"/>
  <c r="AD88" i="25"/>
  <c r="AE88" i="25"/>
  <c r="AF88" i="25"/>
  <c r="AG88" i="25"/>
  <c r="AH88" i="25"/>
  <c r="AI88" i="25"/>
  <c r="AJ88" i="25"/>
  <c r="G89" i="25"/>
  <c r="I89" i="25"/>
  <c r="J89" i="25"/>
  <c r="K89" i="25"/>
  <c r="M89" i="25"/>
  <c r="N89" i="25"/>
  <c r="O89" i="25"/>
  <c r="P89" i="25"/>
  <c r="Q89" i="25"/>
  <c r="R89" i="25"/>
  <c r="S89" i="25"/>
  <c r="T89" i="25"/>
  <c r="U89" i="25"/>
  <c r="V89" i="25"/>
  <c r="Y89" i="25"/>
  <c r="Z89" i="25"/>
  <c r="AB89" i="25"/>
  <c r="AC89" i="25"/>
  <c r="AD89" i="25"/>
  <c r="AE89" i="25"/>
  <c r="AF89" i="25"/>
  <c r="AG89" i="25"/>
  <c r="AH89" i="25"/>
  <c r="AI89" i="25"/>
  <c r="AJ89" i="25"/>
  <c r="G91" i="25"/>
  <c r="I91" i="25"/>
  <c r="J91" i="25"/>
  <c r="K91" i="25"/>
  <c r="M91" i="25"/>
  <c r="N91" i="25"/>
  <c r="O91" i="25"/>
  <c r="P91" i="25"/>
  <c r="Q91" i="25"/>
  <c r="R91" i="25"/>
  <c r="S91" i="25"/>
  <c r="T91" i="25"/>
  <c r="U91" i="25"/>
  <c r="V91" i="25"/>
  <c r="Y91" i="25"/>
  <c r="Z91" i="25"/>
  <c r="AB91" i="25"/>
  <c r="AC91" i="25"/>
  <c r="AD91" i="25"/>
  <c r="AE91" i="25"/>
  <c r="AF91" i="25"/>
  <c r="AG91" i="25"/>
  <c r="AH91" i="25"/>
  <c r="AI91" i="25"/>
  <c r="AJ91" i="25"/>
  <c r="G92" i="25"/>
  <c r="I92" i="25"/>
  <c r="J92" i="25"/>
  <c r="K92" i="25"/>
  <c r="M92" i="25"/>
  <c r="N92" i="25"/>
  <c r="O92" i="25"/>
  <c r="P92" i="25"/>
  <c r="Q92" i="25"/>
  <c r="R92" i="25"/>
  <c r="S92" i="25"/>
  <c r="T92" i="25"/>
  <c r="U92" i="25"/>
  <c r="V92" i="25"/>
  <c r="Y92" i="25"/>
  <c r="Z92" i="25"/>
  <c r="AB92" i="25"/>
  <c r="AC92" i="25"/>
  <c r="AD92" i="25"/>
  <c r="AE92" i="25"/>
  <c r="AF92" i="25"/>
  <c r="AG92" i="25"/>
  <c r="AH92" i="25"/>
  <c r="AI92" i="25"/>
  <c r="AJ92" i="25"/>
  <c r="G94" i="25"/>
  <c r="I94" i="25"/>
  <c r="J94" i="25"/>
  <c r="K94" i="25"/>
  <c r="M94" i="25"/>
  <c r="N94" i="25"/>
  <c r="O94" i="25"/>
  <c r="P94" i="25"/>
  <c r="Q94" i="25"/>
  <c r="R94" i="25"/>
  <c r="S94" i="25"/>
  <c r="T94" i="25"/>
  <c r="U94" i="25"/>
  <c r="V94" i="25"/>
  <c r="X94" i="25"/>
  <c r="Y94" i="25"/>
  <c r="Z94" i="25"/>
  <c r="AB94" i="25"/>
  <c r="AC94" i="25"/>
  <c r="AD94" i="25"/>
  <c r="AE94" i="25"/>
  <c r="AF94" i="25"/>
  <c r="AG94" i="25"/>
  <c r="AH94" i="25"/>
  <c r="AI94" i="25"/>
  <c r="AJ94" i="25"/>
  <c r="Y95" i="25"/>
  <c r="G96" i="25"/>
  <c r="I96" i="25"/>
  <c r="J96" i="25"/>
  <c r="K96" i="25"/>
  <c r="M96" i="25"/>
  <c r="N96" i="25"/>
  <c r="O96" i="25"/>
  <c r="P96" i="25"/>
  <c r="Q96" i="25"/>
  <c r="R96" i="25"/>
  <c r="S96" i="25"/>
  <c r="T96" i="25"/>
  <c r="U96" i="25"/>
  <c r="V96" i="25"/>
  <c r="Y96" i="25"/>
  <c r="Z96" i="25"/>
  <c r="AB96" i="25"/>
  <c r="AC96" i="25"/>
  <c r="AD96" i="25"/>
  <c r="AE96" i="25"/>
  <c r="AF96" i="25"/>
  <c r="AG96" i="25"/>
  <c r="AH96" i="25"/>
  <c r="AI96" i="25"/>
  <c r="AJ96" i="25"/>
  <c r="G98" i="25"/>
  <c r="I98" i="25"/>
  <c r="J98" i="25"/>
  <c r="K98" i="25"/>
  <c r="M98" i="25"/>
  <c r="N98" i="25"/>
  <c r="O98" i="25"/>
  <c r="P98" i="25"/>
  <c r="Q98" i="25"/>
  <c r="R98" i="25"/>
  <c r="S98" i="25"/>
  <c r="T98" i="25"/>
  <c r="U98" i="25"/>
  <c r="V98" i="25"/>
  <c r="Y98" i="25"/>
  <c r="Z98" i="25"/>
  <c r="AB98" i="25"/>
  <c r="AC98" i="25"/>
  <c r="AD98" i="25"/>
  <c r="AE98" i="25"/>
  <c r="AF98" i="25"/>
  <c r="AG98" i="25"/>
  <c r="AH98" i="25"/>
  <c r="AI98" i="25"/>
  <c r="AJ98" i="25"/>
  <c r="G99" i="25"/>
  <c r="I99" i="25"/>
  <c r="J99" i="25"/>
  <c r="K99" i="25"/>
  <c r="M99" i="25"/>
  <c r="N99" i="25"/>
  <c r="O99" i="25"/>
  <c r="P99" i="25"/>
  <c r="Q99" i="25"/>
  <c r="R99" i="25"/>
  <c r="S99" i="25"/>
  <c r="T99" i="25"/>
  <c r="U99" i="25"/>
  <c r="V99" i="25"/>
  <c r="Y99" i="25"/>
  <c r="Z99" i="25"/>
  <c r="AB99" i="25"/>
  <c r="AC99" i="25"/>
  <c r="AD99" i="25"/>
  <c r="AE99" i="25"/>
  <c r="AF99" i="25"/>
  <c r="AG99" i="25"/>
  <c r="AH99" i="25"/>
  <c r="AI99" i="25"/>
  <c r="AJ99" i="25"/>
  <c r="G100" i="25"/>
  <c r="I100" i="25"/>
  <c r="J100" i="25"/>
  <c r="K100" i="25"/>
  <c r="M100" i="25"/>
  <c r="N100" i="25"/>
  <c r="O100" i="25"/>
  <c r="P100" i="25"/>
  <c r="Q100" i="25"/>
  <c r="R100" i="25"/>
  <c r="S100" i="25"/>
  <c r="T100" i="25"/>
  <c r="U100" i="25"/>
  <c r="V100" i="25"/>
  <c r="Y100" i="25"/>
  <c r="Z100" i="25"/>
  <c r="AB100" i="25"/>
  <c r="AC100" i="25"/>
  <c r="AD100" i="25"/>
  <c r="AE100" i="25"/>
  <c r="AF100" i="25"/>
  <c r="AG100" i="25"/>
  <c r="AH100" i="25"/>
  <c r="AI100" i="25"/>
  <c r="AJ100" i="25"/>
  <c r="G101" i="25"/>
  <c r="I101" i="25"/>
  <c r="J101" i="25"/>
  <c r="K101" i="25"/>
  <c r="M101" i="25"/>
  <c r="N101" i="25"/>
  <c r="O101" i="25"/>
  <c r="P101" i="25"/>
  <c r="Q101" i="25"/>
  <c r="R101" i="25"/>
  <c r="S101" i="25"/>
  <c r="T101" i="25"/>
  <c r="U101" i="25"/>
  <c r="V101" i="25"/>
  <c r="Y101" i="25"/>
  <c r="Z101" i="25"/>
  <c r="AB101" i="25"/>
  <c r="AC101" i="25"/>
  <c r="AD101" i="25"/>
  <c r="AE101" i="25"/>
  <c r="AF101" i="25"/>
  <c r="AG101" i="25"/>
  <c r="AH101" i="25"/>
  <c r="AI101" i="25"/>
  <c r="AJ101" i="25"/>
  <c r="G102" i="25"/>
  <c r="I102" i="25"/>
  <c r="J102" i="25"/>
  <c r="K102" i="25"/>
  <c r="M102" i="25"/>
  <c r="N102" i="25"/>
  <c r="O102" i="25"/>
  <c r="P102" i="25"/>
  <c r="Q102" i="25"/>
  <c r="R102" i="25"/>
  <c r="S102" i="25"/>
  <c r="T102" i="25"/>
  <c r="U102" i="25"/>
  <c r="V102" i="25"/>
  <c r="Y102" i="25"/>
  <c r="Z102" i="25"/>
  <c r="AB102" i="25"/>
  <c r="AC102" i="25"/>
  <c r="AD102" i="25"/>
  <c r="AE102" i="25"/>
  <c r="AF102" i="25"/>
  <c r="AG102" i="25"/>
  <c r="AH102" i="25"/>
  <c r="AI102" i="25"/>
  <c r="AJ102" i="25"/>
  <c r="G103" i="25"/>
  <c r="I103" i="25"/>
  <c r="J103" i="25"/>
  <c r="K103" i="25"/>
  <c r="M103" i="25"/>
  <c r="N103" i="25"/>
  <c r="O103" i="25"/>
  <c r="P103" i="25"/>
  <c r="Q103" i="25"/>
  <c r="R103" i="25"/>
  <c r="S103" i="25"/>
  <c r="T103" i="25"/>
  <c r="U103" i="25"/>
  <c r="V103" i="25"/>
  <c r="Y103" i="25"/>
  <c r="Z103" i="25"/>
  <c r="AB103" i="25"/>
  <c r="AC103" i="25"/>
  <c r="AD103" i="25"/>
  <c r="AE103" i="25"/>
  <c r="AF103" i="25"/>
  <c r="AG103" i="25"/>
  <c r="AH103" i="25"/>
  <c r="AI103" i="25"/>
  <c r="AJ103" i="25"/>
  <c r="G104" i="25"/>
  <c r="I104" i="25"/>
  <c r="J104" i="25"/>
  <c r="K104" i="25"/>
  <c r="M104" i="25"/>
  <c r="N104" i="25"/>
  <c r="O104" i="25"/>
  <c r="P104" i="25"/>
  <c r="Q104" i="25"/>
  <c r="R104" i="25"/>
  <c r="S104" i="25"/>
  <c r="T104" i="25"/>
  <c r="U104" i="25"/>
  <c r="V104" i="25"/>
  <c r="Y104" i="25"/>
  <c r="Z104" i="25"/>
  <c r="AB104" i="25"/>
  <c r="AC104" i="25"/>
  <c r="AD104" i="25"/>
  <c r="AE104" i="25"/>
  <c r="AF104" i="25"/>
  <c r="AG104" i="25"/>
  <c r="AH104" i="25"/>
  <c r="AI104" i="25"/>
  <c r="AJ104" i="25"/>
  <c r="G105" i="25"/>
  <c r="I105" i="25"/>
  <c r="J105" i="25"/>
  <c r="K105" i="25"/>
  <c r="M105" i="25"/>
  <c r="N105" i="25"/>
  <c r="O105" i="25"/>
  <c r="P105" i="25"/>
  <c r="Q105" i="25"/>
  <c r="R105" i="25"/>
  <c r="S105" i="25"/>
  <c r="T105" i="25"/>
  <c r="U105" i="25"/>
  <c r="V105" i="25"/>
  <c r="Y105" i="25"/>
  <c r="Z105" i="25"/>
  <c r="AB105" i="25"/>
  <c r="AC105" i="25"/>
  <c r="AD105" i="25"/>
  <c r="AE105" i="25"/>
  <c r="AF105" i="25"/>
  <c r="AG105" i="25"/>
  <c r="AH105" i="25"/>
  <c r="AI105" i="25"/>
  <c r="AJ105" i="25"/>
  <c r="G106" i="25"/>
  <c r="I106" i="25"/>
  <c r="J106" i="25"/>
  <c r="K106" i="25"/>
  <c r="M106" i="25"/>
  <c r="N106" i="25"/>
  <c r="O106" i="25"/>
  <c r="P106" i="25"/>
  <c r="Q106" i="25"/>
  <c r="R106" i="25"/>
  <c r="S106" i="25"/>
  <c r="T106" i="25"/>
  <c r="U106" i="25"/>
  <c r="V106" i="25"/>
  <c r="Y106" i="25"/>
  <c r="Z106" i="25"/>
  <c r="AB106" i="25"/>
  <c r="AC106" i="25"/>
  <c r="AD106" i="25"/>
  <c r="AE106" i="25"/>
  <c r="AF106" i="25"/>
  <c r="AG106" i="25"/>
  <c r="AH106" i="25"/>
  <c r="AI106" i="25"/>
  <c r="AJ106" i="25"/>
  <c r="AN37" i="25"/>
  <c r="AO4" i="25" s="1"/>
  <c r="BJ35" i="25" l="1"/>
  <c r="BJ11" i="25"/>
  <c r="BJ33" i="25"/>
  <c r="BJ31" i="25"/>
  <c r="BJ29" i="25"/>
  <c r="BJ21" i="25"/>
  <c r="BJ16" i="25"/>
  <c r="BJ23" i="25"/>
  <c r="BJ28" i="25"/>
  <c r="BJ12" i="25"/>
  <c r="BJ32" i="25"/>
  <c r="BJ14" i="25"/>
  <c r="BJ20" i="25"/>
  <c r="BJ4" i="25"/>
  <c r="BJ24" i="25"/>
  <c r="BJ34" i="25"/>
  <c r="BJ9" i="25"/>
  <c r="BJ27" i="25"/>
  <c r="BJ15" i="25"/>
  <c r="BJ17" i="25"/>
  <c r="K63" i="25"/>
  <c r="K97" i="25" s="1"/>
  <c r="S63" i="25"/>
  <c r="S97" i="25" s="1"/>
  <c r="AA63" i="25"/>
  <c r="AA97" i="25" s="1"/>
  <c r="AI63" i="25"/>
  <c r="AI97" i="25" s="1"/>
  <c r="T63" i="25"/>
  <c r="T97" i="25" s="1"/>
  <c r="AB63" i="25"/>
  <c r="AB97" i="25" s="1"/>
  <c r="AJ63" i="25"/>
  <c r="AJ97" i="25" s="1"/>
  <c r="H63" i="25"/>
  <c r="X63" i="25"/>
  <c r="AF63" i="25"/>
  <c r="AF97" i="25" s="1"/>
  <c r="Q63" i="25"/>
  <c r="Q97" i="25" s="1"/>
  <c r="AG63" i="25"/>
  <c r="AG97" i="25" s="1"/>
  <c r="J63" i="25"/>
  <c r="J97" i="25" s="1"/>
  <c r="R63" i="25"/>
  <c r="R97" i="25" s="1"/>
  <c r="Z63" i="25"/>
  <c r="Z97" i="25" s="1"/>
  <c r="AH63" i="25"/>
  <c r="AH97" i="25" s="1"/>
  <c r="M63" i="25"/>
  <c r="M97" i="25" s="1"/>
  <c r="U63" i="25"/>
  <c r="U97" i="25" s="1"/>
  <c r="AC63" i="25"/>
  <c r="AC97" i="25" s="1"/>
  <c r="G63" i="25"/>
  <c r="G97" i="25" s="1"/>
  <c r="O63" i="25"/>
  <c r="O97" i="25" s="1"/>
  <c r="W63" i="25"/>
  <c r="AE63" i="25"/>
  <c r="AE97" i="25" s="1"/>
  <c r="P63" i="25"/>
  <c r="P97" i="25" s="1"/>
  <c r="I63" i="25"/>
  <c r="I97" i="25" s="1"/>
  <c r="Y63" i="25"/>
  <c r="Y97" i="25" s="1"/>
  <c r="N63" i="25"/>
  <c r="N97" i="25" s="1"/>
  <c r="V63" i="25"/>
  <c r="V97" i="25" s="1"/>
  <c r="AD63" i="25"/>
  <c r="AD97" i="25" s="1"/>
  <c r="F63" i="25"/>
  <c r="AO11" i="25"/>
  <c r="AO19" i="25"/>
  <c r="AO27" i="25"/>
  <c r="AO18" i="25"/>
  <c r="AO34" i="25"/>
  <c r="AO12" i="25"/>
  <c r="AO20" i="25"/>
  <c r="AO28" i="25"/>
  <c r="AO5" i="25"/>
  <c r="AO13" i="25"/>
  <c r="AO21" i="25"/>
  <c r="AO29" i="25"/>
  <c r="AO6" i="25"/>
  <c r="AO14" i="25"/>
  <c r="AO22" i="25"/>
  <c r="AO30" i="25"/>
  <c r="AO7" i="25"/>
  <c r="AO15" i="25"/>
  <c r="AO23" i="25"/>
  <c r="AO31" i="25"/>
  <c r="AO10" i="25"/>
  <c r="AO26" i="25"/>
  <c r="AO8" i="25"/>
  <c r="AO16" i="25"/>
  <c r="AO24" i="25"/>
  <c r="AO32" i="25"/>
  <c r="AO9" i="25"/>
  <c r="AO17" i="25"/>
  <c r="AO25" i="25"/>
  <c r="AO33" i="25"/>
  <c r="AX33" i="25"/>
  <c r="AX34" i="25"/>
  <c r="AX5" i="25"/>
  <c r="AX6" i="25"/>
  <c r="AX7" i="25"/>
  <c r="AX8" i="25"/>
  <c r="AX9" i="25"/>
  <c r="AX10" i="25"/>
  <c r="AX11" i="25"/>
  <c r="AX12" i="25"/>
  <c r="AX13" i="25"/>
  <c r="AX14" i="25"/>
  <c r="AX15" i="25"/>
  <c r="AX16" i="25"/>
  <c r="AX17" i="25"/>
  <c r="AX18" i="25"/>
  <c r="AX19" i="25"/>
  <c r="AX20" i="25"/>
  <c r="AX21" i="25"/>
  <c r="AX22" i="25"/>
  <c r="AX23" i="25"/>
  <c r="AX24" i="25"/>
  <c r="AX25" i="25"/>
  <c r="AX26" i="25"/>
  <c r="AX27" i="25"/>
  <c r="AX28" i="25"/>
  <c r="AX29" i="25"/>
  <c r="AX30" i="25"/>
  <c r="AX31" i="25"/>
  <c r="AX32" i="25"/>
  <c r="AX4" i="25"/>
  <c r="AW33" i="25"/>
  <c r="AW34" i="25"/>
  <c r="AW5" i="25"/>
  <c r="AW6" i="25"/>
  <c r="AW7" i="25"/>
  <c r="AW8" i="25"/>
  <c r="AW9" i="25"/>
  <c r="AW10" i="25"/>
  <c r="AW11" i="25"/>
  <c r="AW12" i="25"/>
  <c r="AW13" i="25"/>
  <c r="AW14" i="25"/>
  <c r="AW15" i="25"/>
  <c r="AW16" i="25"/>
  <c r="AW17" i="25"/>
  <c r="AW18" i="25"/>
  <c r="AW19" i="25"/>
  <c r="AW20" i="25"/>
  <c r="AW21" i="25"/>
  <c r="AW22" i="25"/>
  <c r="AW23" i="25"/>
  <c r="AW24" i="25"/>
  <c r="AW25" i="25"/>
  <c r="AW26" i="25"/>
  <c r="AW27" i="25"/>
  <c r="AW28" i="25"/>
  <c r="AW29" i="25"/>
  <c r="AW30" i="25"/>
  <c r="AW31" i="25"/>
  <c r="AW32" i="25"/>
  <c r="AW4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1" i="25"/>
  <c r="AV32" i="25"/>
  <c r="AV33" i="25"/>
  <c r="AV34" i="25"/>
  <c r="AU33" i="25"/>
  <c r="AU34" i="25"/>
  <c r="AU32" i="25"/>
  <c r="AU31" i="25"/>
  <c r="AU30" i="25"/>
  <c r="AU29" i="25"/>
  <c r="AU28" i="25"/>
  <c r="AU27" i="25"/>
  <c r="AU26" i="25"/>
  <c r="AU25" i="25"/>
  <c r="AU24" i="25"/>
  <c r="AT23" i="25"/>
  <c r="AU22" i="25"/>
  <c r="AT21" i="25"/>
  <c r="AU20" i="25"/>
  <c r="AU19" i="25"/>
  <c r="AU18" i="25"/>
  <c r="AU16" i="25"/>
  <c r="AU15" i="25"/>
  <c r="AU14" i="25"/>
  <c r="AU13" i="25"/>
  <c r="AU12" i="25"/>
  <c r="AU11" i="25"/>
  <c r="AR10" i="25"/>
  <c r="AU9" i="25"/>
  <c r="AU8" i="25"/>
  <c r="AU7" i="25"/>
  <c r="AU6" i="25"/>
  <c r="D44" i="25"/>
  <c r="AU5" i="25"/>
  <c r="AY29" i="25" l="1"/>
  <c r="AO35" i="25"/>
  <c r="AY5" i="25"/>
  <c r="K44" i="25"/>
  <c r="T44" i="25"/>
  <c r="AC44" i="25"/>
  <c r="M44" i="25"/>
  <c r="U44" i="25"/>
  <c r="AD44" i="25"/>
  <c r="N44" i="25"/>
  <c r="V44" i="25"/>
  <c r="AE44" i="25"/>
  <c r="AH44" i="25"/>
  <c r="O44" i="25"/>
  <c r="W44" i="25"/>
  <c r="AF44" i="25"/>
  <c r="Y44" i="25"/>
  <c r="G44" i="25"/>
  <c r="P44" i="25"/>
  <c r="X44" i="25"/>
  <c r="AG44" i="25"/>
  <c r="H44" i="25"/>
  <c r="H78" i="25" s="1"/>
  <c r="Q44" i="25"/>
  <c r="I44" i="25"/>
  <c r="R44" i="25"/>
  <c r="Z44" i="25"/>
  <c r="AI44" i="25"/>
  <c r="J44" i="25"/>
  <c r="S44" i="25"/>
  <c r="AB44" i="25"/>
  <c r="AJ44" i="25"/>
  <c r="F44" i="25"/>
  <c r="AA44" i="25"/>
  <c r="L40" i="25"/>
  <c r="H86" i="25"/>
  <c r="H94" i="25"/>
  <c r="H102" i="25"/>
  <c r="H77" i="25"/>
  <c r="H85" i="25"/>
  <c r="H101" i="25"/>
  <c r="H98" i="25"/>
  <c r="H84" i="25"/>
  <c r="H92" i="25"/>
  <c r="H100" i="25"/>
  <c r="H106" i="25"/>
  <c r="H83" i="25"/>
  <c r="H91" i="25"/>
  <c r="H99" i="25"/>
  <c r="H90" i="25"/>
  <c r="H81" i="25"/>
  <c r="H87" i="25"/>
  <c r="H105" i="25"/>
  <c r="H103" i="25"/>
  <c r="H97" i="25"/>
  <c r="H80" i="25"/>
  <c r="H89" i="25"/>
  <c r="H104" i="25"/>
  <c r="H96" i="25"/>
  <c r="H88" i="25"/>
  <c r="H79" i="25"/>
  <c r="AU4" i="25"/>
  <c r="AY4" i="25" s="1"/>
  <c r="F42" i="25"/>
  <c r="F76" i="25" s="1"/>
  <c r="AY31" i="25"/>
  <c r="AY28" i="25"/>
  <c r="AY20" i="25"/>
  <c r="AY30" i="25"/>
  <c r="AY14" i="25"/>
  <c r="AY6" i="25"/>
  <c r="AY13" i="25"/>
  <c r="AY12" i="25"/>
  <c r="AY27" i="25"/>
  <c r="AY19" i="25"/>
  <c r="AY15" i="25"/>
  <c r="AY7" i="25"/>
  <c r="AY11" i="25"/>
  <c r="AY18" i="25"/>
  <c r="AY33" i="25"/>
  <c r="AY25" i="25"/>
  <c r="AY17" i="25"/>
  <c r="AY9" i="25"/>
  <c r="AY34" i="25"/>
  <c r="AY26" i="25"/>
  <c r="AY32" i="25"/>
  <c r="AY24" i="25"/>
  <c r="AY16" i="25"/>
  <c r="AY8" i="25"/>
  <c r="AY22" i="25"/>
  <c r="AU21" i="25"/>
  <c r="AY21" i="25" s="1"/>
  <c r="AU10" i="25"/>
  <c r="AY10" i="25" s="1"/>
  <c r="AU23" i="25"/>
  <c r="AY23" i="25" s="1"/>
  <c r="D59" i="25"/>
  <c r="L30" i="20"/>
  <c r="K30" i="20"/>
  <c r="J30" i="20"/>
  <c r="L29" i="20"/>
  <c r="K29" i="20"/>
  <c r="J29" i="20"/>
  <c r="L28" i="20"/>
  <c r="K28" i="20"/>
  <c r="J28" i="20"/>
  <c r="L27" i="20"/>
  <c r="K27" i="20"/>
  <c r="J27" i="20"/>
  <c r="L26" i="20"/>
  <c r="K26" i="20"/>
  <c r="J26" i="20"/>
  <c r="L25" i="20"/>
  <c r="K25" i="20"/>
  <c r="J25" i="20"/>
  <c r="L24" i="20"/>
  <c r="K24" i="20"/>
  <c r="J24" i="20"/>
  <c r="L23" i="20"/>
  <c r="K23" i="20"/>
  <c r="J23" i="20"/>
  <c r="L22" i="20"/>
  <c r="K22" i="20"/>
  <c r="J22" i="20"/>
  <c r="L21" i="20"/>
  <c r="K21" i="20"/>
  <c r="J21" i="20"/>
  <c r="L20" i="20"/>
  <c r="K20" i="20"/>
  <c r="J20" i="20"/>
  <c r="L19" i="20"/>
  <c r="K19" i="20"/>
  <c r="J19" i="20"/>
  <c r="L18" i="20"/>
  <c r="K18" i="20"/>
  <c r="J18" i="20"/>
  <c r="L17" i="20"/>
  <c r="K17" i="20"/>
  <c r="J17" i="20"/>
  <c r="L16" i="20"/>
  <c r="K16" i="20"/>
  <c r="J16" i="20"/>
  <c r="L15" i="20"/>
  <c r="K15" i="20"/>
  <c r="J15" i="20"/>
  <c r="J15" i="23"/>
  <c r="G37" i="23"/>
  <c r="F37" i="23"/>
  <c r="E35" i="23"/>
  <c r="G34" i="23"/>
  <c r="G35" i="23" s="1"/>
  <c r="F34" i="23"/>
  <c r="F35" i="23" s="1"/>
  <c r="G33" i="23"/>
  <c r="F33" i="23"/>
  <c r="J30" i="23"/>
  <c r="I30" i="23"/>
  <c r="G8" i="23"/>
  <c r="F8" i="23"/>
  <c r="A8" i="23"/>
  <c r="J29" i="23"/>
  <c r="I29" i="23"/>
  <c r="G29" i="23"/>
  <c r="F29" i="23"/>
  <c r="A29" i="23"/>
  <c r="J28" i="23"/>
  <c r="I28" i="23"/>
  <c r="G30" i="23"/>
  <c r="F30" i="23"/>
  <c r="J27" i="23"/>
  <c r="I27" i="23"/>
  <c r="G21" i="23"/>
  <c r="F21" i="23"/>
  <c r="K25" i="23" s="1"/>
  <c r="A21" i="23"/>
  <c r="J26" i="23"/>
  <c r="I26" i="23"/>
  <c r="G25" i="23"/>
  <c r="F25" i="23"/>
  <c r="A25" i="23"/>
  <c r="J25" i="23"/>
  <c r="I25" i="23"/>
  <c r="G26" i="23"/>
  <c r="F26" i="23"/>
  <c r="A26" i="23"/>
  <c r="J24" i="23"/>
  <c r="I24" i="23"/>
  <c r="G27" i="23"/>
  <c r="F27" i="23"/>
  <c r="J23" i="23"/>
  <c r="I23" i="23"/>
  <c r="G28" i="23"/>
  <c r="F28" i="23"/>
  <c r="J22" i="23"/>
  <c r="I22" i="23"/>
  <c r="G9" i="23"/>
  <c r="F9" i="23"/>
  <c r="A9" i="23"/>
  <c r="J21" i="23"/>
  <c r="I21" i="23"/>
  <c r="G13" i="23"/>
  <c r="F13" i="23"/>
  <c r="A13" i="23"/>
  <c r="J20" i="23"/>
  <c r="I20" i="23"/>
  <c r="G24" i="23"/>
  <c r="F24" i="23"/>
  <c r="A24" i="23"/>
  <c r="J19" i="23"/>
  <c r="I19" i="23"/>
  <c r="G23" i="23"/>
  <c r="F23" i="23"/>
  <c r="A23" i="23"/>
  <c r="J18" i="23"/>
  <c r="I18" i="23"/>
  <c r="G10" i="23"/>
  <c r="F10" i="23"/>
  <c r="A10" i="23"/>
  <c r="J17" i="23"/>
  <c r="I17" i="23"/>
  <c r="G22" i="23"/>
  <c r="F22" i="23"/>
  <c r="A22" i="23"/>
  <c r="J16" i="23"/>
  <c r="I16" i="23"/>
  <c r="G15" i="23"/>
  <c r="F15" i="23"/>
  <c r="A15" i="23"/>
  <c r="G11" i="23"/>
  <c r="F11" i="23"/>
  <c r="A11" i="23"/>
  <c r="G14" i="23"/>
  <c r="F14" i="23"/>
  <c r="G17" i="23"/>
  <c r="F17" i="23"/>
  <c r="A17" i="23"/>
  <c r="G16" i="23"/>
  <c r="F16" i="23"/>
  <c r="A16" i="23"/>
  <c r="G20" i="23"/>
  <c r="F20" i="23"/>
  <c r="A20" i="23"/>
  <c r="G19" i="23"/>
  <c r="F19" i="23"/>
  <c r="A19" i="23"/>
  <c r="G18" i="23"/>
  <c r="F18" i="23"/>
  <c r="A18" i="23"/>
  <c r="G12" i="23"/>
  <c r="F12" i="23"/>
  <c r="G7" i="23"/>
  <c r="F7" i="23"/>
  <c r="K26" i="23" s="1"/>
  <c r="A7" i="23"/>
  <c r="G6" i="23"/>
  <c r="L27" i="23" s="1"/>
  <c r="F6" i="23"/>
  <c r="K27" i="23" s="1"/>
  <c r="A6" i="23"/>
  <c r="G5" i="23"/>
  <c r="F5" i="23"/>
  <c r="A5" i="23"/>
  <c r="G3" i="23"/>
  <c r="L28" i="23" s="1"/>
  <c r="F3" i="23"/>
  <c r="A3" i="23"/>
  <c r="G4" i="23"/>
  <c r="F4" i="23"/>
  <c r="A4" i="23"/>
  <c r="G2" i="23"/>
  <c r="F2" i="23"/>
  <c r="A2" i="23"/>
  <c r="J15" i="22"/>
  <c r="I30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16" i="22"/>
  <c r="I16" i="20"/>
  <c r="G37" i="22"/>
  <c r="F37" i="22"/>
  <c r="F34" i="22"/>
  <c r="G34" i="22"/>
  <c r="G33" i="22"/>
  <c r="F33" i="22"/>
  <c r="G13" i="22"/>
  <c r="G9" i="22"/>
  <c r="G10" i="22"/>
  <c r="G12" i="22"/>
  <c r="G11" i="22"/>
  <c r="G29" i="22"/>
  <c r="G14" i="22"/>
  <c r="G24" i="22"/>
  <c r="G23" i="22"/>
  <c r="G20" i="22"/>
  <c r="G8" i="22"/>
  <c r="G19" i="22"/>
  <c r="G16" i="22"/>
  <c r="L16" i="22" s="1"/>
  <c r="G5" i="22"/>
  <c r="G3" i="22"/>
  <c r="G15" i="22"/>
  <c r="G26" i="22"/>
  <c r="L26" i="22" s="1"/>
  <c r="G25" i="22"/>
  <c r="L20" i="22" s="1"/>
  <c r="G30" i="22"/>
  <c r="L21" i="22" s="1"/>
  <c r="G21" i="22"/>
  <c r="G17" i="22"/>
  <c r="G22" i="22"/>
  <c r="G27" i="22"/>
  <c r="G7" i="22"/>
  <c r="G6" i="22"/>
  <c r="G4" i="22"/>
  <c r="L28" i="22" s="1"/>
  <c r="G18" i="22"/>
  <c r="L18" i="22" s="1"/>
  <c r="G2" i="22"/>
  <c r="L30" i="22" s="1"/>
  <c r="G28" i="22"/>
  <c r="F13" i="22"/>
  <c r="F9" i="22"/>
  <c r="F10" i="22"/>
  <c r="F12" i="22"/>
  <c r="F11" i="22"/>
  <c r="F29" i="22"/>
  <c r="F14" i="22"/>
  <c r="F24" i="22"/>
  <c r="F23" i="22"/>
  <c r="F20" i="22"/>
  <c r="F8" i="22"/>
  <c r="F19" i="22"/>
  <c r="K19" i="22" s="1"/>
  <c r="F16" i="22"/>
  <c r="F5" i="22"/>
  <c r="F3" i="22"/>
  <c r="F15" i="22"/>
  <c r="F26" i="22"/>
  <c r="F25" i="22"/>
  <c r="F30" i="22"/>
  <c r="F21" i="22"/>
  <c r="K22" i="22" s="1"/>
  <c r="F17" i="22"/>
  <c r="F22" i="22"/>
  <c r="F27" i="22"/>
  <c r="K27" i="22" s="1"/>
  <c r="F7" i="22"/>
  <c r="F6" i="22"/>
  <c r="F4" i="22"/>
  <c r="K28" i="22" s="1"/>
  <c r="F18" i="22"/>
  <c r="F2" i="22"/>
  <c r="F28" i="22"/>
  <c r="G35" i="22"/>
  <c r="F35" i="22"/>
  <c r="E35" i="22"/>
  <c r="A9" i="22"/>
  <c r="I29" i="22"/>
  <c r="A25" i="22"/>
  <c r="I28" i="22"/>
  <c r="A13" i="22"/>
  <c r="I27" i="22"/>
  <c r="A10" i="22"/>
  <c r="I26" i="22"/>
  <c r="A12" i="22"/>
  <c r="I25" i="22"/>
  <c r="A11" i="22"/>
  <c r="I24" i="22"/>
  <c r="I23" i="22"/>
  <c r="A19" i="22"/>
  <c r="I22" i="22"/>
  <c r="A27" i="22"/>
  <c r="I21" i="22"/>
  <c r="A17" i="22"/>
  <c r="I20" i="22"/>
  <c r="A20" i="22"/>
  <c r="I19" i="22"/>
  <c r="A21" i="22"/>
  <c r="I18" i="22"/>
  <c r="A26" i="22"/>
  <c r="I17" i="22"/>
  <c r="A16" i="22"/>
  <c r="I16" i="22"/>
  <c r="A18" i="22"/>
  <c r="A15" i="22"/>
  <c r="A22" i="22"/>
  <c r="A30" i="22"/>
  <c r="A29" i="22"/>
  <c r="A7" i="22"/>
  <c r="A6" i="22"/>
  <c r="A5" i="22"/>
  <c r="A3" i="22"/>
  <c r="A4" i="22"/>
  <c r="A2" i="22"/>
  <c r="L29" i="21"/>
  <c r="J15" i="19"/>
  <c r="G35" i="21"/>
  <c r="F35" i="21"/>
  <c r="E35" i="21"/>
  <c r="L30" i="21"/>
  <c r="K30" i="21"/>
  <c r="J30" i="21"/>
  <c r="I30" i="21"/>
  <c r="A30" i="21"/>
  <c r="K29" i="21"/>
  <c r="J29" i="21"/>
  <c r="I29" i="21"/>
  <c r="A29" i="21"/>
  <c r="L28" i="21"/>
  <c r="K28" i="21"/>
  <c r="J28" i="21"/>
  <c r="I28" i="21"/>
  <c r="A25" i="21"/>
  <c r="L27" i="21"/>
  <c r="K27" i="21"/>
  <c r="J27" i="21"/>
  <c r="I27" i="21"/>
  <c r="A28" i="21"/>
  <c r="L26" i="21"/>
  <c r="K26" i="21"/>
  <c r="J26" i="21"/>
  <c r="I26" i="21"/>
  <c r="A26" i="21"/>
  <c r="L25" i="21"/>
  <c r="K25" i="21"/>
  <c r="J25" i="21"/>
  <c r="I25" i="21"/>
  <c r="A27" i="21"/>
  <c r="L24" i="21"/>
  <c r="K24" i="21"/>
  <c r="J24" i="21"/>
  <c r="I24" i="21"/>
  <c r="L23" i="21"/>
  <c r="K23" i="21"/>
  <c r="J23" i="21"/>
  <c r="I23" i="21"/>
  <c r="A23" i="21"/>
  <c r="L22" i="21"/>
  <c r="K22" i="21"/>
  <c r="J22" i="21"/>
  <c r="I22" i="21"/>
  <c r="A22" i="21"/>
  <c r="L21" i="21"/>
  <c r="K21" i="21"/>
  <c r="J21" i="21"/>
  <c r="I21" i="21"/>
  <c r="A21" i="21"/>
  <c r="L20" i="21"/>
  <c r="K20" i="21"/>
  <c r="J20" i="21"/>
  <c r="I20" i="21"/>
  <c r="A20" i="21"/>
  <c r="L19" i="21"/>
  <c r="K19" i="21"/>
  <c r="J19" i="21"/>
  <c r="I19" i="21"/>
  <c r="A19" i="21"/>
  <c r="L18" i="21"/>
  <c r="K18" i="21"/>
  <c r="J18" i="21"/>
  <c r="I18" i="21"/>
  <c r="A18" i="21"/>
  <c r="L17" i="21"/>
  <c r="K17" i="21"/>
  <c r="J17" i="21"/>
  <c r="I17" i="21"/>
  <c r="A17" i="21"/>
  <c r="L16" i="21"/>
  <c r="K16" i="21"/>
  <c r="J16" i="21"/>
  <c r="I16" i="21"/>
  <c r="L15" i="21"/>
  <c r="K15" i="21"/>
  <c r="J15" i="21"/>
  <c r="A15" i="21"/>
  <c r="A14" i="21"/>
  <c r="A11" i="21"/>
  <c r="A10" i="21"/>
  <c r="A9" i="21"/>
  <c r="A7" i="21"/>
  <c r="A6" i="21"/>
  <c r="A5" i="21"/>
  <c r="A4" i="21"/>
  <c r="A3" i="21"/>
  <c r="A2" i="21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A3" i="20"/>
  <c r="A4" i="20"/>
  <c r="A5" i="20"/>
  <c r="A6" i="20"/>
  <c r="A7" i="20"/>
  <c r="A9" i="20"/>
  <c r="A10" i="20"/>
  <c r="A11" i="20"/>
  <c r="A20" i="20"/>
  <c r="A14" i="20"/>
  <c r="A15" i="20"/>
  <c r="A17" i="20"/>
  <c r="A18" i="20"/>
  <c r="A19" i="20"/>
  <c r="A21" i="20"/>
  <c r="A22" i="20"/>
  <c r="A23" i="20"/>
  <c r="A25" i="20"/>
  <c r="A26" i="20"/>
  <c r="A27" i="20"/>
  <c r="A28" i="20"/>
  <c r="A29" i="20"/>
  <c r="A30" i="20"/>
  <c r="A2" i="20"/>
  <c r="G35" i="20"/>
  <c r="F35" i="20"/>
  <c r="E35" i="20"/>
  <c r="J17" i="19"/>
  <c r="K17" i="19"/>
  <c r="L17" i="19"/>
  <c r="J18" i="19"/>
  <c r="K18" i="19"/>
  <c r="L18" i="19"/>
  <c r="J19" i="19"/>
  <c r="K19" i="19"/>
  <c r="L19" i="19"/>
  <c r="J20" i="19"/>
  <c r="K20" i="19"/>
  <c r="L20" i="19"/>
  <c r="J21" i="19"/>
  <c r="K21" i="19"/>
  <c r="L21" i="19"/>
  <c r="J22" i="19"/>
  <c r="K22" i="19"/>
  <c r="L22" i="19"/>
  <c r="J23" i="19"/>
  <c r="K23" i="19"/>
  <c r="L23" i="19"/>
  <c r="J24" i="19"/>
  <c r="K24" i="19"/>
  <c r="L24" i="19"/>
  <c r="J25" i="19"/>
  <c r="K25" i="19"/>
  <c r="L25" i="19"/>
  <c r="J26" i="19"/>
  <c r="K26" i="19"/>
  <c r="L26" i="19"/>
  <c r="J27" i="19"/>
  <c r="K27" i="19"/>
  <c r="L27" i="19"/>
  <c r="J28" i="19"/>
  <c r="K28" i="19"/>
  <c r="L28" i="19"/>
  <c r="J29" i="19"/>
  <c r="K29" i="19"/>
  <c r="L29" i="19"/>
  <c r="J30" i="19"/>
  <c r="K30" i="19"/>
  <c r="L30" i="19"/>
  <c r="K16" i="19"/>
  <c r="L16" i="19"/>
  <c r="J16" i="19"/>
  <c r="K15" i="19"/>
  <c r="L15" i="19"/>
  <c r="I17" i="19"/>
  <c r="I18" i="19"/>
  <c r="I19" i="19"/>
  <c r="I20" i="19"/>
  <c r="I21" i="19"/>
  <c r="I22" i="19"/>
  <c r="I23" i="19"/>
  <c r="I24" i="19"/>
  <c r="I25" i="19"/>
  <c r="I26" i="19"/>
  <c r="I27" i="19"/>
  <c r="I28" i="19"/>
  <c r="I29" i="19"/>
  <c r="I30" i="19"/>
  <c r="I16" i="19"/>
  <c r="F35" i="19"/>
  <c r="G35" i="19"/>
  <c r="E35" i="19"/>
  <c r="I59" i="25" l="1"/>
  <c r="S59" i="25"/>
  <c r="AC59" i="25"/>
  <c r="J59" i="25"/>
  <c r="U59" i="25"/>
  <c r="AD59" i="25"/>
  <c r="AD93" i="25" s="1"/>
  <c r="K59" i="25"/>
  <c r="V59" i="25"/>
  <c r="V93" i="25" s="1"/>
  <c r="AE59" i="25"/>
  <c r="M59" i="25"/>
  <c r="W59" i="25"/>
  <c r="W93" i="25" s="1"/>
  <c r="AF59" i="25"/>
  <c r="N59" i="25"/>
  <c r="X59" i="25"/>
  <c r="X93" i="25" s="1"/>
  <c r="AG59" i="25"/>
  <c r="AG93" i="25" s="1"/>
  <c r="P59" i="25"/>
  <c r="P93" i="25" s="1"/>
  <c r="Y59" i="25"/>
  <c r="AH59" i="25"/>
  <c r="Q59" i="25"/>
  <c r="Z59" i="25"/>
  <c r="AI59" i="25"/>
  <c r="R59" i="25"/>
  <c r="AB59" i="25"/>
  <c r="AB93" i="25" s="1"/>
  <c r="AJ59" i="25"/>
  <c r="AJ93" i="25" s="1"/>
  <c r="T59" i="25"/>
  <c r="G59" i="25"/>
  <c r="O59" i="25"/>
  <c r="H59" i="25"/>
  <c r="H93" i="25" s="1"/>
  <c r="AA59" i="25"/>
  <c r="AA93" i="25" s="1"/>
  <c r="F59" i="25"/>
  <c r="F93" i="25" s="1"/>
  <c r="D48" i="25"/>
  <c r="L47" i="25"/>
  <c r="L81" i="25" s="1"/>
  <c r="L52" i="25"/>
  <c r="L86" i="25" s="1"/>
  <c r="L58" i="25"/>
  <c r="L92" i="25" s="1"/>
  <c r="L64" i="25"/>
  <c r="L98" i="25" s="1"/>
  <c r="L51" i="25"/>
  <c r="L85" i="25" s="1"/>
  <c r="L57" i="25"/>
  <c r="L91" i="25" s="1"/>
  <c r="L70" i="25"/>
  <c r="L104" i="25" s="1"/>
  <c r="L43" i="25"/>
  <c r="L77" i="25" s="1"/>
  <c r="L60" i="25"/>
  <c r="L94" i="25" s="1"/>
  <c r="L59" i="25"/>
  <c r="L93" i="25" s="1"/>
  <c r="L53" i="25"/>
  <c r="L87" i="25" s="1"/>
  <c r="L65" i="25"/>
  <c r="L99" i="25" s="1"/>
  <c r="L71" i="25"/>
  <c r="L105" i="25" s="1"/>
  <c r="L46" i="25"/>
  <c r="L80" i="25" s="1"/>
  <c r="L69" i="25"/>
  <c r="L103" i="25" s="1"/>
  <c r="L67" i="25"/>
  <c r="L101" i="25" s="1"/>
  <c r="L54" i="25"/>
  <c r="L88" i="25" s="1"/>
  <c r="L66" i="25"/>
  <c r="L100" i="25" s="1"/>
  <c r="L72" i="25"/>
  <c r="L106" i="25" s="1"/>
  <c r="L45" i="25"/>
  <c r="L79" i="25" s="1"/>
  <c r="L50" i="25"/>
  <c r="L84" i="25" s="1"/>
  <c r="L56" i="25"/>
  <c r="L90" i="25" s="1"/>
  <c r="L62" i="25"/>
  <c r="L96" i="25" s="1"/>
  <c r="L68" i="25"/>
  <c r="L102" i="25" s="1"/>
  <c r="L44" i="25"/>
  <c r="L78" i="25" s="1"/>
  <c r="L49" i="25"/>
  <c r="L83" i="25" s="1"/>
  <c r="L55" i="25"/>
  <c r="L89" i="25" s="1"/>
  <c r="L61" i="25"/>
  <c r="L95" i="25" s="1"/>
  <c r="L63" i="25"/>
  <c r="L97" i="25" s="1"/>
  <c r="M42" i="25"/>
  <c r="U42" i="25"/>
  <c r="AC42" i="25"/>
  <c r="N42" i="25"/>
  <c r="V42" i="25"/>
  <c r="AD42" i="25"/>
  <c r="Z42" i="25"/>
  <c r="G42" i="25"/>
  <c r="O42" i="25"/>
  <c r="W42" i="25"/>
  <c r="AE42" i="25"/>
  <c r="H42" i="25"/>
  <c r="P42" i="25"/>
  <c r="X42" i="25"/>
  <c r="AF42" i="25"/>
  <c r="J42" i="25"/>
  <c r="I42" i="25"/>
  <c r="Q42" i="25"/>
  <c r="Y42" i="25"/>
  <c r="AG42" i="25"/>
  <c r="K42" i="25"/>
  <c r="S42" i="25"/>
  <c r="AA42" i="25"/>
  <c r="AI42" i="25"/>
  <c r="L42" i="25"/>
  <c r="T42" i="25"/>
  <c r="AB42" i="25"/>
  <c r="AJ42" i="25"/>
  <c r="R42" i="25"/>
  <c r="AH42" i="25"/>
  <c r="P78" i="25"/>
  <c r="X78" i="25"/>
  <c r="AF78" i="25"/>
  <c r="I78" i="25"/>
  <c r="Q78" i="25"/>
  <c r="Y78" i="25"/>
  <c r="AG78" i="25"/>
  <c r="AB78" i="25"/>
  <c r="J78" i="25"/>
  <c r="R78" i="25"/>
  <c r="Z78" i="25"/>
  <c r="AH78" i="25"/>
  <c r="AJ78" i="25"/>
  <c r="K78" i="25"/>
  <c r="S78" i="25"/>
  <c r="AA78" i="25"/>
  <c r="AI78" i="25"/>
  <c r="T78" i="25"/>
  <c r="V78" i="25"/>
  <c r="F78" i="25"/>
  <c r="W78" i="25"/>
  <c r="G78" i="25"/>
  <c r="AC78" i="25"/>
  <c r="M78" i="25"/>
  <c r="U78" i="25"/>
  <c r="AD78" i="25"/>
  <c r="AE78" i="25"/>
  <c r="N78" i="25"/>
  <c r="O78" i="25"/>
  <c r="I95" i="25"/>
  <c r="Q95" i="25"/>
  <c r="AG95" i="25"/>
  <c r="J95" i="25"/>
  <c r="R95" i="25"/>
  <c r="Z95" i="25"/>
  <c r="AH95" i="25"/>
  <c r="AB95" i="25"/>
  <c r="K95" i="25"/>
  <c r="S95" i="25"/>
  <c r="AA95" i="25"/>
  <c r="AI95" i="25"/>
  <c r="U95" i="25"/>
  <c r="T95" i="25"/>
  <c r="AJ95" i="25"/>
  <c r="M95" i="25"/>
  <c r="AC95" i="25"/>
  <c r="G95" i="25"/>
  <c r="H95" i="25"/>
  <c r="AD95" i="25"/>
  <c r="P95" i="25"/>
  <c r="N95" i="25"/>
  <c r="AE95" i="25"/>
  <c r="F95" i="25"/>
  <c r="O95" i="25"/>
  <c r="AF95" i="25"/>
  <c r="X95" i="25"/>
  <c r="V95" i="25"/>
  <c r="W95" i="25"/>
  <c r="F84" i="25"/>
  <c r="F92" i="25"/>
  <c r="F100" i="25"/>
  <c r="F83" i="25"/>
  <c r="F91" i="25"/>
  <c r="F99" i="25"/>
  <c r="F90" i="25"/>
  <c r="F98" i="25"/>
  <c r="F106" i="25"/>
  <c r="F97" i="25"/>
  <c r="F105" i="25"/>
  <c r="F96" i="25"/>
  <c r="F104" i="25"/>
  <c r="F81" i="25"/>
  <c r="F89" i="25"/>
  <c r="F80" i="25"/>
  <c r="F88" i="25"/>
  <c r="F102" i="25"/>
  <c r="F87" i="25"/>
  <c r="F94" i="25"/>
  <c r="F86" i="25"/>
  <c r="F85" i="25"/>
  <c r="F77" i="25"/>
  <c r="F79" i="25"/>
  <c r="F101" i="25"/>
  <c r="F103" i="25"/>
  <c r="G93" i="25"/>
  <c r="O93" i="25"/>
  <c r="AE93" i="25"/>
  <c r="AF93" i="25"/>
  <c r="S93" i="25"/>
  <c r="I93" i="25"/>
  <c r="Q93" i="25"/>
  <c r="Y93" i="25"/>
  <c r="J93" i="25"/>
  <c r="Z93" i="25"/>
  <c r="AI93" i="25"/>
  <c r="R93" i="25"/>
  <c r="AH93" i="25"/>
  <c r="K93" i="25"/>
  <c r="M93" i="25"/>
  <c r="N93" i="25"/>
  <c r="T93" i="25"/>
  <c r="AC93" i="25"/>
  <c r="U93" i="25"/>
  <c r="W77" i="25"/>
  <c r="W85" i="25"/>
  <c r="W101" i="25"/>
  <c r="W84" i="25"/>
  <c r="W92" i="25"/>
  <c r="W100" i="25"/>
  <c r="W98" i="25"/>
  <c r="W81" i="25"/>
  <c r="W105" i="25"/>
  <c r="W83" i="25"/>
  <c r="W91" i="25"/>
  <c r="W99" i="25"/>
  <c r="W97" i="25"/>
  <c r="W90" i="25"/>
  <c r="W106" i="25"/>
  <c r="W89" i="25"/>
  <c r="W102" i="25"/>
  <c r="W87" i="25"/>
  <c r="W94" i="25"/>
  <c r="W88" i="25"/>
  <c r="W80" i="25"/>
  <c r="W86" i="25"/>
  <c r="W104" i="25"/>
  <c r="W96" i="25"/>
  <c r="W79" i="25"/>
  <c r="W103" i="25"/>
  <c r="X86" i="25"/>
  <c r="X102" i="25"/>
  <c r="X77" i="25"/>
  <c r="X85" i="25"/>
  <c r="X101" i="25"/>
  <c r="X99" i="25"/>
  <c r="X98" i="25"/>
  <c r="X84" i="25"/>
  <c r="X92" i="25"/>
  <c r="X100" i="25"/>
  <c r="X91" i="25"/>
  <c r="X106" i="25"/>
  <c r="X83" i="25"/>
  <c r="X90" i="25"/>
  <c r="X87" i="25"/>
  <c r="X97" i="25"/>
  <c r="X89" i="25"/>
  <c r="X81" i="25"/>
  <c r="X103" i="25"/>
  <c r="X80" i="25"/>
  <c r="X104" i="25"/>
  <c r="X96" i="25"/>
  <c r="X88" i="25"/>
  <c r="X79" i="25"/>
  <c r="X105" i="25"/>
  <c r="K17" i="22"/>
  <c r="L22" i="22"/>
  <c r="L17" i="22"/>
  <c r="K15" i="22"/>
  <c r="L23" i="22"/>
  <c r="K24" i="22"/>
  <c r="K18" i="22"/>
  <c r="K30" i="22"/>
  <c r="L24" i="22"/>
  <c r="K25" i="22"/>
  <c r="K20" i="22"/>
  <c r="L27" i="22"/>
  <c r="K21" i="22"/>
  <c r="K26" i="22"/>
  <c r="K23" i="22"/>
  <c r="L15" i="22"/>
  <c r="L19" i="22"/>
  <c r="L29" i="22"/>
  <c r="K16" i="22"/>
  <c r="K29" i="22"/>
  <c r="L25" i="22"/>
  <c r="L21" i="23"/>
  <c r="L26" i="23"/>
  <c r="K19" i="23"/>
  <c r="L18" i="23"/>
  <c r="L20" i="23"/>
  <c r="K20" i="23"/>
  <c r="K21" i="23"/>
  <c r="K17" i="23"/>
  <c r="L24" i="23"/>
  <c r="K15" i="23"/>
  <c r="L19" i="23"/>
  <c r="L25" i="23"/>
  <c r="K18" i="23"/>
  <c r="L29" i="23"/>
  <c r="L22" i="23"/>
  <c r="K24" i="23"/>
  <c r="K28" i="23"/>
  <c r="L17" i="23"/>
  <c r="L15" i="23"/>
  <c r="K16" i="23"/>
  <c r="K22" i="23"/>
  <c r="K30" i="23"/>
  <c r="L16" i="23"/>
  <c r="K23" i="23"/>
  <c r="L30" i="23"/>
  <c r="L23" i="23"/>
  <c r="K29" i="23"/>
  <c r="N48" i="25" l="1"/>
  <c r="N82" i="25" s="1"/>
  <c r="V48" i="25"/>
  <c r="V82" i="25" s="1"/>
  <c r="AD48" i="25"/>
  <c r="AD82" i="25" s="1"/>
  <c r="G48" i="25"/>
  <c r="G82" i="25" s="1"/>
  <c r="O48" i="25"/>
  <c r="O82" i="25" s="1"/>
  <c r="W48" i="25"/>
  <c r="W82" i="25" s="1"/>
  <c r="AE48" i="25"/>
  <c r="AE82" i="25" s="1"/>
  <c r="S48" i="25"/>
  <c r="S82" i="25" s="1"/>
  <c r="AI48" i="25"/>
  <c r="AI82" i="25" s="1"/>
  <c r="L48" i="25"/>
  <c r="L82" i="25" s="1"/>
  <c r="AB48" i="25"/>
  <c r="AB82" i="25" s="1"/>
  <c r="M48" i="25"/>
  <c r="M82" i="25" s="1"/>
  <c r="U48" i="25"/>
  <c r="U82" i="25" s="1"/>
  <c r="AC48" i="25"/>
  <c r="AC82" i="25" s="1"/>
  <c r="H48" i="25"/>
  <c r="H82" i="25" s="1"/>
  <c r="P48" i="25"/>
  <c r="P82" i="25" s="1"/>
  <c r="X48" i="25"/>
  <c r="X82" i="25" s="1"/>
  <c r="AF48" i="25"/>
  <c r="AF82" i="25" s="1"/>
  <c r="K48" i="25"/>
  <c r="K82" i="25" s="1"/>
  <c r="AA48" i="25"/>
  <c r="AA82" i="25" s="1"/>
  <c r="T48" i="25"/>
  <c r="T82" i="25" s="1"/>
  <c r="AJ48" i="25"/>
  <c r="AJ82" i="25" s="1"/>
  <c r="I48" i="25"/>
  <c r="I82" i="25" s="1"/>
  <c r="Q48" i="25"/>
  <c r="Q82" i="25" s="1"/>
  <c r="Y48" i="25"/>
  <c r="Y82" i="25" s="1"/>
  <c r="AG48" i="25"/>
  <c r="AG82" i="25" s="1"/>
  <c r="J48" i="25"/>
  <c r="J82" i="25" s="1"/>
  <c r="R48" i="25"/>
  <c r="R82" i="25" s="1"/>
  <c r="Z48" i="25"/>
  <c r="Z82" i="25" s="1"/>
  <c r="AH48" i="25"/>
  <c r="AH82" i="25" s="1"/>
  <c r="F48" i="25"/>
  <c r="F82" i="25" s="1"/>
  <c r="G76" i="25"/>
  <c r="O76" i="25"/>
  <c r="W76" i="25"/>
  <c r="AE76" i="25"/>
  <c r="Z76" i="25"/>
  <c r="H76" i="25"/>
  <c r="P76" i="25"/>
  <c r="X76" i="25"/>
  <c r="AF76" i="25"/>
  <c r="Q76" i="25"/>
  <c r="AG76" i="25"/>
  <c r="J76" i="25"/>
  <c r="R76" i="25"/>
  <c r="I76" i="25"/>
  <c r="Y76" i="25"/>
  <c r="AH76" i="25"/>
  <c r="M76" i="25"/>
  <c r="AC76" i="25"/>
  <c r="N76" i="25"/>
  <c r="AD76" i="25"/>
  <c r="S76" i="25"/>
  <c r="AI76" i="25"/>
  <c r="U76" i="25"/>
  <c r="K76" i="25"/>
  <c r="T76" i="25"/>
  <c r="AJ76" i="25"/>
  <c r="L76" i="25"/>
  <c r="V76" i="25"/>
  <c r="AA76" i="25"/>
  <c r="AB76" i="25"/>
  <c r="F111" i="25" l="1" a="1"/>
  <c r="F111" i="25" s="1"/>
  <c r="AZ4" i="25" s="1" a="1"/>
  <c r="AZ4" i="25" l="1"/>
  <c r="BB4" i="25" s="1"/>
  <c r="BA26" i="25"/>
  <c r="BA23" i="25"/>
  <c r="BA27" i="25"/>
  <c r="BA20" i="25"/>
  <c r="BA11" i="25"/>
  <c r="BA17" i="25"/>
  <c r="BA28" i="25"/>
  <c r="BA8" i="25"/>
  <c r="BA5" i="25"/>
  <c r="BA16" i="25"/>
  <c r="BA13" i="25"/>
  <c r="BA24" i="25"/>
  <c r="BA34" i="25"/>
  <c r="BA21" i="25"/>
  <c r="BA7" i="25"/>
  <c r="BA19" i="25"/>
  <c r="BA29" i="25"/>
  <c r="BA18" i="25"/>
  <c r="BA12" i="25"/>
  <c r="BA6" i="25"/>
  <c r="BA31" i="25"/>
  <c r="BA9" i="25"/>
  <c r="BA14" i="25"/>
  <c r="BA22" i="25"/>
  <c r="BA25" i="25"/>
  <c r="BA30" i="25"/>
  <c r="BA33" i="25"/>
  <c r="BA10" i="25"/>
  <c r="BA32" i="25"/>
  <c r="BA15" i="25"/>
  <c r="BO9" i="25"/>
  <c r="BO17" i="25"/>
  <c r="BO25" i="25"/>
  <c r="BO11" i="25"/>
  <c r="BO19" i="25"/>
  <c r="BO27" i="25"/>
  <c r="BO34" i="25"/>
  <c r="BP34" i="25" s="1"/>
  <c r="BQ34" i="25" s="1"/>
  <c r="BO20" i="25"/>
  <c r="BO28" i="25"/>
  <c r="BO5" i="25"/>
  <c r="BO21" i="25"/>
  <c r="BO29" i="25"/>
  <c r="BO6" i="25"/>
  <c r="BO22" i="25"/>
  <c r="BO30" i="25"/>
  <c r="BO7" i="25"/>
  <c r="BO23" i="25"/>
  <c r="BO31" i="25"/>
  <c r="BO8" i="25"/>
  <c r="BO10" i="25"/>
  <c r="BO18" i="25"/>
  <c r="BO26" i="25"/>
  <c r="BO33" i="25"/>
  <c r="BP33" i="25" s="1"/>
  <c r="BQ33" i="25" s="1"/>
  <c r="BO12" i="25"/>
  <c r="BO13" i="25"/>
  <c r="BO14" i="25"/>
  <c r="BO15" i="25"/>
  <c r="BO16" i="25"/>
  <c r="BO24" i="25"/>
  <c r="BO32" i="25"/>
  <c r="BG6" i="25"/>
  <c r="BH6" i="25" s="1"/>
  <c r="BG28" i="25"/>
  <c r="BH28" i="25" s="1"/>
  <c r="BG24" i="25"/>
  <c r="BH24" i="25" s="1"/>
  <c r="BG26" i="25"/>
  <c r="BH26" i="25" s="1"/>
  <c r="BG11" i="25"/>
  <c r="BH11" i="25" s="1"/>
  <c r="BG10" i="25"/>
  <c r="BH10" i="25" s="1"/>
  <c r="BG20" i="25"/>
  <c r="BH20" i="25" s="1"/>
  <c r="BG16" i="25"/>
  <c r="BH16" i="25" s="1"/>
  <c r="BG30" i="25"/>
  <c r="BH30" i="25" s="1"/>
  <c r="BG15" i="25"/>
  <c r="BH15" i="25" s="1"/>
  <c r="BG22" i="25"/>
  <c r="BH22" i="25" s="1"/>
  <c r="BG9" i="25"/>
  <c r="BH9" i="25" s="1"/>
  <c r="BG14" i="25"/>
  <c r="BH14" i="25" s="1"/>
  <c r="BG32" i="25"/>
  <c r="BH32" i="25" s="1"/>
  <c r="BG19" i="25"/>
  <c r="BH19" i="25" s="1"/>
  <c r="BG29" i="25"/>
  <c r="BH29" i="25" s="1"/>
  <c r="BG12" i="25"/>
  <c r="BH12" i="25" s="1"/>
  <c r="BG8" i="25"/>
  <c r="BH8" i="25" s="1"/>
  <c r="BG13" i="25"/>
  <c r="BH13" i="25" s="1"/>
  <c r="BG18" i="25"/>
  <c r="BH18" i="25" s="1"/>
  <c r="BG5" i="25"/>
  <c r="BH5" i="25" s="1"/>
  <c r="BG34" i="25"/>
  <c r="BH34" i="25" s="1"/>
  <c r="BG33" i="25"/>
  <c r="BH33" i="25" s="1"/>
  <c r="BG31" i="25"/>
  <c r="BH31" i="25" s="1"/>
  <c r="BG17" i="25"/>
  <c r="BH17" i="25" s="1"/>
  <c r="BG7" i="25"/>
  <c r="BH7" i="25" s="1"/>
  <c r="BG27" i="25"/>
  <c r="BH27" i="25" s="1"/>
  <c r="BG21" i="25"/>
  <c r="BH21" i="25" s="1"/>
  <c r="BG25" i="25"/>
  <c r="BH25" i="25" s="1"/>
  <c r="BG23" i="25"/>
  <c r="BH23" i="25" s="1"/>
  <c r="BB12" i="25"/>
  <c r="BB20" i="25"/>
  <c r="BB28" i="25"/>
  <c r="BB24" i="25"/>
  <c r="BB19" i="25"/>
  <c r="BB5" i="25"/>
  <c r="BB13" i="25"/>
  <c r="BB21" i="25"/>
  <c r="BB29" i="25"/>
  <c r="BB16" i="25"/>
  <c r="BB6" i="25"/>
  <c r="BB14" i="25"/>
  <c r="BB22" i="25"/>
  <c r="BB30" i="25"/>
  <c r="BB8" i="25"/>
  <c r="BB27" i="25"/>
  <c r="BB7" i="25"/>
  <c r="BB15" i="25"/>
  <c r="BB23" i="25"/>
  <c r="BB31" i="25"/>
  <c r="BB32" i="25"/>
  <c r="BB9" i="25"/>
  <c r="BB17" i="25"/>
  <c r="BB25" i="25"/>
  <c r="BB33" i="25"/>
  <c r="BB10" i="25"/>
  <c r="BB18" i="25"/>
  <c r="BB26" i="25"/>
  <c r="BB34" i="25"/>
  <c r="BB11" i="25"/>
  <c r="BI27" i="25" l="1"/>
  <c r="CB27" i="25"/>
  <c r="CL27" i="25" s="1"/>
  <c r="CA27" i="25"/>
  <c r="CK27" i="25" s="1"/>
  <c r="BY27" i="25"/>
  <c r="CI27" i="25" s="1"/>
  <c r="BZ27" i="25"/>
  <c r="CJ27" i="25" s="1"/>
  <c r="BI13" i="25"/>
  <c r="CB13" i="25"/>
  <c r="CL13" i="25" s="1"/>
  <c r="CA13" i="25"/>
  <c r="CK13" i="25" s="1"/>
  <c r="BZ13" i="25"/>
  <c r="CJ13" i="25" s="1"/>
  <c r="BY13" i="25"/>
  <c r="CI13" i="25" s="1"/>
  <c r="BI22" i="25"/>
  <c r="BY22" i="25"/>
  <c r="CI22" i="25" s="1"/>
  <c r="CA22" i="25"/>
  <c r="CK22" i="25" s="1"/>
  <c r="BZ22" i="25"/>
  <c r="CJ22" i="25" s="1"/>
  <c r="CB22" i="25"/>
  <c r="CL22" i="25" s="1"/>
  <c r="BI24" i="25"/>
  <c r="CA24" i="25"/>
  <c r="CK24" i="25" s="1"/>
  <c r="BY24" i="25"/>
  <c r="CI24" i="25" s="1"/>
  <c r="BZ24" i="25"/>
  <c r="CJ24" i="25" s="1"/>
  <c r="CB24" i="25"/>
  <c r="CL24" i="25" s="1"/>
  <c r="BI7" i="25"/>
  <c r="CB7" i="25"/>
  <c r="CL7" i="25" s="1"/>
  <c r="BZ7" i="25"/>
  <c r="CJ7" i="25" s="1"/>
  <c r="BY7" i="25"/>
  <c r="CI7" i="25" s="1"/>
  <c r="CA7" i="25"/>
  <c r="CK7" i="25" s="1"/>
  <c r="BI8" i="25"/>
  <c r="BY8" i="25"/>
  <c r="CI8" i="25" s="1"/>
  <c r="BZ8" i="25"/>
  <c r="CJ8" i="25" s="1"/>
  <c r="CA8" i="25"/>
  <c r="CK8" i="25" s="1"/>
  <c r="CB8" i="25"/>
  <c r="CL8" i="25" s="1"/>
  <c r="BI15" i="25"/>
  <c r="CB15" i="25"/>
  <c r="CL15" i="25" s="1"/>
  <c r="CA15" i="25"/>
  <c r="CK15" i="25" s="1"/>
  <c r="BY15" i="25"/>
  <c r="CI15" i="25" s="1"/>
  <c r="BZ15" i="25"/>
  <c r="CJ15" i="25" s="1"/>
  <c r="BI28" i="25"/>
  <c r="BY28" i="25"/>
  <c r="CI28" i="25" s="1"/>
  <c r="CA28" i="25"/>
  <c r="CK28" i="25" s="1"/>
  <c r="BZ28" i="25"/>
  <c r="CJ28" i="25" s="1"/>
  <c r="CB28" i="25"/>
  <c r="CL28" i="25" s="1"/>
  <c r="BI17" i="25"/>
  <c r="CB17" i="25"/>
  <c r="CL17" i="25" s="1"/>
  <c r="BZ17" i="25"/>
  <c r="CJ17" i="25" s="1"/>
  <c r="BY17" i="25"/>
  <c r="CI17" i="25" s="1"/>
  <c r="CA17" i="25"/>
  <c r="CK17" i="25" s="1"/>
  <c r="BI6" i="25"/>
  <c r="BY6" i="25"/>
  <c r="CI6" i="25" s="1"/>
  <c r="BZ6" i="25"/>
  <c r="CJ6" i="25" s="1"/>
  <c r="CA6" i="25"/>
  <c r="CK6" i="25" s="1"/>
  <c r="CB6" i="25"/>
  <c r="CL6" i="25" s="1"/>
  <c r="BI29" i="25"/>
  <c r="CB29" i="25"/>
  <c r="CL29" i="25" s="1"/>
  <c r="BZ29" i="25"/>
  <c r="CJ29" i="25" s="1"/>
  <c r="BY29" i="25"/>
  <c r="CI29" i="25" s="1"/>
  <c r="CA29" i="25"/>
  <c r="CK29" i="25" s="1"/>
  <c r="BI16" i="25"/>
  <c r="BY16" i="25"/>
  <c r="CI16" i="25" s="1"/>
  <c r="CA16" i="25"/>
  <c r="CK16" i="25" s="1"/>
  <c r="BZ16" i="25"/>
  <c r="CJ16" i="25" s="1"/>
  <c r="CB16" i="25"/>
  <c r="CL16" i="25" s="1"/>
  <c r="BI12" i="25"/>
  <c r="CA12" i="25"/>
  <c r="CK12" i="25" s="1"/>
  <c r="BY12" i="25"/>
  <c r="CI12" i="25" s="1"/>
  <c r="BZ12" i="25"/>
  <c r="CJ12" i="25" s="1"/>
  <c r="CB12" i="25"/>
  <c r="CL12" i="25" s="1"/>
  <c r="BI31" i="25"/>
  <c r="CB31" i="25"/>
  <c r="CL31" i="25" s="1"/>
  <c r="CA31" i="25"/>
  <c r="CK31" i="25" s="1"/>
  <c r="BZ31" i="25"/>
  <c r="CJ31" i="25" s="1"/>
  <c r="BY31" i="25"/>
  <c r="CI31" i="25" s="1"/>
  <c r="BI33" i="25"/>
  <c r="CB33" i="25"/>
  <c r="CL33" i="25" s="1"/>
  <c r="BY33" i="25"/>
  <c r="CI33" i="25" s="1"/>
  <c r="BZ33" i="25"/>
  <c r="CJ33" i="25" s="1"/>
  <c r="CA33" i="25"/>
  <c r="CK33" i="25" s="1"/>
  <c r="BI19" i="25"/>
  <c r="CB19" i="25"/>
  <c r="CL19" i="25" s="1"/>
  <c r="BY19" i="25"/>
  <c r="CI19" i="25" s="1"/>
  <c r="BZ19" i="25"/>
  <c r="CJ19" i="25" s="1"/>
  <c r="CA19" i="25"/>
  <c r="CK19" i="25" s="1"/>
  <c r="BI20" i="25"/>
  <c r="CA20" i="25"/>
  <c r="CK20" i="25" s="1"/>
  <c r="BY20" i="25"/>
  <c r="CI20" i="25" s="1"/>
  <c r="BZ20" i="25"/>
  <c r="CJ20" i="25" s="1"/>
  <c r="CB20" i="25"/>
  <c r="CL20" i="25" s="1"/>
  <c r="BI25" i="25"/>
  <c r="CB25" i="25"/>
  <c r="CL25" i="25" s="1"/>
  <c r="BY25" i="25"/>
  <c r="CI25" i="25" s="1"/>
  <c r="BZ25" i="25"/>
  <c r="CJ25" i="25" s="1"/>
  <c r="CA25" i="25"/>
  <c r="CK25" i="25" s="1"/>
  <c r="BI5" i="25"/>
  <c r="CB5" i="25"/>
  <c r="CL5" i="25" s="1"/>
  <c r="BY5" i="25"/>
  <c r="CI5" i="25" s="1"/>
  <c r="BZ5" i="25"/>
  <c r="CJ5" i="25" s="1"/>
  <c r="CA5" i="25"/>
  <c r="CK5" i="25" s="1"/>
  <c r="BI14" i="25"/>
  <c r="CA14" i="25"/>
  <c r="CK14" i="25" s="1"/>
  <c r="BY14" i="25"/>
  <c r="CI14" i="25" s="1"/>
  <c r="BZ14" i="25"/>
  <c r="CJ14" i="25" s="1"/>
  <c r="CB14" i="25"/>
  <c r="CL14" i="25" s="1"/>
  <c r="BI11" i="25"/>
  <c r="CB11" i="25"/>
  <c r="CL11" i="25" s="1"/>
  <c r="BY11" i="25"/>
  <c r="CI11" i="25" s="1"/>
  <c r="BZ11" i="25"/>
  <c r="CJ11" i="25" s="1"/>
  <c r="CA11" i="25"/>
  <c r="CK11" i="25" s="1"/>
  <c r="BI30" i="25"/>
  <c r="CA30" i="25"/>
  <c r="CK30" i="25" s="1"/>
  <c r="BY30" i="25"/>
  <c r="CI30" i="25" s="1"/>
  <c r="BZ30" i="25"/>
  <c r="CJ30" i="25" s="1"/>
  <c r="CB30" i="25"/>
  <c r="CL30" i="25" s="1"/>
  <c r="BI23" i="25"/>
  <c r="CB23" i="25"/>
  <c r="CL23" i="25" s="1"/>
  <c r="BZ23" i="25"/>
  <c r="CJ23" i="25" s="1"/>
  <c r="BY23" i="25"/>
  <c r="CI23" i="25" s="1"/>
  <c r="CA23" i="25"/>
  <c r="CK23" i="25" s="1"/>
  <c r="BI34" i="25"/>
  <c r="CA34" i="25"/>
  <c r="CK34" i="25" s="1"/>
  <c r="BY34" i="25"/>
  <c r="CI34" i="25" s="1"/>
  <c r="BZ34" i="25"/>
  <c r="CJ34" i="25" s="1"/>
  <c r="CB34" i="25"/>
  <c r="CL34" i="25" s="1"/>
  <c r="BI32" i="25"/>
  <c r="BY32" i="25"/>
  <c r="CI32" i="25" s="1"/>
  <c r="BZ32" i="25"/>
  <c r="CJ32" i="25" s="1"/>
  <c r="CA32" i="25"/>
  <c r="CK32" i="25" s="1"/>
  <c r="CB32" i="25"/>
  <c r="CL32" i="25" s="1"/>
  <c r="BI10" i="25"/>
  <c r="BY10" i="25"/>
  <c r="CI10" i="25" s="1"/>
  <c r="CA10" i="25"/>
  <c r="CK10" i="25" s="1"/>
  <c r="BZ10" i="25"/>
  <c r="CJ10" i="25" s="1"/>
  <c r="CB10" i="25"/>
  <c r="CL10" i="25" s="1"/>
  <c r="BI21" i="25"/>
  <c r="CB21" i="25"/>
  <c r="CL21" i="25" s="1"/>
  <c r="CA21" i="25"/>
  <c r="CK21" i="25" s="1"/>
  <c r="BZ21" i="25"/>
  <c r="CJ21" i="25" s="1"/>
  <c r="BY21" i="25"/>
  <c r="CI21" i="25" s="1"/>
  <c r="BI18" i="25"/>
  <c r="BY18" i="25"/>
  <c r="CI18" i="25" s="1"/>
  <c r="BZ18" i="25"/>
  <c r="CJ18" i="25" s="1"/>
  <c r="CA18" i="25"/>
  <c r="CK18" i="25" s="1"/>
  <c r="CB18" i="25"/>
  <c r="CL18" i="25" s="1"/>
  <c r="BI9" i="25"/>
  <c r="CB9" i="25"/>
  <c r="CL9" i="25" s="1"/>
  <c r="BY9" i="25"/>
  <c r="CI9" i="25" s="1"/>
  <c r="CA9" i="25"/>
  <c r="CK9" i="25" s="1"/>
  <c r="BZ9" i="25"/>
  <c r="CJ9" i="25" s="1"/>
  <c r="BI26" i="25"/>
  <c r="BY26" i="25"/>
  <c r="CI26" i="25" s="1"/>
  <c r="BZ26" i="25"/>
  <c r="CJ26" i="25" s="1"/>
  <c r="CA26" i="25"/>
  <c r="CK26" i="25" s="1"/>
  <c r="CB26" i="25"/>
  <c r="CL26" i="25" s="1"/>
  <c r="BA4" i="25"/>
  <c r="AZ37" i="25"/>
  <c r="BA37" i="25" s="1"/>
  <c r="BB37" i="25" s="1"/>
  <c r="BG4" i="25"/>
  <c r="BG37" i="25" s="1"/>
  <c r="BO4" i="25"/>
  <c r="BO37" i="25" s="1"/>
  <c r="BP27" i="25"/>
  <c r="BQ27" i="25" s="1"/>
  <c r="BP32" i="25"/>
  <c r="BQ32" i="25" s="1"/>
  <c r="BP14" i="25"/>
  <c r="BQ14" i="25" s="1"/>
  <c r="BP6" i="25"/>
  <c r="BQ6" i="25" s="1"/>
  <c r="BP28" i="25"/>
  <c r="BQ28" i="25" s="1"/>
  <c r="BP18" i="25"/>
  <c r="BQ18" i="25" s="1"/>
  <c r="BP22" i="25"/>
  <c r="BQ22" i="25" s="1"/>
  <c r="BP13" i="25"/>
  <c r="BQ13" i="25" s="1"/>
  <c r="BP26" i="25"/>
  <c r="BQ26" i="25" s="1"/>
  <c r="BP31" i="25"/>
  <c r="BQ31" i="25" s="1"/>
  <c r="BP5" i="25"/>
  <c r="BQ5" i="25" s="1"/>
  <c r="BP15" i="25"/>
  <c r="BQ15" i="25" s="1"/>
  <c r="BP12" i="25"/>
  <c r="BQ12" i="25" s="1"/>
  <c r="BP24" i="25"/>
  <c r="BQ24" i="25" s="1"/>
  <c r="BP8" i="25"/>
  <c r="BQ8" i="25" s="1"/>
  <c r="BP17" i="25"/>
  <c r="BQ17" i="25" s="1"/>
  <c r="BP23" i="25"/>
  <c r="BQ23" i="25" s="1"/>
  <c r="BP11" i="25"/>
  <c r="BQ11" i="25" s="1"/>
  <c r="BP20" i="25"/>
  <c r="BQ20" i="25" s="1"/>
  <c r="BP25" i="25"/>
  <c r="BQ25" i="25" s="1"/>
  <c r="BP30" i="25"/>
  <c r="BQ30" i="25" s="1"/>
  <c r="BP10" i="25"/>
  <c r="BQ10" i="25" s="1"/>
  <c r="BP21" i="25"/>
  <c r="BQ21" i="25" s="1"/>
  <c r="BP7" i="25"/>
  <c r="BQ7" i="25" s="1"/>
  <c r="BP16" i="25"/>
  <c r="BQ16" i="25" s="1"/>
  <c r="BP9" i="25"/>
  <c r="BQ9" i="25" s="1"/>
  <c r="BP19" i="25"/>
  <c r="BQ19" i="25" s="1"/>
  <c r="BP29" i="25"/>
  <c r="BQ29" i="25" s="1"/>
  <c r="BH52" i="25" l="1"/>
  <c r="BH76" i="25"/>
  <c r="BH64" i="25"/>
  <c r="BI53" i="25" l="1"/>
  <c r="BN58" i="25"/>
  <c r="BP4" i="25"/>
  <c r="BP37" i="25" s="1"/>
  <c r="BH4" i="25"/>
  <c r="BI82" i="25"/>
  <c r="BH82" i="25" s="1"/>
  <c r="BI70" i="25"/>
  <c r="BI58" i="25"/>
  <c r="CB4" i="25" l="1"/>
  <c r="BZ4" i="25"/>
  <c r="CA4" i="25"/>
  <c r="BY4" i="25"/>
  <c r="BI4" i="25"/>
  <c r="BH37" i="25"/>
  <c r="BN59" i="25" s="1"/>
  <c r="BH70" i="25"/>
  <c r="BN53" i="25"/>
  <c r="BQ4" i="25"/>
  <c r="BI77" i="25"/>
  <c r="BH77" i="25" s="1"/>
  <c r="BH81" i="25" s="1"/>
  <c r="BI65" i="25"/>
  <c r="BH65" i="25" s="1"/>
  <c r="BH68" i="25" s="1"/>
  <c r="BY37" i="25" l="1"/>
  <c r="CI4" i="25"/>
  <c r="CI37" i="25" s="1"/>
  <c r="CA37" i="25"/>
  <c r="CK4" i="25"/>
  <c r="CK37" i="25" s="1"/>
  <c r="BI46" i="25" s="1"/>
  <c r="BZ37" i="25"/>
  <c r="CJ4" i="25"/>
  <c r="CJ37" i="25" s="1"/>
  <c r="CB37" i="25"/>
  <c r="CL4" i="25"/>
  <c r="CL37" i="25" s="1"/>
  <c r="BI49" i="25" s="1"/>
  <c r="BN60" i="25"/>
  <c r="BI84" i="25"/>
  <c r="BI72" i="25"/>
  <c r="BH72" i="25" s="1"/>
  <c r="BI60" i="25"/>
  <c r="BH60" i="25" s="1"/>
  <c r="BQ37" i="25"/>
  <c r="BI67" i="25" s="1"/>
  <c r="BH67" i="25" s="1"/>
  <c r="BI83" i="25"/>
  <c r="BH83" i="25" s="1"/>
  <c r="BI71" i="25"/>
  <c r="BI37" i="25"/>
  <c r="BI59" i="25"/>
  <c r="BH59" i="25" s="1"/>
  <c r="BI44" i="25" l="1"/>
  <c r="BJ44" i="25" s="1"/>
  <c r="BK44" i="25" s="1"/>
  <c r="BI47" i="25"/>
  <c r="BJ47" i="25" s="1"/>
  <c r="BK47" i="25" s="1"/>
  <c r="BI48" i="25"/>
  <c r="BJ48" i="25" s="1"/>
  <c r="BK48" i="25" s="1"/>
  <c r="BJ49" i="25"/>
  <c r="BK49" i="25" s="1"/>
  <c r="BJ46" i="25"/>
  <c r="BK46" i="25" s="1"/>
  <c r="BI45" i="25"/>
  <c r="BI54" i="25"/>
  <c r="BH54" i="25" s="1"/>
  <c r="BN54" i="25"/>
  <c r="BN56" i="25" s="1"/>
  <c r="BI55" i="25"/>
  <c r="BH55" i="25" s="1"/>
  <c r="BN55" i="25"/>
  <c r="BI78" i="25"/>
  <c r="BI66" i="25"/>
  <c r="BI79" i="25"/>
  <c r="BJ45" i="25" l="1"/>
  <c r="BK45" i="25" s="1"/>
  <c r="BH78" i="25"/>
  <c r="BH80" i="25" s="1"/>
  <c r="BN57" i="25"/>
  <c r="BH69" i="25"/>
  <c r="BH57" i="25"/>
  <c r="BH56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tc={2D75E840-E6E6-46CA-8BB6-FFCF5AB2C268}</author>
  </authors>
  <commentList>
    <comment ref="BD5" authorId="0" shapeId="0" xr:uid="{2D75E840-E6E6-46CA-8BB6-FFCF5AB2C26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CUADRARLO POR ESTE LADO.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<sst xmlns="http://schemas.openxmlformats.org/spreadsheetml/2006/main" count="1441" uniqueCount="248">
  <si>
    <t>Extracción de carbón de piedra y lignito</t>
  </si>
  <si>
    <t>Extracción de minerales metalíferos</t>
  </si>
  <si>
    <t>Extracción de otras minas y canteras</t>
  </si>
  <si>
    <t>Construcción de edificaciones residenciales y no residenciales</t>
  </si>
  <si>
    <t>Construcción de carreteras y vías de ferrocarril, de proyectos de servicio público y de otras obras de ingeniería civil</t>
  </si>
  <si>
    <t>Actividades especializadas para la construcción de edificaciones y obras de ingeniería civil (Alquiler de maquinaría y equipo de construcción con operadores)</t>
  </si>
  <si>
    <t>Actividades inmobiliarias</t>
  </si>
  <si>
    <t>Extracción de petróleo crudo y gas natural</t>
  </si>
  <si>
    <t>Actividades de apoyo para actividades de explotación de minas y canteras</t>
  </si>
  <si>
    <t>Administración pública y defensa; planes de seguridad social de afiliación obligatoria</t>
  </si>
  <si>
    <t>Actividades de atención de la salud humana y de servicios sociales</t>
  </si>
  <si>
    <t>C</t>
  </si>
  <si>
    <t>FBK</t>
  </si>
  <si>
    <t>NX</t>
  </si>
  <si>
    <t>X</t>
  </si>
  <si>
    <t>MIP</t>
  </si>
  <si>
    <t>S</t>
  </si>
  <si>
    <t>S-1</t>
  </si>
  <si>
    <t>(S-1)^(-1)</t>
  </si>
  <si>
    <t>Y</t>
  </si>
  <si>
    <t>X'</t>
  </si>
  <si>
    <t>X'-X</t>
  </si>
  <si>
    <t>X'-X/X</t>
  </si>
  <si>
    <t>shock</t>
  </si>
  <si>
    <t>1-shock</t>
  </si>
  <si>
    <t>A</t>
  </si>
  <si>
    <t>B1</t>
  </si>
  <si>
    <t>B2</t>
  </si>
  <si>
    <t>B3</t>
  </si>
  <si>
    <t>B4</t>
  </si>
  <si>
    <t>B5</t>
  </si>
  <si>
    <t>C01</t>
  </si>
  <si>
    <t>C02</t>
  </si>
  <si>
    <t>C03</t>
  </si>
  <si>
    <t>C04</t>
  </si>
  <si>
    <t>C05</t>
  </si>
  <si>
    <t>C06</t>
  </si>
  <si>
    <t>E</t>
  </si>
  <si>
    <t>F01</t>
  </si>
  <si>
    <t>F02</t>
  </si>
  <si>
    <t>F03</t>
  </si>
  <si>
    <t>G</t>
  </si>
  <si>
    <t>H</t>
  </si>
  <si>
    <t>I</t>
  </si>
  <si>
    <t>J</t>
  </si>
  <si>
    <t>K</t>
  </si>
  <si>
    <t>L</t>
  </si>
  <si>
    <t>M + N</t>
  </si>
  <si>
    <t>O</t>
  </si>
  <si>
    <t>P</t>
  </si>
  <si>
    <t>Q</t>
  </si>
  <si>
    <t>R + S</t>
  </si>
  <si>
    <t>T</t>
  </si>
  <si>
    <t>Agricultura, ganadería, caza, silvicultura y pesca</t>
  </si>
  <si>
    <t>Elaboración de productos alimenticios; elaboración de bebidas; elaboración de productos de tabaco</t>
  </si>
  <si>
    <t xml:space="preserve">Fabricación de productos textiles; confección de prendas de vestir; curtido y recurtido de cueros; fabricación de calzado; fabricación de artículos de viaje, maletas, bolsos de mano y artículos similares, y fabricación de artículos de talabartería y guarnicionería; adobo y teñido de pieles </t>
  </si>
  <si>
    <t>Transformación de la madera y fabricación de productos de madera y de corcho, excepto muebles; fabricación de artículos de cestería y espartería; fabricación de papel, cartón y productos de papel y de cartón; actividades de impresión; producción de copias a partir de grabaciones originales</t>
  </si>
  <si>
    <t>Coquización, fabricación de productos de la refinación del petróleo y actividad de mezcla de combustibles; fabricación de sustancias y productos químicos; fabricación de productos farmacéuticos, sustancias químicas medicinales y productos botánicos de uso farmacéutico; fabricación de productos de caucho y de plástico; fabricación de otros productos minerales no metálicos</t>
  </si>
  <si>
    <t>Fabricación de productos metalúrgicos básicos; fabricación de productos elaborados de metal, excepto maquinaria y equipo; fabricación de aparatos y equipo eléctrico; fabricación de productos informáticos, electrónicos y ópticos; fabricación de maquinaria y equipo n.c.p.; fabricación de vehículos automotores, remolques y semirremolques; fabricación de otros tipos de equipo de transporte; instalación, mantenimiento y reparación especializado de maquinaria y equipo</t>
  </si>
  <si>
    <t>Fabricación de muebles, colchones y somieres; otras industrias manufactureras</t>
  </si>
  <si>
    <t>Suministro de electricidad, gas, vapor y aire acondicionado</t>
  </si>
  <si>
    <t>Distribución de agua; evacuación y tratamiento de aguas residuales, gestión de desechos y actividades de saneamiento ambiental</t>
  </si>
  <si>
    <t>Comercio al por mayor y al por menor; reparación de vehículos automotores y motocicletas</t>
  </si>
  <si>
    <t>Transporte y almacenamiento</t>
  </si>
  <si>
    <t>Alojamiento y servicios de comida</t>
  </si>
  <si>
    <t>Información y comunicaciones</t>
  </si>
  <si>
    <t>Actividades financieras y de seguros</t>
  </si>
  <si>
    <t>Actividades profesionales, científicas y técnicas; Actividades de servicios administrativos y de apoyo</t>
  </si>
  <si>
    <t>Educación</t>
  </si>
  <si>
    <t>Actividades artísticas, de entretenimiento y recreación y otras actividades de servicios</t>
  </si>
  <si>
    <t>Actividades de los hogares individuales en calidad de empleadores; actividades no diferenciadas de los hogares individuales como productores de bienes y servicios para uso propio</t>
  </si>
  <si>
    <t>W</t>
  </si>
  <si>
    <t>W/X</t>
  </si>
  <si>
    <t>W = X * W/X</t>
  </si>
  <si>
    <t>CHECK</t>
  </si>
  <si>
    <t>W' = X' * W/X</t>
  </si>
  <si>
    <t>W-W'/W</t>
  </si>
  <si>
    <t>W-W'</t>
  </si>
  <si>
    <t>Agriculture, livestock, hunting, forestry, and fishing</t>
  </si>
  <si>
    <t>Extraction of coal and lignite</t>
  </si>
  <si>
    <t>Crude oil and natural gas extraction</t>
  </si>
  <si>
    <t>Support activities for mining and quarrying</t>
  </si>
  <si>
    <t>Extraction of metal ores</t>
  </si>
  <si>
    <t>Extraction of other mines and quarries</t>
  </si>
  <si>
    <t>Food products manufacturing; beverage production; tobacco products processing</t>
  </si>
  <si>
    <t>Textile products manufacturing; clothing making; leather tanning and dressing; footwear manufacturing; travel goods, handbags, saddlery, and harnesses production; fur dressing and dyeing</t>
  </si>
  <si>
    <t>Wood processing and wooden/cork products manufacturing, excluding furniture; basketry and wickerwork; paper, cardboard products manufacturing; printing activities; media duplication</t>
  </si>
  <si>
    <t>Coking, petroleum refining and fuel blending; chemicals and chemical products manufacturing; pharmaceuticals and medicinal chemical products; rubber and plastic products manufacturing; other non-metallic mineral products manufacturing</t>
  </si>
  <si>
    <t>Basic metals manufacturing; fabricated metal products, except machinery and equipment; electrical equipment manufacturing; computer, electronic, and optical products manufacturing; machinery and equipment n.e.c. manufacturing; motor vehicles, trailers, and semi-trailers manufacturing; other transport equipment manufacturing; specialized machinery and equipment installation, maintenance, and repair</t>
  </si>
  <si>
    <t>Furniture, mattresses, and bed base manufacturing; other manufacturing industries</t>
  </si>
  <si>
    <t>Electricity, gas, steam, and air conditioning supply</t>
  </si>
  <si>
    <t>Water distribution; wastewater collection and treatment, waste management, and environmental remediation activities</t>
  </si>
  <si>
    <t>Residential and non-residential buildings construction</t>
  </si>
  <si>
    <t>Roads and railways construction, public utility projects, and other civil engineering works</t>
  </si>
  <si>
    <t>Specialized construction activities (rental of construction equipment with operator)</t>
  </si>
  <si>
    <t>Wholesale and retail trade; repair of motor vehicles and motorcycles</t>
  </si>
  <si>
    <t>Transportation and storage</t>
  </si>
  <si>
    <t>Accommodation and food service activities</t>
  </si>
  <si>
    <t>Information and communication</t>
  </si>
  <si>
    <t>Financial and insurance activities</t>
  </si>
  <si>
    <t>Real estate activities</t>
  </si>
  <si>
    <t>Professional, scientific, and technical activities; administrative and support service activities</t>
  </si>
  <si>
    <t>Public administration and defense; compulsory social security</t>
  </si>
  <si>
    <t>Education</t>
  </si>
  <si>
    <t>Human health and social work activities</t>
  </si>
  <si>
    <t>Arts, entertainment, and recreation; other service activities</t>
  </si>
  <si>
    <t>Activities of households as employers; undifferentiated goods- and services-producing activities of households for own use</t>
  </si>
  <si>
    <t>Agriculture and fishing</t>
  </si>
  <si>
    <t>Coal mining</t>
  </si>
  <si>
    <t>Oil and gas extraction</t>
  </si>
  <si>
    <t>Mining support services</t>
  </si>
  <si>
    <t>Food and beverage processing</t>
  </si>
  <si>
    <t>Textiles and apparel manufacturing</t>
  </si>
  <si>
    <t>Wood and paper production</t>
  </si>
  <si>
    <t>Chemicals and pharmaceuticals manufacturing</t>
  </si>
  <si>
    <t>Metals and electrical equipment</t>
  </si>
  <si>
    <t>Furniture and crafts manufacturing</t>
  </si>
  <si>
    <t>Energy supply</t>
  </si>
  <si>
    <t>Water management</t>
  </si>
  <si>
    <t>Building construction</t>
  </si>
  <si>
    <t>Infrastructure construction</t>
  </si>
  <si>
    <t>Construction equipment rental</t>
  </si>
  <si>
    <t>Trade and vehicle repair</t>
  </si>
  <si>
    <t>Hospitality services</t>
  </si>
  <si>
    <t>Media and telecom</t>
  </si>
  <si>
    <t>Finance and insurance</t>
  </si>
  <si>
    <t>Real estate</t>
  </si>
  <si>
    <t>Professional and technical services</t>
  </si>
  <si>
    <t>Government and social security</t>
  </si>
  <si>
    <t>Healthcare services</t>
  </si>
  <si>
    <t>Arts and entertainment</t>
  </si>
  <si>
    <t>Household employment</t>
  </si>
  <si>
    <t>Production (50)</t>
  </si>
  <si>
    <t>Production (25)</t>
  </si>
  <si>
    <t>DELTA Y</t>
  </si>
  <si>
    <t>DELTA W</t>
  </si>
  <si>
    <t>DELTA W/DELTA Y</t>
  </si>
  <si>
    <t>Production (10)</t>
  </si>
  <si>
    <t>Sector</t>
  </si>
  <si>
    <t>Others</t>
  </si>
  <si>
    <t>Supply shock 50%</t>
  </si>
  <si>
    <t>Supply and demand shock 50%</t>
  </si>
  <si>
    <t>Demand shock 50%</t>
  </si>
  <si>
    <t>Supply shock 25%</t>
  </si>
  <si>
    <t>Supply shock 10%</t>
  </si>
  <si>
    <t>Supply and demand shock 25%</t>
  </si>
  <si>
    <t>Supply and demand shock 10%</t>
  </si>
  <si>
    <t>Demand shock 25%</t>
  </si>
  <si>
    <t>Demand shock 10%</t>
  </si>
  <si>
    <t>NUEVOS EMPLEOS</t>
  </si>
  <si>
    <t>Tourism and Hospitality services</t>
  </si>
  <si>
    <t>Δ in Employment</t>
  </si>
  <si>
    <t>Δ in Sector</t>
  </si>
  <si>
    <t>Δ in Taxes revenues</t>
  </si>
  <si>
    <t>Porcentual
changes</t>
  </si>
  <si>
    <t>Elasticities</t>
  </si>
  <si>
    <t>PRODUCCCIÓN TOTAL INICIAL</t>
  </si>
  <si>
    <t>PRODUCCIÓN TOTAL FINAL</t>
  </si>
  <si>
    <t>RESTA DE PRODUCCIÓN</t>
  </si>
  <si>
    <t>CAIDA PORCENTUAL</t>
  </si>
  <si>
    <t>RESTA DE EMPLEOS</t>
  </si>
  <si>
    <t>EMPLEO TOTAL FINAL</t>
  </si>
  <si>
    <t>EMPLEO INICIAL</t>
  </si>
  <si>
    <t>T/X</t>
  </si>
  <si>
    <t>T = X * T/X</t>
  </si>
  <si>
    <t>T' = X' * T/X</t>
  </si>
  <si>
    <t>T-T'</t>
  </si>
  <si>
    <t>T-T'/T</t>
  </si>
  <si>
    <t>TAX INICIAL</t>
  </si>
  <si>
    <t>TAX TOTAL FINAL</t>
  </si>
  <si>
    <t>RESTA DE TAXS</t>
  </si>
  <si>
    <t>Δ in GDP</t>
  </si>
  <si>
    <t>Employment to GDP</t>
  </si>
  <si>
    <t>Taxes revenues to GDP</t>
  </si>
  <si>
    <t>Changes
 in levels</t>
  </si>
  <si>
    <t>GDP (mm COP)</t>
  </si>
  <si>
    <t>Employment (workers)</t>
  </si>
  <si>
    <t>Taxes revenues (mm COP)</t>
  </si>
  <si>
    <t>RECOVERY EMPLOYMENT</t>
  </si>
  <si>
    <t>BASELINE</t>
  </si>
  <si>
    <t>Escoger sector</t>
  </si>
  <si>
    <t>Escoger shock de recuperación</t>
  </si>
  <si>
    <t>NETO</t>
  </si>
  <si>
    <t>BRUTO</t>
  </si>
  <si>
    <t>RECOVERY PRODUCTION</t>
  </si>
  <si>
    <t>RECOVERY TAXES</t>
  </si>
  <si>
    <t>Elaboración de productos alimenticios</t>
  </si>
  <si>
    <t>PIB</t>
  </si>
  <si>
    <t>TAX</t>
  </si>
  <si>
    <t>TAX/PIB</t>
  </si>
  <si>
    <t>TAX/TAX TOTAL</t>
  </si>
  <si>
    <t>Extracción de petróleo crudo y gas natural [**] &lt;SHOCKS</t>
  </si>
  <si>
    <t>SECTOTR</t>
  </si>
  <si>
    <t>C04_1</t>
  </si>
  <si>
    <t>C04_2</t>
  </si>
  <si>
    <t>D_1</t>
  </si>
  <si>
    <t>D_2</t>
  </si>
  <si>
    <t xml:space="preserve">Coquización, fabricación de productos de la refinación del petróleo y actividad de mezcla de combustibles; </t>
  </si>
  <si>
    <t>fabricación de sustancias y productos químicos; fabricación de productos farmacéuticos, sustancias químicas medicinales y productos botánicos de uso farmacéutico; fabricación de productos de caucho y de plástico; fabricación de otros productos minerales no metálicos</t>
  </si>
  <si>
    <t>Generación de energía eléctrica; transmisión de energía eléctrica y distribución y comercialización de energía eléctrica</t>
  </si>
  <si>
    <t>Producción de gas; distribución de combustibles gaseosos por tuberías; suministro de vapor y aire acondicionado</t>
  </si>
  <si>
    <t>Gasto de consumo final</t>
  </si>
  <si>
    <t xml:space="preserve">Formación bruta de capital </t>
  </si>
  <si>
    <t>Exportaciones Netas</t>
  </si>
  <si>
    <t>Total</t>
  </si>
  <si>
    <t>FIJO</t>
  </si>
  <si>
    <t>X/TOTAL X</t>
  </si>
  <si>
    <t>W/W TOTAL</t>
  </si>
  <si>
    <t>T/T TOTAL</t>
  </si>
  <si>
    <t>COVID</t>
  </si>
  <si>
    <t>VARIABLE</t>
  </si>
  <si>
    <t>=SI($E42=F$41;F4/F$39;F4/F$39*$D42*F$40)</t>
  </si>
  <si>
    <t xml:space="preserve">Matriz de trabajo </t>
  </si>
  <si>
    <t>Trabajos equivalentes a tiempo completo del trabajo principal por actividad económica según categoría ocupacional y sexo</t>
  </si>
  <si>
    <r>
      <t>Año 2019</t>
    </r>
    <r>
      <rPr>
        <b/>
        <vertAlign val="superscript"/>
        <sz val="10"/>
        <rFont val="Segoe UI"/>
        <family val="2"/>
      </rPr>
      <t>p</t>
    </r>
  </si>
  <si>
    <t>Secciones CIIU Rev. 4 A.C.
25 agrupaciones</t>
  </si>
  <si>
    <t>Actividad económica</t>
  </si>
  <si>
    <t>Trabajo principal</t>
  </si>
  <si>
    <t>Asalariados</t>
  </si>
  <si>
    <t>Independientes</t>
  </si>
  <si>
    <t>Hombres</t>
  </si>
  <si>
    <t>Mujeres</t>
  </si>
  <si>
    <t>B</t>
  </si>
  <si>
    <t>Explotación de minas y canteras</t>
  </si>
  <si>
    <t>D</t>
  </si>
  <si>
    <r>
      <rPr>
        <b/>
        <sz val="8"/>
        <rFont val="Segoe UI"/>
        <family val="2"/>
      </rPr>
      <t>Fuente</t>
    </r>
    <r>
      <rPr>
        <sz val="8"/>
        <rFont val="Segoe UI"/>
        <family val="2"/>
      </rPr>
      <t>: DANE, Cuentas Nacionales</t>
    </r>
  </si>
  <si>
    <t>Actualizado el 12 de junio de 2020</t>
  </si>
  <si>
    <t xml:space="preserve">Promedio de horas semanales trabajadas del trabajo principal por actividad económica según categoría ocupacional y sexo </t>
  </si>
  <si>
    <t xml:space="preserve">Coeficiente de ajuste del trabajo principal por actividad económica y categoría ocupacional </t>
  </si>
  <si>
    <t xml:space="preserve">Horas trabajadas del trabajo principal por actividad económica y categoría ocupacional </t>
  </si>
  <si>
    <t>Miles</t>
  </si>
  <si>
    <t xml:space="preserve">Total </t>
  </si>
  <si>
    <t>PARTICIPACIO´N Y</t>
  </si>
  <si>
    <t>SECTOR</t>
  </si>
  <si>
    <t>DANE</t>
  </si>
  <si>
    <t>HOMBRE SAL</t>
  </si>
  <si>
    <t>MUJER SAL</t>
  </si>
  <si>
    <t>HOMBRE IND</t>
  </si>
  <si>
    <t>MUJER IND</t>
  </si>
  <si>
    <t>TOTAL</t>
  </si>
  <si>
    <t>PARTICIPACIONES</t>
  </si>
  <si>
    <t>Hombre</t>
  </si>
  <si>
    <t>emplo</t>
  </si>
  <si>
    <t>self</t>
  </si>
  <si>
    <t>recuperación</t>
  </si>
  <si>
    <t>baseline shock</t>
  </si>
  <si>
    <t>diferencia (shock -&gt; recuperación)</t>
  </si>
  <si>
    <t>RECUPERACIÓN EMPLEO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</si>
</sst>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 * #,##0.00_ ;_ * \-#,##0.00_ ;_ * &quot;-&quot;??_ ;_ @_ "/>
    <numFmt numFmtId="166" formatCode="_-* #,##0.00\ _€_-;\-* #,##0.00\ _€_-;_-* &quot;-&quot;??\ _€_-;_-@_-"/>
    <numFmt numFmtId="167" formatCode="0.000"/>
    <numFmt numFmtId="168" formatCode="0.0%"/>
    <numFmt numFmtId="169" formatCode="0.0000"/>
    <numFmt numFmtId="170" formatCode="_-* #,##0_-;\-* #,##0_-;_-* &quot;-&quot;??_-;_-@_-"/>
    <numFmt numFmtId="171" formatCode="_(* #,##0_);_(* \(#,##0\);_(* &quot;-&quot;??_);_(@_)"/>
    <numFmt numFmtId="172" formatCode="#,##0.0_);\(#,##0.0\)"/>
    <numFmt numFmtId="173" formatCode="_-* #,##0.00\ _P_t_s_-;\-* #,##0.00\ _P_t_s_-;_-* &quot;-&quot;??\ _P_t_s_-;_-@_-"/>
    <numFmt numFmtId="174" formatCode="_-* #,##0\ _P_t_s_-;\-* #,##0\ _P_t_s_-;_-* &quot;-&quot;??\ _P_t_s_-;_-@_-"/>
    <numFmt numFmtId="175" formatCode="_-* #,##0.00_-;\-* #,##0.00_-;_-* &quot;-&quot;_-;_-@_-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Times New Roman"/>
      <family val="1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indexed="8"/>
      <name val="Calibri"/>
      <family val="2"/>
      <scheme val="minor"/>
    </font>
    <font>
      <u/>
      <sz val="11"/>
      <color indexed="12"/>
      <name val="Calibri"/>
      <family val="2"/>
    </font>
    <font>
      <sz val="12"/>
      <color theme="1"/>
      <name val="Aptos"/>
      <family val="2"/>
    </font>
    <font>
      <b/>
      <sz val="12"/>
      <color theme="1"/>
      <name val="Aptos"/>
      <family val="2"/>
    </font>
    <font>
      <sz val="12"/>
      <color rgb="FF000000"/>
      <name val="Aptos"/>
      <family val="2"/>
    </font>
    <font>
      <sz val="9"/>
      <name val="Segoe UI"/>
      <family val="2"/>
    </font>
    <font>
      <b/>
      <sz val="14"/>
      <color theme="0"/>
      <name val="Segoe UI"/>
      <family val="2"/>
    </font>
    <font>
      <b/>
      <sz val="10"/>
      <name val="Segoe UI"/>
      <family val="2"/>
    </font>
    <font>
      <b/>
      <sz val="9"/>
      <name val="Segoe UI"/>
      <family val="2"/>
    </font>
    <font>
      <b/>
      <vertAlign val="superscript"/>
      <sz val="10"/>
      <name val="Segoe UI"/>
      <family val="2"/>
    </font>
    <font>
      <b/>
      <sz val="10"/>
      <color theme="1"/>
      <name val="Segoe UI"/>
      <family val="2"/>
    </font>
    <font>
      <sz val="9"/>
      <color theme="1"/>
      <name val="Segoe UI"/>
      <family val="2"/>
    </font>
    <font>
      <sz val="10"/>
      <color theme="1"/>
      <name val="Segoe UI"/>
      <family val="2"/>
    </font>
    <font>
      <b/>
      <sz val="9"/>
      <color theme="1"/>
      <name val="Segoe UI"/>
      <family val="2"/>
    </font>
    <font>
      <b/>
      <sz val="9"/>
      <color rgb="FFFF0000"/>
      <name val="Segoe UI"/>
      <family val="2"/>
    </font>
    <font>
      <b/>
      <sz val="9"/>
      <color rgb="FFB6004B"/>
      <name val="Segoe UI"/>
      <family val="2"/>
    </font>
    <font>
      <b/>
      <sz val="10"/>
      <color theme="1"/>
      <name val="Arial"/>
      <family val="2"/>
    </font>
    <font>
      <sz val="8"/>
      <name val="Segoe UI"/>
      <family val="2"/>
    </font>
    <font>
      <b/>
      <sz val="8"/>
      <name val="Segoe UI"/>
      <family val="2"/>
    </font>
    <font>
      <sz val="10"/>
      <color rgb="FF000000"/>
      <name val="Book Antiqua"/>
      <family val="1"/>
    </font>
  </fonts>
  <fills count="3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61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11" fillId="3" borderId="0" applyNumberFormat="0" applyBorder="0" applyAlignment="0" applyProtection="0"/>
    <xf numFmtId="164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" fillId="0" borderId="0"/>
    <xf numFmtId="0" fontId="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2" fillId="0" borderId="0"/>
    <xf numFmtId="0" fontId="2" fillId="0" borderId="0"/>
    <xf numFmtId="0" fontId="3" fillId="23" borderId="4" applyNumberFormat="0" applyFont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9" fillId="0" borderId="8" applyNumberFormat="0" applyFill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164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3" borderId="4" applyNumberFormat="0" applyFont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/>
    <xf numFmtId="164" fontId="2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  <xf numFmtId="164" fontId="2" fillId="0" borderId="0" applyFont="0" applyFill="0" applyBorder="0" applyAlignment="0" applyProtection="0"/>
    <xf numFmtId="0" fontId="23" fillId="0" borderId="0"/>
    <xf numFmtId="0" fontId="24" fillId="0" borderId="0"/>
    <xf numFmtId="0" fontId="2" fillId="0" borderId="0"/>
    <xf numFmtId="164" fontId="25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5" fillId="0" borderId="0"/>
    <xf numFmtId="0" fontId="25" fillId="0" borderId="0"/>
    <xf numFmtId="164" fontId="25" fillId="0" borderId="0" applyFont="0" applyFill="0" applyBorder="0" applyAlignment="0" applyProtection="0"/>
    <xf numFmtId="0" fontId="25" fillId="0" borderId="0"/>
    <xf numFmtId="164" fontId="25" fillId="0" borderId="0" applyFont="0" applyFill="0" applyBorder="0" applyAlignment="0" applyProtection="0"/>
    <xf numFmtId="0" fontId="25" fillId="0" borderId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6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/>
    <xf numFmtId="0" fontId="1" fillId="0" borderId="0"/>
    <xf numFmtId="164" fontId="1" fillId="0" borderId="0" applyFont="0" applyFill="0" applyBorder="0" applyAlignment="0" applyProtection="0"/>
    <xf numFmtId="173" fontId="2" fillId="0" borderId="0" applyFont="0" applyFill="0" applyBorder="0" applyAlignment="0" applyProtection="0"/>
  </cellStyleXfs>
  <cellXfs count="212">
    <xf numFmtId="0" fontId="0" fillId="0" borderId="0" xfId="0"/>
    <xf numFmtId="2" fontId="0" fillId="0" borderId="0" xfId="0" applyNumberFormat="1"/>
    <xf numFmtId="10" fontId="0" fillId="0" borderId="0" xfId="154" applyNumberFormat="1" applyFont="1"/>
    <xf numFmtId="168" fontId="0" fillId="0" borderId="0" xfId="154" applyNumberFormat="1" applyFont="1"/>
    <xf numFmtId="169" fontId="0" fillId="0" borderId="0" xfId="0" applyNumberFormat="1"/>
    <xf numFmtId="170" fontId="0" fillId="0" borderId="0" xfId="155" applyNumberFormat="1" applyFont="1"/>
    <xf numFmtId="0" fontId="27" fillId="0" borderId="11" xfId="0" applyFont="1" applyBorder="1"/>
    <xf numFmtId="0" fontId="27" fillId="0" borderId="0" xfId="0" applyFont="1"/>
    <xf numFmtId="0" fontId="27" fillId="25" borderId="0" xfId="0" applyFont="1" applyFill="1"/>
    <xf numFmtId="2" fontId="27" fillId="0" borderId="0" xfId="0" applyNumberFormat="1" applyFont="1"/>
    <xf numFmtId="2" fontId="27" fillId="26" borderId="0" xfId="0" applyNumberFormat="1" applyFont="1" applyFill="1"/>
    <xf numFmtId="0" fontId="27" fillId="0" borderId="10" xfId="0" applyFont="1" applyBorder="1"/>
    <xf numFmtId="0" fontId="27" fillId="26" borderId="0" xfId="0" applyFont="1" applyFill="1"/>
    <xf numFmtId="0" fontId="27" fillId="27" borderId="11" xfId="0" applyFont="1" applyFill="1" applyBorder="1"/>
    <xf numFmtId="0" fontId="27" fillId="28" borderId="11" xfId="0" applyFont="1" applyFill="1" applyBorder="1"/>
    <xf numFmtId="0" fontId="27" fillId="0" borderId="11" xfId="0" applyFont="1" applyBorder="1" applyAlignment="1">
      <alignment horizontal="center"/>
    </xf>
    <xf numFmtId="0" fontId="28" fillId="0" borderId="11" xfId="0" applyFont="1" applyBorder="1"/>
    <xf numFmtId="167" fontId="28" fillId="0" borderId="11" xfId="0" applyNumberFormat="1" applyFont="1" applyBorder="1"/>
    <xf numFmtId="0" fontId="28" fillId="0" borderId="0" xfId="0" applyFont="1"/>
    <xf numFmtId="0" fontId="27" fillId="27" borderId="0" xfId="0" applyFont="1" applyFill="1"/>
    <xf numFmtId="0" fontId="27" fillId="27" borderId="11" xfId="0" applyFont="1" applyFill="1" applyBorder="1" applyAlignment="1">
      <alignment horizontal="center"/>
    </xf>
    <xf numFmtId="167" fontId="27" fillId="27" borderId="11" xfId="0" applyNumberFormat="1" applyFont="1" applyFill="1" applyBorder="1"/>
    <xf numFmtId="168" fontId="27" fillId="27" borderId="11" xfId="154" applyNumberFormat="1" applyFont="1" applyFill="1" applyBorder="1"/>
    <xf numFmtId="1" fontId="27" fillId="27" borderId="11" xfId="0" applyNumberFormat="1" applyFont="1" applyFill="1" applyBorder="1"/>
    <xf numFmtId="2" fontId="27" fillId="27" borderId="11" xfId="0" applyNumberFormat="1" applyFont="1" applyFill="1" applyBorder="1"/>
    <xf numFmtId="168" fontId="27" fillId="27" borderId="0" xfId="154" applyNumberFormat="1" applyFont="1" applyFill="1" applyBorder="1"/>
    <xf numFmtId="0" fontId="27" fillId="28" borderId="11" xfId="0" applyFont="1" applyFill="1" applyBorder="1" applyAlignment="1">
      <alignment horizontal="center"/>
    </xf>
    <xf numFmtId="168" fontId="27" fillId="28" borderId="11" xfId="154" applyNumberFormat="1" applyFont="1" applyFill="1" applyBorder="1"/>
    <xf numFmtId="167" fontId="27" fillId="0" borderId="0" xfId="0" applyNumberFormat="1" applyFont="1"/>
    <xf numFmtId="168" fontId="27" fillId="0" borderId="11" xfId="154" applyNumberFormat="1" applyFont="1" applyBorder="1"/>
    <xf numFmtId="1" fontId="27" fillId="0" borderId="11" xfId="0" applyNumberFormat="1" applyFont="1" applyBorder="1"/>
    <xf numFmtId="2" fontId="27" fillId="0" borderId="11" xfId="0" applyNumberFormat="1" applyFont="1" applyBorder="1"/>
    <xf numFmtId="168" fontId="27" fillId="0" borderId="0" xfId="154" applyNumberFormat="1" applyFont="1" applyBorder="1"/>
    <xf numFmtId="10" fontId="27" fillId="0" borderId="0" xfId="154" applyNumberFormat="1" applyFont="1"/>
    <xf numFmtId="0" fontId="27" fillId="0" borderId="0" xfId="0" applyFont="1" applyAlignment="1">
      <alignment horizontal="center"/>
    </xf>
    <xf numFmtId="10" fontId="27" fillId="0" borderId="0" xfId="154" applyNumberFormat="1" applyFont="1" applyBorder="1"/>
    <xf numFmtId="43" fontId="27" fillId="0" borderId="0" xfId="155" applyFont="1"/>
    <xf numFmtId="1" fontId="27" fillId="0" borderId="0" xfId="0" applyNumberFormat="1" applyFont="1"/>
    <xf numFmtId="168" fontId="27" fillId="0" borderId="0" xfId="0" applyNumberFormat="1" applyFont="1"/>
    <xf numFmtId="43" fontId="27" fillId="0" borderId="0" xfId="0" applyNumberFormat="1" applyFont="1"/>
    <xf numFmtId="10" fontId="27" fillId="0" borderId="0" xfId="0" applyNumberFormat="1" applyFont="1"/>
    <xf numFmtId="16" fontId="27" fillId="0" borderId="0" xfId="0" applyNumberFormat="1" applyFont="1"/>
    <xf numFmtId="0" fontId="27" fillId="0" borderId="16" xfId="0" applyFont="1" applyBorder="1"/>
    <xf numFmtId="0" fontId="27" fillId="0" borderId="16" xfId="0" applyFont="1" applyBorder="1" applyAlignment="1">
      <alignment horizontal="center"/>
    </xf>
    <xf numFmtId="0" fontId="29" fillId="27" borderId="0" xfId="0" applyFont="1" applyFill="1" applyAlignment="1">
      <alignment vertical="center"/>
    </xf>
    <xf numFmtId="10" fontId="29" fillId="27" borderId="17" xfId="0" applyNumberFormat="1" applyFont="1" applyFill="1" applyBorder="1" applyAlignment="1">
      <alignment horizontal="center" vertical="center"/>
    </xf>
    <xf numFmtId="10" fontId="29" fillId="27" borderId="13" xfId="0" applyNumberFormat="1" applyFont="1" applyFill="1" applyBorder="1" applyAlignment="1">
      <alignment horizontal="center" vertical="center"/>
    </xf>
    <xf numFmtId="10" fontId="29" fillId="30" borderId="10" xfId="0" applyNumberFormat="1" applyFont="1" applyFill="1" applyBorder="1" applyAlignment="1">
      <alignment horizontal="center" vertical="center"/>
    </xf>
    <xf numFmtId="10" fontId="29" fillId="30" borderId="13" xfId="0" applyNumberFormat="1" applyFont="1" applyFill="1" applyBorder="1" applyAlignment="1">
      <alignment horizontal="center" vertical="center"/>
    </xf>
    <xf numFmtId="10" fontId="29" fillId="27" borderId="10" xfId="0" applyNumberFormat="1" applyFont="1" applyFill="1" applyBorder="1" applyAlignment="1">
      <alignment horizontal="center" vertical="center"/>
    </xf>
    <xf numFmtId="10" fontId="29" fillId="27" borderId="18" xfId="0" applyNumberFormat="1" applyFont="1" applyFill="1" applyBorder="1" applyAlignment="1">
      <alignment horizontal="center" vertical="center"/>
    </xf>
    <xf numFmtId="0" fontId="29" fillId="27" borderId="15" xfId="0" applyFont="1" applyFill="1" applyBorder="1" applyAlignment="1">
      <alignment vertical="center" wrapText="1"/>
    </xf>
    <xf numFmtId="2" fontId="29" fillId="27" borderId="17" xfId="0" applyNumberFormat="1" applyFont="1" applyFill="1" applyBorder="1" applyAlignment="1">
      <alignment horizontal="center" vertical="center"/>
    </xf>
    <xf numFmtId="2" fontId="29" fillId="27" borderId="15" xfId="0" applyNumberFormat="1" applyFont="1" applyFill="1" applyBorder="1" applyAlignment="1">
      <alignment horizontal="center" vertical="center"/>
    </xf>
    <xf numFmtId="0" fontId="29" fillId="27" borderId="14" xfId="0" applyFont="1" applyFill="1" applyBorder="1" applyAlignment="1">
      <alignment vertical="center" wrapText="1"/>
    </xf>
    <xf numFmtId="2" fontId="29" fillId="27" borderId="18" xfId="0" applyNumberFormat="1" applyFont="1" applyFill="1" applyBorder="1" applyAlignment="1">
      <alignment horizontal="center" vertical="center"/>
    </xf>
    <xf numFmtId="2" fontId="29" fillId="27" borderId="0" xfId="0" applyNumberFormat="1" applyFont="1" applyFill="1" applyAlignment="1">
      <alignment horizontal="center" vertical="center"/>
    </xf>
    <xf numFmtId="0" fontId="29" fillId="27" borderId="0" xfId="0" applyFont="1" applyFill="1" applyAlignment="1">
      <alignment vertical="center" wrapText="1"/>
    </xf>
    <xf numFmtId="3" fontId="29" fillId="30" borderId="10" xfId="0" applyNumberFormat="1" applyFont="1" applyFill="1" applyBorder="1" applyAlignment="1">
      <alignment horizontal="center" vertical="center"/>
    </xf>
    <xf numFmtId="3" fontId="29" fillId="30" borderId="15" xfId="0" applyNumberFormat="1" applyFont="1" applyFill="1" applyBorder="1" applyAlignment="1">
      <alignment horizontal="center" vertical="center"/>
    </xf>
    <xf numFmtId="3" fontId="29" fillId="27" borderId="10" xfId="0" applyNumberFormat="1" applyFont="1" applyFill="1" applyBorder="1" applyAlignment="1">
      <alignment horizontal="center" vertical="center"/>
    </xf>
    <xf numFmtId="3" fontId="29" fillId="27" borderId="0" xfId="0" applyNumberFormat="1" applyFont="1" applyFill="1" applyAlignment="1">
      <alignment horizontal="center" vertical="center"/>
    </xf>
    <xf numFmtId="0" fontId="27" fillId="29" borderId="11" xfId="0" applyFont="1" applyFill="1" applyBorder="1" applyAlignment="1">
      <alignment horizontal="center"/>
    </xf>
    <xf numFmtId="0" fontId="27" fillId="27" borderId="14" xfId="0" applyFont="1" applyFill="1" applyBorder="1"/>
    <xf numFmtId="3" fontId="29" fillId="27" borderId="18" xfId="0" applyNumberFormat="1" applyFont="1" applyFill="1" applyBorder="1" applyAlignment="1">
      <alignment horizontal="center" vertical="center"/>
    </xf>
    <xf numFmtId="3" fontId="29" fillId="27" borderId="14" xfId="0" applyNumberFormat="1" applyFont="1" applyFill="1" applyBorder="1" applyAlignment="1">
      <alignment horizontal="center" vertical="center"/>
    </xf>
    <xf numFmtId="0" fontId="27" fillId="0" borderId="11" xfId="154" applyNumberFormat="1" applyFont="1" applyBorder="1" applyAlignment="1">
      <alignment horizontal="center"/>
    </xf>
    <xf numFmtId="10" fontId="29" fillId="31" borderId="10" xfId="0" applyNumberFormat="1" applyFont="1" applyFill="1" applyBorder="1" applyAlignment="1">
      <alignment horizontal="center" vertical="center"/>
    </xf>
    <xf numFmtId="3" fontId="29" fillId="31" borderId="10" xfId="0" applyNumberFormat="1" applyFont="1" applyFill="1" applyBorder="1" applyAlignment="1">
      <alignment horizontal="center" vertical="center"/>
    </xf>
    <xf numFmtId="0" fontId="29" fillId="27" borderId="15" xfId="0" applyFont="1" applyFill="1" applyBorder="1" applyAlignment="1">
      <alignment vertical="center"/>
    </xf>
    <xf numFmtId="0" fontId="29" fillId="27" borderId="16" xfId="0" applyFont="1" applyFill="1" applyBorder="1" applyAlignment="1">
      <alignment vertical="center"/>
    </xf>
    <xf numFmtId="0" fontId="27" fillId="27" borderId="16" xfId="0" applyFont="1" applyFill="1" applyBorder="1"/>
    <xf numFmtId="10" fontId="29" fillId="27" borderId="0" xfId="154" applyNumberFormat="1" applyFont="1" applyFill="1" applyAlignment="1">
      <alignment horizontal="center" vertical="center"/>
    </xf>
    <xf numFmtId="10" fontId="29" fillId="27" borderId="0" xfId="0" applyNumberFormat="1" applyFont="1" applyFill="1" applyAlignment="1">
      <alignment horizontal="center" vertical="center"/>
    </xf>
    <xf numFmtId="10" fontId="29" fillId="32" borderId="0" xfId="0" applyNumberFormat="1" applyFont="1" applyFill="1" applyAlignment="1">
      <alignment horizontal="center" vertical="center"/>
    </xf>
    <xf numFmtId="2" fontId="29" fillId="27" borderId="14" xfId="0" applyNumberFormat="1" applyFont="1" applyFill="1" applyBorder="1" applyAlignment="1">
      <alignment horizontal="center" vertical="center"/>
    </xf>
    <xf numFmtId="3" fontId="29" fillId="32" borderId="14" xfId="0" applyNumberFormat="1" applyFont="1" applyFill="1" applyBorder="1" applyAlignment="1">
      <alignment horizontal="center" vertical="center"/>
    </xf>
    <xf numFmtId="0" fontId="0" fillId="33" borderId="0" xfId="0" applyFill="1"/>
    <xf numFmtId="170" fontId="0" fillId="33" borderId="0" xfId="155" applyNumberFormat="1" applyFont="1" applyFill="1"/>
    <xf numFmtId="168" fontId="0" fillId="33" borderId="0" xfId="154" applyNumberFormat="1" applyFont="1" applyFill="1"/>
    <xf numFmtId="0" fontId="0" fillId="28" borderId="0" xfId="0" applyFill="1"/>
    <xf numFmtId="170" fontId="0" fillId="28" borderId="0" xfId="155" applyNumberFormat="1" applyFont="1" applyFill="1"/>
    <xf numFmtId="168" fontId="0" fillId="28" borderId="0" xfId="154" applyNumberFormat="1" applyFont="1" applyFill="1"/>
    <xf numFmtId="0" fontId="27" fillId="0" borderId="19" xfId="0" applyFont="1" applyBorder="1"/>
    <xf numFmtId="0" fontId="27" fillId="29" borderId="11" xfId="0" applyFont="1" applyFill="1" applyBorder="1"/>
    <xf numFmtId="0" fontId="27" fillId="34" borderId="11" xfId="0" applyFont="1" applyFill="1" applyBorder="1"/>
    <xf numFmtId="0" fontId="27" fillId="24" borderId="11" xfId="0" applyFont="1" applyFill="1" applyBorder="1"/>
    <xf numFmtId="2" fontId="27" fillId="26" borderId="11" xfId="0" applyNumberFormat="1" applyFont="1" applyFill="1" applyBorder="1"/>
    <xf numFmtId="4" fontId="27" fillId="0" borderId="11" xfId="0" quotePrefix="1" applyNumberFormat="1" applyFont="1" applyBorder="1"/>
    <xf numFmtId="1" fontId="27" fillId="27" borderId="0" xfId="154" applyNumberFormat="1" applyFont="1" applyFill="1"/>
    <xf numFmtId="0" fontId="27" fillId="24" borderId="20" xfId="0" applyFont="1" applyFill="1" applyBorder="1"/>
    <xf numFmtId="1" fontId="27" fillId="27" borderId="20" xfId="0" applyNumberFormat="1" applyFont="1" applyFill="1" applyBorder="1"/>
    <xf numFmtId="0" fontId="27" fillId="0" borderId="21" xfId="0" applyFont="1" applyBorder="1"/>
    <xf numFmtId="1" fontId="27" fillId="27" borderId="21" xfId="0" applyNumberFormat="1" applyFont="1" applyFill="1" applyBorder="1"/>
    <xf numFmtId="1" fontId="27" fillId="0" borderId="21" xfId="0" applyNumberFormat="1" applyFont="1" applyBorder="1"/>
    <xf numFmtId="1" fontId="27" fillId="0" borderId="22" xfId="0" applyNumberFormat="1" applyFont="1" applyBorder="1"/>
    <xf numFmtId="1" fontId="27" fillId="27" borderId="21" xfId="154" applyNumberFormat="1" applyFont="1" applyFill="1" applyBorder="1"/>
    <xf numFmtId="0" fontId="27" fillId="0" borderId="17" xfId="0" applyFont="1" applyBorder="1"/>
    <xf numFmtId="1" fontId="27" fillId="27" borderId="10" xfId="0" applyNumberFormat="1" applyFont="1" applyFill="1" applyBorder="1"/>
    <xf numFmtId="1" fontId="27" fillId="0" borderId="10" xfId="0" applyNumberFormat="1" applyFont="1" applyBorder="1"/>
    <xf numFmtId="1" fontId="27" fillId="0" borderId="18" xfId="0" applyNumberFormat="1" applyFont="1" applyBorder="1"/>
    <xf numFmtId="0" fontId="27" fillId="27" borderId="11" xfId="154" applyNumberFormat="1" applyFont="1" applyFill="1" applyBorder="1"/>
    <xf numFmtId="0" fontId="27" fillId="35" borderId="0" xfId="0" applyFont="1" applyFill="1"/>
    <xf numFmtId="1" fontId="27" fillId="0" borderId="0" xfId="0" applyNumberFormat="1" applyFont="1" applyAlignment="1">
      <alignment horizontal="center"/>
    </xf>
    <xf numFmtId="1" fontId="27" fillId="27" borderId="19" xfId="154" applyNumberFormat="1" applyFont="1" applyFill="1" applyBorder="1"/>
    <xf numFmtId="1" fontId="27" fillId="27" borderId="22" xfId="154" applyNumberFormat="1" applyFont="1" applyFill="1" applyBorder="1"/>
    <xf numFmtId="0" fontId="27" fillId="0" borderId="18" xfId="0" applyFont="1" applyBorder="1"/>
    <xf numFmtId="168" fontId="27" fillId="0" borderId="0" xfId="154" applyNumberFormat="1" applyFont="1" applyFill="1" applyBorder="1"/>
    <xf numFmtId="168" fontId="27" fillId="0" borderId="11" xfId="154" applyNumberFormat="1" applyFont="1" applyFill="1" applyBorder="1"/>
    <xf numFmtId="167" fontId="27" fillId="27" borderId="11" xfId="154" applyNumberFormat="1" applyFont="1" applyFill="1" applyBorder="1"/>
    <xf numFmtId="0" fontId="27" fillId="0" borderId="11" xfId="0" quotePrefix="1" applyFont="1" applyBorder="1" applyAlignment="1">
      <alignment horizontal="center"/>
    </xf>
    <xf numFmtId="0" fontId="29" fillId="27" borderId="14" xfId="0" applyFont="1" applyFill="1" applyBorder="1" applyAlignment="1">
      <alignment vertical="center"/>
    </xf>
    <xf numFmtId="9" fontId="27" fillId="0" borderId="0" xfId="0" applyNumberFormat="1" applyFont="1" applyAlignment="1">
      <alignment horizontal="center"/>
    </xf>
    <xf numFmtId="168" fontId="27" fillId="29" borderId="11" xfId="154" applyNumberFormat="1" applyFont="1" applyFill="1" applyBorder="1"/>
    <xf numFmtId="168" fontId="27" fillId="34" borderId="11" xfId="154" applyNumberFormat="1" applyFont="1" applyFill="1" applyBorder="1"/>
    <xf numFmtId="168" fontId="27" fillId="24" borderId="11" xfId="154" applyNumberFormat="1" applyFont="1" applyFill="1" applyBorder="1"/>
    <xf numFmtId="10" fontId="29" fillId="30" borderId="0" xfId="0" applyNumberFormat="1" applyFont="1" applyFill="1" applyAlignment="1">
      <alignment horizontal="center" vertical="center"/>
    </xf>
    <xf numFmtId="3" fontId="29" fillId="30" borderId="0" xfId="0" applyNumberFormat="1" applyFont="1" applyFill="1" applyAlignment="1">
      <alignment horizontal="center" vertical="center"/>
    </xf>
    <xf numFmtId="10" fontId="29" fillId="31" borderId="0" xfId="0" applyNumberFormat="1" applyFont="1" applyFill="1" applyAlignment="1">
      <alignment horizontal="center" vertical="center"/>
    </xf>
    <xf numFmtId="3" fontId="29" fillId="31" borderId="0" xfId="0" applyNumberFormat="1" applyFont="1" applyFill="1" applyAlignment="1">
      <alignment horizontal="center" vertical="center"/>
    </xf>
    <xf numFmtId="3" fontId="29" fillId="32" borderId="0" xfId="0" applyNumberFormat="1" applyFont="1" applyFill="1" applyAlignment="1">
      <alignment horizontal="center" vertical="center"/>
    </xf>
    <xf numFmtId="168" fontId="27" fillId="36" borderId="0" xfId="0" applyNumberFormat="1" applyFont="1" applyFill="1"/>
    <xf numFmtId="0" fontId="27" fillId="37" borderId="0" xfId="0" applyFont="1" applyFill="1"/>
    <xf numFmtId="0" fontId="27" fillId="0" borderId="0" xfId="0" quotePrefix="1" applyFont="1"/>
    <xf numFmtId="0" fontId="27" fillId="36" borderId="11" xfId="0" applyFont="1" applyFill="1" applyBorder="1"/>
    <xf numFmtId="175" fontId="30" fillId="0" borderId="0" xfId="156" applyNumberFormat="1" applyFont="1" applyFill="1" applyBorder="1" applyAlignment="1">
      <alignment vertical="center"/>
    </xf>
    <xf numFmtId="0" fontId="30" fillId="0" borderId="0" xfId="42" applyFont="1"/>
    <xf numFmtId="0" fontId="31" fillId="0" borderId="0" xfId="42" applyFont="1" applyAlignment="1">
      <alignment horizontal="center" vertical="center"/>
    </xf>
    <xf numFmtId="0" fontId="32" fillId="0" borderId="10" xfId="42" applyFont="1" applyBorder="1" applyAlignment="1">
      <alignment vertical="center"/>
    </xf>
    <xf numFmtId="0" fontId="33" fillId="0" borderId="0" xfId="42" applyFont="1" applyAlignment="1">
      <alignment vertical="center"/>
    </xf>
    <xf numFmtId="0" fontId="30" fillId="0" borderId="13" xfId="42" applyFont="1" applyBorder="1"/>
    <xf numFmtId="0" fontId="32" fillId="0" borderId="18" xfId="42" applyFont="1" applyBorder="1" applyAlignment="1">
      <alignment vertical="center"/>
    </xf>
    <xf numFmtId="0" fontId="33" fillId="0" borderId="14" xfId="42" applyFont="1" applyBorder="1" applyAlignment="1">
      <alignment vertical="center"/>
    </xf>
    <xf numFmtId="0" fontId="30" fillId="0" borderId="23" xfId="42" applyFont="1" applyBorder="1"/>
    <xf numFmtId="0" fontId="35" fillId="0" borderId="15" xfId="158" applyFont="1" applyBorder="1" applyAlignment="1">
      <alignment horizontal="center" vertical="center"/>
    </xf>
    <xf numFmtId="0" fontId="35" fillId="0" borderId="24" xfId="158" applyFont="1" applyBorder="1" applyAlignment="1">
      <alignment horizontal="center"/>
    </xf>
    <xf numFmtId="0" fontId="36" fillId="0" borderId="0" xfId="42" applyFont="1"/>
    <xf numFmtId="0" fontId="35" fillId="0" borderId="0" xfId="158" applyFont="1" applyAlignment="1">
      <alignment horizontal="center" vertical="center"/>
    </xf>
    <xf numFmtId="0" fontId="35" fillId="0" borderId="0" xfId="158" applyFont="1" applyAlignment="1">
      <alignment horizontal="center"/>
    </xf>
    <xf numFmtId="171" fontId="35" fillId="0" borderId="13" xfId="159" applyNumberFormat="1" applyFont="1" applyFill="1" applyBorder="1" applyAlignment="1">
      <alignment horizontal="center" vertical="center"/>
    </xf>
    <xf numFmtId="0" fontId="35" fillId="0" borderId="14" xfId="158" applyFont="1" applyBorder="1" applyAlignment="1">
      <alignment horizontal="center" vertical="center"/>
    </xf>
    <xf numFmtId="0" fontId="35" fillId="0" borderId="14" xfId="158" applyFont="1" applyBorder="1" applyAlignment="1">
      <alignment horizontal="center"/>
    </xf>
    <xf numFmtId="0" fontId="37" fillId="0" borderId="14" xfId="158" applyFont="1" applyBorder="1" applyAlignment="1">
      <alignment horizontal="center"/>
    </xf>
    <xf numFmtId="171" fontId="37" fillId="0" borderId="23" xfId="159" applyNumberFormat="1" applyFont="1" applyFill="1" applyBorder="1" applyAlignment="1">
      <alignment horizontal="center" vertical="center"/>
    </xf>
    <xf numFmtId="0" fontId="36" fillId="0" borderId="10" xfId="42" applyFont="1" applyBorder="1"/>
    <xf numFmtId="0" fontId="36" fillId="0" borderId="0" xfId="42" applyFont="1" applyAlignment="1">
      <alignment wrapText="1"/>
    </xf>
    <xf numFmtId="0" fontId="36" fillId="0" borderId="13" xfId="42" applyFont="1" applyBorder="1"/>
    <xf numFmtId="0" fontId="30" fillId="0" borderId="10" xfId="0" applyFont="1" applyBorder="1" applyAlignment="1">
      <alignment vertical="center"/>
    </xf>
    <xf numFmtId="0" fontId="30" fillId="0" borderId="0" xfId="0" applyFont="1" applyAlignment="1">
      <alignment horizontal="left" vertical="center" wrapText="1" indent="1"/>
    </xf>
    <xf numFmtId="3" fontId="30" fillId="0" borderId="0" xfId="42" applyNumberFormat="1" applyFont="1" applyAlignment="1">
      <alignment vertical="center"/>
    </xf>
    <xf numFmtId="3" fontId="38" fillId="0" borderId="13" xfId="42" applyNumberFormat="1" applyFont="1" applyBorder="1" applyAlignment="1">
      <alignment vertical="center"/>
    </xf>
    <xf numFmtId="172" fontId="39" fillId="0" borderId="0" xfId="42" applyNumberFormat="1" applyFont="1"/>
    <xf numFmtId="0" fontId="40" fillId="0" borderId="10" xfId="42" applyFont="1" applyBorder="1" applyAlignment="1">
      <alignment vertical="center"/>
    </xf>
    <xf numFmtId="0" fontId="40" fillId="0" borderId="0" xfId="42" applyFont="1" applyAlignment="1">
      <alignment vertical="center" wrapText="1"/>
    </xf>
    <xf numFmtId="3" fontId="38" fillId="0" borderId="0" xfId="42" applyNumberFormat="1" applyFont="1" applyAlignment="1">
      <alignment vertical="center"/>
    </xf>
    <xf numFmtId="174" fontId="41" fillId="0" borderId="20" xfId="160" applyNumberFormat="1" applyFont="1" applyFill="1" applyBorder="1" applyAlignment="1"/>
    <xf numFmtId="174" fontId="41" fillId="0" borderId="24" xfId="160" applyNumberFormat="1" applyFont="1" applyFill="1" applyBorder="1" applyAlignment="1"/>
    <xf numFmtId="174" fontId="41" fillId="0" borderId="24" xfId="160" applyNumberFormat="1" applyFont="1" applyFill="1" applyBorder="1" applyAlignment="1">
      <alignment horizontal="right"/>
    </xf>
    <xf numFmtId="174" fontId="41" fillId="0" borderId="25" xfId="160" applyNumberFormat="1" applyFont="1" applyFill="1" applyBorder="1" applyAlignment="1">
      <alignment horizontal="right"/>
    </xf>
    <xf numFmtId="174" fontId="36" fillId="0" borderId="0" xfId="160" applyNumberFormat="1" applyFont="1" applyFill="1"/>
    <xf numFmtId="0" fontId="2" fillId="0" borderId="10" xfId="42" applyBorder="1"/>
    <xf numFmtId="0" fontId="2" fillId="0" borderId="0" xfId="42"/>
    <xf numFmtId="0" fontId="2" fillId="0" borderId="13" xfId="42" applyBorder="1"/>
    <xf numFmtId="0" fontId="42" fillId="0" borderId="17" xfId="0" applyFont="1" applyBorder="1" applyAlignment="1">
      <alignment vertical="center"/>
    </xf>
    <xf numFmtId="0" fontId="2" fillId="0" borderId="15" xfId="42" applyBorder="1"/>
    <xf numFmtId="0" fontId="2" fillId="0" borderId="26" xfId="42" applyBorder="1"/>
    <xf numFmtId="3" fontId="43" fillId="0" borderId="18" xfId="0" applyNumberFormat="1" applyFont="1" applyBorder="1" applyAlignment="1">
      <alignment vertical="center"/>
    </xf>
    <xf numFmtId="0" fontId="2" fillId="0" borderId="14" xfId="42" applyBorder="1"/>
    <xf numFmtId="0" fontId="2" fillId="0" borderId="23" xfId="42" applyBorder="1"/>
    <xf numFmtId="0" fontId="33" fillId="0" borderId="13" xfId="42" applyFont="1" applyBorder="1" applyAlignment="1">
      <alignment vertical="center"/>
    </xf>
    <xf numFmtId="0" fontId="38" fillId="0" borderId="0" xfId="42" applyFont="1" applyAlignment="1">
      <alignment horizontal="center" vertical="center" wrapText="1"/>
    </xf>
    <xf numFmtId="0" fontId="30" fillId="0" borderId="18" xfId="0" applyFont="1" applyBorder="1" applyAlignment="1">
      <alignment vertical="center"/>
    </xf>
    <xf numFmtId="0" fontId="30" fillId="0" borderId="14" xfId="0" applyFont="1" applyBorder="1" applyAlignment="1">
      <alignment horizontal="left" vertical="center" wrapText="1" indent="1"/>
    </xf>
    <xf numFmtId="3" fontId="30" fillId="0" borderId="14" xfId="42" applyNumberFormat="1" applyFont="1" applyBorder="1" applyAlignment="1">
      <alignment vertical="center"/>
    </xf>
    <xf numFmtId="3" fontId="38" fillId="0" borderId="23" xfId="42" applyNumberFormat="1" applyFont="1" applyBorder="1" applyAlignment="1">
      <alignment vertical="center"/>
    </xf>
    <xf numFmtId="171" fontId="35" fillId="0" borderId="26" xfId="159" applyNumberFormat="1" applyFont="1" applyFill="1" applyBorder="1" applyAlignment="1">
      <alignment horizontal="center" vertical="center"/>
    </xf>
    <xf numFmtId="0" fontId="37" fillId="0" borderId="24" xfId="158" applyFont="1" applyBorder="1" applyAlignment="1">
      <alignment horizontal="center"/>
    </xf>
    <xf numFmtId="0" fontId="2" fillId="0" borderId="20" xfId="42" applyBorder="1"/>
    <xf numFmtId="0" fontId="2" fillId="0" borderId="24" xfId="42" applyBorder="1"/>
    <xf numFmtId="0" fontId="2" fillId="0" borderId="25" xfId="42" applyBorder="1"/>
    <xf numFmtId="0" fontId="35" fillId="0" borderId="15" xfId="158" applyFont="1" applyBorder="1" applyAlignment="1">
      <alignment horizontal="center"/>
    </xf>
    <xf numFmtId="171" fontId="35" fillId="0" borderId="0" xfId="159" applyNumberFormat="1" applyFont="1" applyFill="1" applyBorder="1" applyAlignment="1">
      <alignment horizontal="center" vertical="center"/>
    </xf>
    <xf numFmtId="174" fontId="41" fillId="0" borderId="24" xfId="160" applyNumberFormat="1" applyFont="1" applyFill="1" applyBorder="1" applyAlignment="1">
      <alignment horizontal="right" indent="1"/>
    </xf>
    <xf numFmtId="171" fontId="37" fillId="0" borderId="0" xfId="159" applyNumberFormat="1" applyFont="1" applyFill="1" applyBorder="1" applyAlignment="1">
      <alignment horizontal="center" vertical="center"/>
    </xf>
    <xf numFmtId="174" fontId="41" fillId="0" borderId="0" xfId="160" applyNumberFormat="1" applyFont="1" applyFill="1" applyBorder="1" applyAlignment="1">
      <alignment horizontal="right"/>
    </xf>
    <xf numFmtId="1" fontId="36" fillId="0" borderId="0" xfId="42" applyNumberFormat="1" applyFont="1"/>
    <xf numFmtId="168" fontId="36" fillId="0" borderId="0" xfId="154" applyNumberFormat="1" applyFont="1" applyFill="1"/>
    <xf numFmtId="168" fontId="2" fillId="0" borderId="0" xfId="154" applyNumberFormat="1" applyFont="1" applyFill="1"/>
    <xf numFmtId="168" fontId="30" fillId="0" borderId="0" xfId="154" applyNumberFormat="1" applyFont="1" applyFill="1"/>
    <xf numFmtId="3" fontId="44" fillId="27" borderId="0" xfId="0" applyNumberFormat="1" applyFont="1" applyFill="1" applyAlignment="1">
      <alignment horizontal="center" vertical="center"/>
    </xf>
    <xf numFmtId="0" fontId="33" fillId="0" borderId="17" xfId="157" applyFont="1" applyBorder="1" applyAlignment="1">
      <alignment horizontal="center" vertical="center" wrapText="1"/>
    </xf>
    <xf numFmtId="0" fontId="33" fillId="0" borderId="10" xfId="157" applyFont="1" applyBorder="1" applyAlignment="1">
      <alignment horizontal="center" vertical="center" wrapText="1"/>
    </xf>
    <xf numFmtId="0" fontId="33" fillId="0" borderId="18" xfId="157" applyFont="1" applyBorder="1" applyAlignment="1">
      <alignment horizontal="center" vertical="center" wrapText="1"/>
    </xf>
    <xf numFmtId="0" fontId="35" fillId="0" borderId="15" xfId="158" applyFont="1" applyBorder="1" applyAlignment="1">
      <alignment horizontal="center" vertical="center"/>
    </xf>
    <xf numFmtId="0" fontId="35" fillId="0" borderId="0" xfId="158" applyFont="1" applyAlignment="1">
      <alignment horizontal="center" vertical="center"/>
    </xf>
    <xf numFmtId="0" fontId="35" fillId="0" borderId="14" xfId="158" applyFont="1" applyBorder="1" applyAlignment="1">
      <alignment horizontal="center" vertical="center"/>
    </xf>
    <xf numFmtId="0" fontId="35" fillId="0" borderId="24" xfId="158" applyFont="1" applyBorder="1" applyAlignment="1">
      <alignment horizontal="center"/>
    </xf>
    <xf numFmtId="0" fontId="35" fillId="0" borderId="25" xfId="158" applyFont="1" applyBorder="1" applyAlignment="1">
      <alignment horizontal="center"/>
    </xf>
    <xf numFmtId="171" fontId="35" fillId="0" borderId="15" xfId="159" applyNumberFormat="1" applyFont="1" applyFill="1" applyBorder="1" applyAlignment="1">
      <alignment horizontal="center" vertical="center"/>
    </xf>
    <xf numFmtId="171" fontId="35" fillId="0" borderId="14" xfId="159" applyNumberFormat="1" applyFont="1" applyFill="1" applyBorder="1" applyAlignment="1">
      <alignment horizontal="center" vertical="center"/>
    </xf>
    <xf numFmtId="0" fontId="31" fillId="0" borderId="0" xfId="42" applyFont="1" applyAlignment="1">
      <alignment horizontal="center" vertical="center"/>
    </xf>
    <xf numFmtId="0" fontId="35" fillId="0" borderId="14" xfId="158" applyFont="1" applyBorder="1" applyAlignment="1">
      <alignment horizontal="center"/>
    </xf>
    <xf numFmtId="0" fontId="32" fillId="0" borderId="17" xfId="157" applyFont="1" applyBorder="1" applyAlignment="1">
      <alignment horizontal="center" vertical="center" wrapText="1"/>
    </xf>
    <xf numFmtId="0" fontId="32" fillId="0" borderId="10" xfId="157" applyFont="1" applyBorder="1" applyAlignment="1">
      <alignment horizontal="center" vertical="center" wrapText="1"/>
    </xf>
    <xf numFmtId="0" fontId="32" fillId="0" borderId="18" xfId="157" applyFont="1" applyBorder="1" applyAlignment="1">
      <alignment horizontal="center" vertical="center" wrapText="1"/>
    </xf>
    <xf numFmtId="171" fontId="35" fillId="0" borderId="0" xfId="159" applyNumberFormat="1" applyFont="1" applyFill="1" applyBorder="1" applyAlignment="1">
      <alignment horizontal="center" vertical="center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/>
    </xf>
    <xf numFmtId="0" fontId="29" fillId="27" borderId="15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/>
    </xf>
    <xf numFmtId="0" fontId="29" fillId="27" borderId="14" xfId="0" applyFont="1" applyFill="1" applyBorder="1" applyAlignment="1">
      <alignment horizontal="center" vertical="center" wrapText="1"/>
    </xf>
  </cellXfs>
  <cellStyles count="161">
    <cellStyle name="20% - Énfasis1 2" xfId="1" xr:uid="{00000000-0005-0000-0000-000000000000}"/>
    <cellStyle name="20% - Énfasis1 2 2" xfId="89" xr:uid="{00000000-0005-0000-0000-000001000000}"/>
    <cellStyle name="20% - Énfasis2 2" xfId="2" xr:uid="{00000000-0005-0000-0000-000002000000}"/>
    <cellStyle name="20% - Énfasis2 2 2" xfId="90" xr:uid="{00000000-0005-0000-0000-000003000000}"/>
    <cellStyle name="20% - Énfasis3 2" xfId="3" xr:uid="{00000000-0005-0000-0000-000004000000}"/>
    <cellStyle name="20% - Énfasis3 2 2" xfId="91" xr:uid="{00000000-0005-0000-0000-000005000000}"/>
    <cellStyle name="20% - Énfasis4 2" xfId="4" xr:uid="{00000000-0005-0000-0000-000006000000}"/>
    <cellStyle name="20% - Énfasis4 2 2" xfId="92" xr:uid="{00000000-0005-0000-0000-000007000000}"/>
    <cellStyle name="20% - Énfasis5 2" xfId="5" xr:uid="{00000000-0005-0000-0000-000008000000}"/>
    <cellStyle name="20% - Énfasis5 2 2" xfId="93" xr:uid="{00000000-0005-0000-0000-000009000000}"/>
    <cellStyle name="20% - Énfasis6 2" xfId="6" xr:uid="{00000000-0005-0000-0000-00000A000000}"/>
    <cellStyle name="20% - Énfasis6 2 2" xfId="94" xr:uid="{00000000-0005-0000-0000-00000B000000}"/>
    <cellStyle name="40% - Énfasis1 2" xfId="7" xr:uid="{00000000-0005-0000-0000-00000C000000}"/>
    <cellStyle name="40% - Énfasis1 2 2" xfId="95" xr:uid="{00000000-0005-0000-0000-00000D000000}"/>
    <cellStyle name="40% - Énfasis2 2" xfId="8" xr:uid="{00000000-0005-0000-0000-00000E000000}"/>
    <cellStyle name="40% - Énfasis2 2 2" xfId="96" xr:uid="{00000000-0005-0000-0000-00000F000000}"/>
    <cellStyle name="40% - Énfasis3 2" xfId="9" xr:uid="{00000000-0005-0000-0000-000010000000}"/>
    <cellStyle name="40% - Énfasis3 2 2" xfId="97" xr:uid="{00000000-0005-0000-0000-000011000000}"/>
    <cellStyle name="40% - Énfasis4 2" xfId="10" xr:uid="{00000000-0005-0000-0000-000012000000}"/>
    <cellStyle name="40% - Énfasis4 2 2" xfId="98" xr:uid="{00000000-0005-0000-0000-000013000000}"/>
    <cellStyle name="40% - Énfasis5 2" xfId="11" xr:uid="{00000000-0005-0000-0000-000014000000}"/>
    <cellStyle name="40% - Énfasis5 2 2" xfId="99" xr:uid="{00000000-0005-0000-0000-000015000000}"/>
    <cellStyle name="40% - Énfasis6 2" xfId="12" xr:uid="{00000000-0005-0000-0000-000016000000}"/>
    <cellStyle name="40% - Énfasis6 2 2" xfId="100" xr:uid="{00000000-0005-0000-0000-000017000000}"/>
    <cellStyle name="60% - Énfasis1 2" xfId="13" xr:uid="{00000000-0005-0000-0000-000018000000}"/>
    <cellStyle name="60% - Énfasis2 2" xfId="14" xr:uid="{00000000-0005-0000-0000-000019000000}"/>
    <cellStyle name="60% - Énfasis3 2" xfId="15" xr:uid="{00000000-0005-0000-0000-00001A000000}"/>
    <cellStyle name="60% - Énfasis4 2" xfId="16" xr:uid="{00000000-0005-0000-0000-00001B000000}"/>
    <cellStyle name="60% - Énfasis5 2" xfId="17" xr:uid="{00000000-0005-0000-0000-00001C000000}"/>
    <cellStyle name="60% - Énfasis6 2" xfId="18" xr:uid="{00000000-0005-0000-0000-00001D000000}"/>
    <cellStyle name="Buena 2" xfId="19" xr:uid="{00000000-0005-0000-0000-00001E000000}"/>
    <cellStyle name="Cálculo 2" xfId="20" xr:uid="{00000000-0005-0000-0000-00001F000000}"/>
    <cellStyle name="Celda de comprobación 2" xfId="21" xr:uid="{00000000-0005-0000-0000-000020000000}"/>
    <cellStyle name="Celda vinculada 2" xfId="22" xr:uid="{00000000-0005-0000-0000-000021000000}"/>
    <cellStyle name="Encabezado 4 2" xfId="23" xr:uid="{00000000-0005-0000-0000-000022000000}"/>
    <cellStyle name="Énfasis1 2" xfId="24" xr:uid="{00000000-0005-0000-0000-000023000000}"/>
    <cellStyle name="Énfasis2 2" xfId="25" xr:uid="{00000000-0005-0000-0000-000024000000}"/>
    <cellStyle name="Énfasis3 2" xfId="26" xr:uid="{00000000-0005-0000-0000-000025000000}"/>
    <cellStyle name="Énfasis4 2" xfId="27" xr:uid="{00000000-0005-0000-0000-000026000000}"/>
    <cellStyle name="Énfasis5 2" xfId="28" xr:uid="{00000000-0005-0000-0000-000027000000}"/>
    <cellStyle name="Énfasis6 2" xfId="29" xr:uid="{00000000-0005-0000-0000-000028000000}"/>
    <cellStyle name="Entrada 2" xfId="30" xr:uid="{00000000-0005-0000-0000-000029000000}"/>
    <cellStyle name="Hipervínculo 2" xfId="31" xr:uid="{00000000-0005-0000-0000-00002A000000}"/>
    <cellStyle name="Hipervínculo 3" xfId="88" xr:uid="{00000000-0005-0000-0000-00002B000000}"/>
    <cellStyle name="Hipervínculo 4" xfId="153" xr:uid="{00000000-0005-0000-0000-00002C000000}"/>
    <cellStyle name="Incorrecto 2" xfId="32" xr:uid="{00000000-0005-0000-0000-00002D000000}"/>
    <cellStyle name="Millares" xfId="155" builtinId="3"/>
    <cellStyle name="Millares [0]" xfId="156" builtinId="6"/>
    <cellStyle name="Millares [0] 2" xfId="124" xr:uid="{00000000-0005-0000-0000-00002F000000}"/>
    <cellStyle name="Millares [0] 3" xfId="125" xr:uid="{00000000-0005-0000-0000-000030000000}"/>
    <cellStyle name="Millares 10" xfId="130" xr:uid="{00000000-0005-0000-0000-000031000000}"/>
    <cellStyle name="Millares 11" xfId="119" xr:uid="{00000000-0005-0000-0000-000032000000}"/>
    <cellStyle name="Millares 12" xfId="134" xr:uid="{00000000-0005-0000-0000-000033000000}"/>
    <cellStyle name="Millares 13" xfId="133" xr:uid="{00000000-0005-0000-0000-000034000000}"/>
    <cellStyle name="Millares 14" xfId="123" xr:uid="{00000000-0005-0000-0000-000035000000}"/>
    <cellStyle name="Millares 15" xfId="137" xr:uid="{00000000-0005-0000-0000-000036000000}"/>
    <cellStyle name="Millares 16" xfId="139" xr:uid="{00000000-0005-0000-0000-000037000000}"/>
    <cellStyle name="Millares 17" xfId="141" xr:uid="{00000000-0005-0000-0000-000038000000}"/>
    <cellStyle name="Millares 18" xfId="142" xr:uid="{00000000-0005-0000-0000-000039000000}"/>
    <cellStyle name="Millares 19" xfId="143" xr:uid="{00000000-0005-0000-0000-00003A000000}"/>
    <cellStyle name="Millares 2" xfId="33" xr:uid="{00000000-0005-0000-0000-00003B000000}"/>
    <cellStyle name="Millares 2 2" xfId="101" xr:uid="{00000000-0005-0000-0000-00003C000000}"/>
    <cellStyle name="Millares 2 3" xfId="127" xr:uid="{00000000-0005-0000-0000-00003D000000}"/>
    <cellStyle name="Millares 20" xfId="144" xr:uid="{00000000-0005-0000-0000-00003E000000}"/>
    <cellStyle name="Millares 21" xfId="146" xr:uid="{00000000-0005-0000-0000-00003F000000}"/>
    <cellStyle name="Millares 22" xfId="148" xr:uid="{00000000-0005-0000-0000-000040000000}"/>
    <cellStyle name="Millares 23" xfId="145" xr:uid="{00000000-0005-0000-0000-000041000000}"/>
    <cellStyle name="Millares 24" xfId="147" xr:uid="{00000000-0005-0000-0000-000042000000}"/>
    <cellStyle name="Millares 25" xfId="149" xr:uid="{00000000-0005-0000-0000-000043000000}"/>
    <cellStyle name="Millares 26" xfId="150" xr:uid="{00000000-0005-0000-0000-000044000000}"/>
    <cellStyle name="Millares 27" xfId="151" xr:uid="{00000000-0005-0000-0000-000045000000}"/>
    <cellStyle name="Millares 28" xfId="152" xr:uid="{00000000-0005-0000-0000-000046000000}"/>
    <cellStyle name="Millares 3" xfId="34" xr:uid="{00000000-0005-0000-0000-000047000000}"/>
    <cellStyle name="Millares 3 2" xfId="116" xr:uid="{00000000-0005-0000-0000-000048000000}"/>
    <cellStyle name="Millares 3 2 2" xfId="159" xr:uid="{0AD73370-6EC9-4FF5-A5A1-6DBA1600E5A1}"/>
    <cellStyle name="Millares 4" xfId="35" xr:uid="{00000000-0005-0000-0000-000049000000}"/>
    <cellStyle name="Millares 4 2" xfId="128" xr:uid="{00000000-0005-0000-0000-00004A000000}"/>
    <cellStyle name="Millares 5" xfId="36" xr:uid="{00000000-0005-0000-0000-00004B000000}"/>
    <cellStyle name="Millares 5 2" xfId="102" xr:uid="{00000000-0005-0000-0000-00004C000000}"/>
    <cellStyle name="Millares 5 3" xfId="126" xr:uid="{00000000-0005-0000-0000-00004D000000}"/>
    <cellStyle name="Millares 6" xfId="37" xr:uid="{00000000-0005-0000-0000-00004E000000}"/>
    <cellStyle name="Millares 6 2" xfId="132" xr:uid="{00000000-0005-0000-0000-00004F000000}"/>
    <cellStyle name="Millares 7" xfId="38" xr:uid="{00000000-0005-0000-0000-000050000000}"/>
    <cellStyle name="Millares 7 2" xfId="103" xr:uid="{00000000-0005-0000-0000-000051000000}"/>
    <cellStyle name="Millares 7 3" xfId="113" xr:uid="{00000000-0005-0000-0000-000052000000}"/>
    <cellStyle name="Millares 8" xfId="39" xr:uid="{00000000-0005-0000-0000-000053000000}"/>
    <cellStyle name="Millares 8 2" xfId="104" xr:uid="{00000000-0005-0000-0000-000054000000}"/>
    <cellStyle name="Millares 8 3" xfId="117" xr:uid="{00000000-0005-0000-0000-000055000000}"/>
    <cellStyle name="Millares 9" xfId="114" xr:uid="{00000000-0005-0000-0000-000056000000}"/>
    <cellStyle name="Millares 9 2" xfId="160" xr:uid="{043B5B39-8CFB-4AB4-9406-FB793E602F0E}"/>
    <cellStyle name="Neutral 2" xfId="40" xr:uid="{00000000-0005-0000-0000-000057000000}"/>
    <cellStyle name="Normal" xfId="0" builtinId="0"/>
    <cellStyle name="Normal 10" xfId="140" xr:uid="{00000000-0005-0000-0000-000059000000}"/>
    <cellStyle name="Normal 11" xfId="115" xr:uid="{00000000-0005-0000-0000-00005A000000}"/>
    <cellStyle name="Normal 14 2" xfId="158" xr:uid="{12AB6A2B-1186-44B2-A4DC-12D24C2AC92A}"/>
    <cellStyle name="Normal 18" xfId="121" xr:uid="{00000000-0005-0000-0000-00005B000000}"/>
    <cellStyle name="Normal 2" xfId="41" xr:uid="{00000000-0005-0000-0000-00005C000000}"/>
    <cellStyle name="Normal 2 2" xfId="42" xr:uid="{00000000-0005-0000-0000-00005D000000}"/>
    <cellStyle name="Normal 2 2 2" xfId="157" xr:uid="{A8640DE2-CB49-40C3-895B-1A05F7B9EE77}"/>
    <cellStyle name="Normal 2_Cuadros base 2000 (Compendio) 07 10 2010" xfId="43" xr:uid="{00000000-0005-0000-0000-00005E000000}"/>
    <cellStyle name="Normal 3" xfId="44" xr:uid="{00000000-0005-0000-0000-00005F000000}"/>
    <cellStyle name="Normal 3 10" xfId="45" xr:uid="{00000000-0005-0000-0000-000060000000}"/>
    <cellStyle name="Normal 3 11" xfId="46" xr:uid="{00000000-0005-0000-0000-000061000000}"/>
    <cellStyle name="Normal 3 12" xfId="47" xr:uid="{00000000-0005-0000-0000-000062000000}"/>
    <cellStyle name="Normal 3 13" xfId="48" xr:uid="{00000000-0005-0000-0000-000063000000}"/>
    <cellStyle name="Normal 3 14" xfId="49" xr:uid="{00000000-0005-0000-0000-000064000000}"/>
    <cellStyle name="Normal 3 15" xfId="50" xr:uid="{00000000-0005-0000-0000-000065000000}"/>
    <cellStyle name="Normal 3 16" xfId="51" xr:uid="{00000000-0005-0000-0000-000066000000}"/>
    <cellStyle name="Normal 3 17" xfId="52" xr:uid="{00000000-0005-0000-0000-000067000000}"/>
    <cellStyle name="Normal 3 18" xfId="53" xr:uid="{00000000-0005-0000-0000-000068000000}"/>
    <cellStyle name="Normal 3 19" xfId="54" xr:uid="{00000000-0005-0000-0000-000069000000}"/>
    <cellStyle name="Normal 3 2" xfId="55" xr:uid="{00000000-0005-0000-0000-00006A000000}"/>
    <cellStyle name="Normal 3 2 2" xfId="56" xr:uid="{00000000-0005-0000-0000-00006B000000}"/>
    <cellStyle name="Normal 3 2_Cuadros de publicación base 2005_16 10 2010" xfId="57" xr:uid="{00000000-0005-0000-0000-00006C000000}"/>
    <cellStyle name="Normal 3 20" xfId="58" xr:uid="{00000000-0005-0000-0000-00006D000000}"/>
    <cellStyle name="Normal 3 21" xfId="59" xr:uid="{00000000-0005-0000-0000-00006E000000}"/>
    <cellStyle name="Normal 3 22" xfId="60" xr:uid="{00000000-0005-0000-0000-00006F000000}"/>
    <cellStyle name="Normal 3 23" xfId="61" xr:uid="{00000000-0005-0000-0000-000070000000}"/>
    <cellStyle name="Normal 3 24" xfId="62" xr:uid="{00000000-0005-0000-0000-000071000000}"/>
    <cellStyle name="Normal 3 25" xfId="63" xr:uid="{00000000-0005-0000-0000-000072000000}"/>
    <cellStyle name="Normal 3 26" xfId="64" xr:uid="{00000000-0005-0000-0000-000073000000}"/>
    <cellStyle name="Normal 3 27" xfId="65" xr:uid="{00000000-0005-0000-0000-000074000000}"/>
    <cellStyle name="Normal 3 28" xfId="66" xr:uid="{00000000-0005-0000-0000-000075000000}"/>
    <cellStyle name="Normal 3 29" xfId="105" xr:uid="{00000000-0005-0000-0000-000076000000}"/>
    <cellStyle name="Normal 3 3" xfId="67" xr:uid="{00000000-0005-0000-0000-000077000000}"/>
    <cellStyle name="Normal 3 30" xfId="106" xr:uid="{00000000-0005-0000-0000-000078000000}"/>
    <cellStyle name="Normal 3 31" xfId="107" xr:uid="{00000000-0005-0000-0000-000079000000}"/>
    <cellStyle name="Normal 3 32" xfId="108" xr:uid="{00000000-0005-0000-0000-00007A000000}"/>
    <cellStyle name="Normal 3 33" xfId="109" xr:uid="{00000000-0005-0000-0000-00007B000000}"/>
    <cellStyle name="Normal 3 34" xfId="110" xr:uid="{00000000-0005-0000-0000-00007C000000}"/>
    <cellStyle name="Normal 3 35" xfId="111" xr:uid="{00000000-0005-0000-0000-00007D000000}"/>
    <cellStyle name="Normal 3 4" xfId="68" xr:uid="{00000000-0005-0000-0000-00007E000000}"/>
    <cellStyle name="Normal 3 5" xfId="69" xr:uid="{00000000-0005-0000-0000-00007F000000}"/>
    <cellStyle name="Normal 3 6" xfId="70" xr:uid="{00000000-0005-0000-0000-000080000000}"/>
    <cellStyle name="Normal 3 7" xfId="71" xr:uid="{00000000-0005-0000-0000-000081000000}"/>
    <cellStyle name="Normal 3 8" xfId="72" xr:uid="{00000000-0005-0000-0000-000082000000}"/>
    <cellStyle name="Normal 3 9" xfId="73" xr:uid="{00000000-0005-0000-0000-000083000000}"/>
    <cellStyle name="Normal 3_Cuadros base 2000 (Compendio) 07 10 2010" xfId="74" xr:uid="{00000000-0005-0000-0000-000084000000}"/>
    <cellStyle name="Normal 4" xfId="75" xr:uid="{00000000-0005-0000-0000-000085000000}"/>
    <cellStyle name="Normal 4 2" xfId="76" xr:uid="{00000000-0005-0000-0000-000086000000}"/>
    <cellStyle name="Normal 5" xfId="118" xr:uid="{00000000-0005-0000-0000-000087000000}"/>
    <cellStyle name="Normal 5 2" xfId="120" xr:uid="{00000000-0005-0000-0000-000088000000}"/>
    <cellStyle name="Normal 6" xfId="122" xr:uid="{00000000-0005-0000-0000-000089000000}"/>
    <cellStyle name="Normal 7" xfId="135" xr:uid="{00000000-0005-0000-0000-00008A000000}"/>
    <cellStyle name="Normal 8" xfId="136" xr:uid="{00000000-0005-0000-0000-00008B000000}"/>
    <cellStyle name="Normal 9" xfId="138" xr:uid="{00000000-0005-0000-0000-00008C000000}"/>
    <cellStyle name="Notas 2" xfId="77" xr:uid="{00000000-0005-0000-0000-00008D000000}"/>
    <cellStyle name="Notas 2 2" xfId="112" xr:uid="{00000000-0005-0000-0000-00008E000000}"/>
    <cellStyle name="Porcentaje" xfId="154" builtinId="5"/>
    <cellStyle name="Porcentaje 2" xfId="129" xr:uid="{00000000-0005-0000-0000-00008F000000}"/>
    <cellStyle name="Porcentaje 3" xfId="131" xr:uid="{00000000-0005-0000-0000-000090000000}"/>
    <cellStyle name="Salida 2" xfId="78" xr:uid="{00000000-0005-0000-0000-000091000000}"/>
    <cellStyle name="Texto de advertencia 2" xfId="79" xr:uid="{00000000-0005-0000-0000-000092000000}"/>
    <cellStyle name="Texto explicativo 2" xfId="80" xr:uid="{00000000-0005-0000-0000-000093000000}"/>
    <cellStyle name="Título 1 2" xfId="81" xr:uid="{00000000-0005-0000-0000-000094000000}"/>
    <cellStyle name="Título 2 2" xfId="82" xr:uid="{00000000-0005-0000-0000-000095000000}"/>
    <cellStyle name="Título 3 2" xfId="83" xr:uid="{00000000-0005-0000-0000-000096000000}"/>
    <cellStyle name="Título 4" xfId="84" xr:uid="{00000000-0005-0000-0000-000097000000}"/>
    <cellStyle name="Título 5" xfId="85" xr:uid="{00000000-0005-0000-0000-000098000000}"/>
    <cellStyle name="Título 6" xfId="86" xr:uid="{00000000-0005-0000-0000-000099000000}"/>
    <cellStyle name="Total 2" xfId="87" xr:uid="{00000000-0005-0000-0000-00009A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Graph_demand!$J$14</c:f>
              <c:strCache>
                <c:ptCount val="1"/>
                <c:pt idx="0">
                  <c:v>Demand shock 50%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Graph_demand!$I$15:$I$30</c:f>
              <c:strCache>
                <c:ptCount val="16"/>
                <c:pt idx="0">
                  <c:v>Others</c:v>
                </c:pt>
                <c:pt idx="1">
                  <c:v>Wood and paper production</c:v>
                </c:pt>
                <c:pt idx="2">
                  <c:v>Water management</c:v>
                </c:pt>
                <c:pt idx="3">
                  <c:v>Trade and vehicle repair</c:v>
                </c:pt>
                <c:pt idx="4">
                  <c:v>Media and telecom</c:v>
                </c:pt>
                <c:pt idx="5">
                  <c:v>Furniture and crafts manufacturing</c:v>
                </c:pt>
                <c:pt idx="6">
                  <c:v>Finance and insurance</c:v>
                </c:pt>
                <c:pt idx="7">
                  <c:v>Professional and technical services</c:v>
                </c:pt>
                <c:pt idx="8">
                  <c:v>Energy supply</c:v>
                </c:pt>
                <c:pt idx="9">
                  <c:v>Chemicals and pharmaceuticals manufacturing</c:v>
                </c:pt>
                <c:pt idx="10">
                  <c:v>Coal mining</c:v>
                </c:pt>
                <c:pt idx="11">
                  <c:v>Extraction of metal ores</c:v>
                </c:pt>
                <c:pt idx="12">
                  <c:v>Extraction of other mines and quarries</c:v>
                </c:pt>
                <c:pt idx="13">
                  <c:v>Mining support services</c:v>
                </c:pt>
                <c:pt idx="14">
                  <c:v>Transportation and storage</c:v>
                </c:pt>
                <c:pt idx="15">
                  <c:v>Oil and gas extraction</c:v>
                </c:pt>
              </c:strCache>
            </c:strRef>
          </c:cat>
          <c:val>
            <c:numRef>
              <c:f>Graph_demand!$J$15:$J$30</c:f>
              <c:numCache>
                <c:formatCode>0.00</c:formatCode>
                <c:ptCount val="16"/>
                <c:pt idx="0">
                  <c:v>2.2428821488501671</c:v>
                </c:pt>
                <c:pt idx="1">
                  <c:v>0.46208552465338837</c:v>
                </c:pt>
                <c:pt idx="2">
                  <c:v>0.53165560874016693</c:v>
                </c:pt>
                <c:pt idx="3">
                  <c:v>0.65201983780054373</c:v>
                </c:pt>
                <c:pt idx="4">
                  <c:v>0.6888928872808564</c:v>
                </c:pt>
                <c:pt idx="5">
                  <c:v>0.7413029856490172</c:v>
                </c:pt>
                <c:pt idx="6">
                  <c:v>0.80150730764999567</c:v>
                </c:pt>
                <c:pt idx="7">
                  <c:v>1.4673387697744955</c:v>
                </c:pt>
                <c:pt idx="8">
                  <c:v>1.4790827721718136</c:v>
                </c:pt>
                <c:pt idx="9">
                  <c:v>2.5879733926543746</c:v>
                </c:pt>
                <c:pt idx="10">
                  <c:v>3.3091363010707475</c:v>
                </c:pt>
                <c:pt idx="11">
                  <c:v>3.3091363010707586</c:v>
                </c:pt>
                <c:pt idx="12">
                  <c:v>3.309136301070803</c:v>
                </c:pt>
                <c:pt idx="13">
                  <c:v>3.3091363010708141</c:v>
                </c:pt>
                <c:pt idx="14">
                  <c:v>3.5011855343468512</c:v>
                </c:pt>
                <c:pt idx="15">
                  <c:v>31.795925010558967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D3-4CCE-9FBF-BDF0C035E810}"/>
            </c:ext>
          </c:extLst>
        </c:ser>
        <c:ser>
          <c:idx val="1"/>
          <c:order val="1"/>
          <c:tx>
            <c:strRef>
              <c:f>Graph_demand!$K$14</c:f>
              <c:strCache>
                <c:ptCount val="1"/>
                <c:pt idx="0">
                  <c:v>Demand shock 25%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Graph_demand!$I$15:$I$30</c:f>
              <c:strCache>
                <c:ptCount val="16"/>
                <c:pt idx="0">
                  <c:v>Others</c:v>
                </c:pt>
                <c:pt idx="1">
                  <c:v>Wood and paper production</c:v>
                </c:pt>
                <c:pt idx="2">
                  <c:v>Water management</c:v>
                </c:pt>
                <c:pt idx="3">
                  <c:v>Trade and vehicle repair</c:v>
                </c:pt>
                <c:pt idx="4">
                  <c:v>Media and telecom</c:v>
                </c:pt>
                <c:pt idx="5">
                  <c:v>Furniture and crafts manufacturing</c:v>
                </c:pt>
                <c:pt idx="6">
                  <c:v>Finance and insurance</c:v>
                </c:pt>
                <c:pt idx="7">
                  <c:v>Professional and technical services</c:v>
                </c:pt>
                <c:pt idx="8">
                  <c:v>Energy supply</c:v>
                </c:pt>
                <c:pt idx="9">
                  <c:v>Chemicals and pharmaceuticals manufacturing</c:v>
                </c:pt>
                <c:pt idx="10">
                  <c:v>Coal mining</c:v>
                </c:pt>
                <c:pt idx="11">
                  <c:v>Extraction of metal ores</c:v>
                </c:pt>
                <c:pt idx="12">
                  <c:v>Extraction of other mines and quarries</c:v>
                </c:pt>
                <c:pt idx="13">
                  <c:v>Mining support services</c:v>
                </c:pt>
                <c:pt idx="14">
                  <c:v>Transportation and storage</c:v>
                </c:pt>
                <c:pt idx="15">
                  <c:v>Oil and gas extraction</c:v>
                </c:pt>
              </c:strCache>
            </c:strRef>
          </c:cat>
          <c:val>
            <c:numRef>
              <c:f>Graph_demand!$K$15:$K$30</c:f>
              <c:numCache>
                <c:formatCode>0.00</c:formatCode>
                <c:ptCount val="16"/>
                <c:pt idx="0">
                  <c:v>1.1214410744250447</c:v>
                </c:pt>
                <c:pt idx="1">
                  <c:v>0.23104276232668308</c:v>
                </c:pt>
                <c:pt idx="2">
                  <c:v>0.26582780437008902</c:v>
                </c:pt>
                <c:pt idx="3">
                  <c:v>0.32600991890026076</c:v>
                </c:pt>
                <c:pt idx="4">
                  <c:v>0.34444644364042265</c:v>
                </c:pt>
                <c:pt idx="5">
                  <c:v>0.37065149282450305</c:v>
                </c:pt>
                <c:pt idx="6">
                  <c:v>0.40075365382495898</c:v>
                </c:pt>
                <c:pt idx="7">
                  <c:v>0.73366938488724776</c:v>
                </c:pt>
                <c:pt idx="8">
                  <c:v>0.73954138608592901</c:v>
                </c:pt>
                <c:pt idx="9">
                  <c:v>1.2939866963272095</c:v>
                </c:pt>
                <c:pt idx="10">
                  <c:v>1.6545681505353294</c:v>
                </c:pt>
                <c:pt idx="11">
                  <c:v>1.6545681505353405</c:v>
                </c:pt>
                <c:pt idx="12">
                  <c:v>1.6545681505353849</c:v>
                </c:pt>
                <c:pt idx="13">
                  <c:v>1.6545681505353849</c:v>
                </c:pt>
                <c:pt idx="14">
                  <c:v>1.7505927671734312</c:v>
                </c:pt>
                <c:pt idx="15">
                  <c:v>15.897962505279473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D3-4CCE-9FBF-BDF0C035E810}"/>
            </c:ext>
          </c:extLst>
        </c:ser>
        <c:ser>
          <c:idx val="2"/>
          <c:order val="2"/>
          <c:tx>
            <c:strRef>
              <c:f>Graph_demand!$L$14</c:f>
              <c:strCache>
                <c:ptCount val="1"/>
                <c:pt idx="0">
                  <c:v>Demand shock 10%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Graph_demand!$I$15:$I$30</c:f>
              <c:strCache>
                <c:ptCount val="16"/>
                <c:pt idx="0">
                  <c:v>Others</c:v>
                </c:pt>
                <c:pt idx="1">
                  <c:v>Wood and paper production</c:v>
                </c:pt>
                <c:pt idx="2">
                  <c:v>Water management</c:v>
                </c:pt>
                <c:pt idx="3">
                  <c:v>Trade and vehicle repair</c:v>
                </c:pt>
                <c:pt idx="4">
                  <c:v>Media and telecom</c:v>
                </c:pt>
                <c:pt idx="5">
                  <c:v>Furniture and crafts manufacturing</c:v>
                </c:pt>
                <c:pt idx="6">
                  <c:v>Finance and insurance</c:v>
                </c:pt>
                <c:pt idx="7">
                  <c:v>Professional and technical services</c:v>
                </c:pt>
                <c:pt idx="8">
                  <c:v>Energy supply</c:v>
                </c:pt>
                <c:pt idx="9">
                  <c:v>Chemicals and pharmaceuticals manufacturing</c:v>
                </c:pt>
                <c:pt idx="10">
                  <c:v>Coal mining</c:v>
                </c:pt>
                <c:pt idx="11">
                  <c:v>Extraction of metal ores</c:v>
                </c:pt>
                <c:pt idx="12">
                  <c:v>Extraction of other mines and quarries</c:v>
                </c:pt>
                <c:pt idx="13">
                  <c:v>Mining support services</c:v>
                </c:pt>
                <c:pt idx="14">
                  <c:v>Transportation and storage</c:v>
                </c:pt>
                <c:pt idx="15">
                  <c:v>Oil and gas extraction</c:v>
                </c:pt>
              </c:strCache>
            </c:strRef>
          </c:cat>
          <c:val>
            <c:numRef>
              <c:f>Graph_demand!$L$15:$L$30</c:f>
              <c:numCache>
                <c:formatCode>0.00</c:formatCode>
                <c:ptCount val="16"/>
                <c:pt idx="0">
                  <c:v>0.4485764297699979</c:v>
                </c:pt>
                <c:pt idx="1">
                  <c:v>9.2417104930653249E-2</c:v>
                </c:pt>
                <c:pt idx="2">
                  <c:v>0.10633112174802672</c:v>
                </c:pt>
                <c:pt idx="3">
                  <c:v>0.13040396756008876</c:v>
                </c:pt>
                <c:pt idx="4">
                  <c:v>0.13777857745616018</c:v>
                </c:pt>
                <c:pt idx="5">
                  <c:v>0.14826059712979012</c:v>
                </c:pt>
                <c:pt idx="6">
                  <c:v>0.16030146152995473</c:v>
                </c:pt>
                <c:pt idx="7">
                  <c:v>0.29346775395487912</c:v>
                </c:pt>
                <c:pt idx="8">
                  <c:v>0.29581655443439159</c:v>
                </c:pt>
                <c:pt idx="9">
                  <c:v>0.51759467853090824</c:v>
                </c:pt>
                <c:pt idx="10">
                  <c:v>0.66182726021409843</c:v>
                </c:pt>
                <c:pt idx="11">
                  <c:v>0.66182726021410954</c:v>
                </c:pt>
                <c:pt idx="12">
                  <c:v>0.66182726021415395</c:v>
                </c:pt>
                <c:pt idx="13">
                  <c:v>0.66182726021415395</c:v>
                </c:pt>
                <c:pt idx="14">
                  <c:v>0.70023710686938356</c:v>
                </c:pt>
                <c:pt idx="15">
                  <c:v>6.3591850021118006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D3-4CCE-9FBF-BDF0C035E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08004104"/>
        <c:axId val="908004464"/>
      </c:barChart>
      <c:catAx>
        <c:axId val="9080041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Sectors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08004464"/>
        <c:crosses val="autoZero"/>
        <c:auto val="1"/>
        <c:lblAlgn val="ctr"/>
        <c:lblOffset val="100"/>
        <c:noMultiLvlLbl val="0"/>
      </c:catAx>
      <c:valAx>
        <c:axId val="9080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Shock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08004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Graph_supply!$J$14</c:f>
              <c:strCache>
                <c:ptCount val="1"/>
                <c:pt idx="0">
                  <c:v>Supply shock 50%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Graph_supply!$I$15:$I$30</c:f>
              <c:strCache>
                <c:ptCount val="16"/>
                <c:pt idx="0">
                  <c:v>Others</c:v>
                </c:pt>
                <c:pt idx="1">
                  <c:v>Wood and paper production</c:v>
                </c:pt>
                <c:pt idx="2">
                  <c:v>Water management</c:v>
                </c:pt>
                <c:pt idx="3">
                  <c:v>Trade and vehicle repair</c:v>
                </c:pt>
                <c:pt idx="4">
                  <c:v>Media and telecom</c:v>
                </c:pt>
                <c:pt idx="5">
                  <c:v>Metals and electrical equipment</c:v>
                </c:pt>
                <c:pt idx="6">
                  <c:v>Finance and insurance</c:v>
                </c:pt>
                <c:pt idx="7">
                  <c:v>Professional and technical services</c:v>
                </c:pt>
                <c:pt idx="8">
                  <c:v>Energy supply</c:v>
                </c:pt>
                <c:pt idx="9">
                  <c:v>Chemicals and pharmaceuticals manufacturing</c:v>
                </c:pt>
                <c:pt idx="10">
                  <c:v>Extraction of other mines and quarries</c:v>
                </c:pt>
                <c:pt idx="11">
                  <c:v>Extraction of metal ores</c:v>
                </c:pt>
                <c:pt idx="12">
                  <c:v>Mining support services</c:v>
                </c:pt>
                <c:pt idx="13">
                  <c:v>Coal mining</c:v>
                </c:pt>
                <c:pt idx="14">
                  <c:v>Transportation and storage</c:v>
                </c:pt>
                <c:pt idx="15">
                  <c:v>Oil and gas extraction</c:v>
                </c:pt>
              </c:strCache>
            </c:strRef>
          </c:cat>
          <c:val>
            <c:numRef>
              <c:f>Graph_supply!$J$15:$J$30</c:f>
              <c:numCache>
                <c:formatCode>0.00</c:formatCode>
                <c:ptCount val="16"/>
                <c:pt idx="0">
                  <c:v>4.2192821004453762</c:v>
                </c:pt>
                <c:pt idx="1">
                  <c:v>0.86926956195378935</c:v>
                </c:pt>
                <c:pt idx="2">
                  <c:v>1.0001439418957703</c:v>
                </c:pt>
                <c:pt idx="3">
                  <c:v>1.2265716378265901</c:v>
                </c:pt>
                <c:pt idx="4">
                  <c:v>1.2959367615094641</c:v>
                </c:pt>
                <c:pt idx="5">
                  <c:v>1.3945299889961293</c:v>
                </c:pt>
                <c:pt idx="6">
                  <c:v>1.5077856133804413</c:v>
                </c:pt>
                <c:pt idx="7">
                  <c:v>2.7603395077057447</c:v>
                </c:pt>
                <c:pt idx="8">
                  <c:v>2.7824321794619689</c:v>
                </c:pt>
                <c:pt idx="9">
                  <c:v>4.8684634712765185</c:v>
                </c:pt>
                <c:pt idx="10">
                  <c:v>6.2251061965960091</c:v>
                </c:pt>
                <c:pt idx="11">
                  <c:v>6.2251061965960641</c:v>
                </c:pt>
                <c:pt idx="12">
                  <c:v>6.2251061965960748</c:v>
                </c:pt>
                <c:pt idx="13">
                  <c:v>6.2251061965960863</c:v>
                </c:pt>
                <c:pt idx="14">
                  <c:v>6.5863868340032443</c:v>
                </c:pt>
                <c:pt idx="15">
                  <c:v>19.628200111119444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8-45CF-A7B7-09DDA3CA0690}"/>
            </c:ext>
          </c:extLst>
        </c:ser>
        <c:ser>
          <c:idx val="1"/>
          <c:order val="1"/>
          <c:tx>
            <c:strRef>
              <c:f>Graph_supply!$K$14</c:f>
              <c:strCache>
                <c:ptCount val="1"/>
                <c:pt idx="0">
                  <c:v>Supply shock 25%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Graph_supply!$I$15:$I$30</c:f>
              <c:strCache>
                <c:ptCount val="16"/>
                <c:pt idx="0">
                  <c:v>Others</c:v>
                </c:pt>
                <c:pt idx="1">
                  <c:v>Wood and paper production</c:v>
                </c:pt>
                <c:pt idx="2">
                  <c:v>Water management</c:v>
                </c:pt>
                <c:pt idx="3">
                  <c:v>Trade and vehicle repair</c:v>
                </c:pt>
                <c:pt idx="4">
                  <c:v>Media and telecom</c:v>
                </c:pt>
                <c:pt idx="5">
                  <c:v>Metals and electrical equipment</c:v>
                </c:pt>
                <c:pt idx="6">
                  <c:v>Finance and insurance</c:v>
                </c:pt>
                <c:pt idx="7">
                  <c:v>Professional and technical services</c:v>
                </c:pt>
                <c:pt idx="8">
                  <c:v>Energy supply</c:v>
                </c:pt>
                <c:pt idx="9">
                  <c:v>Chemicals and pharmaceuticals manufacturing</c:v>
                </c:pt>
                <c:pt idx="10">
                  <c:v>Extraction of other mines and quarries</c:v>
                </c:pt>
                <c:pt idx="11">
                  <c:v>Extraction of metal ores</c:v>
                </c:pt>
                <c:pt idx="12">
                  <c:v>Mining support services</c:v>
                </c:pt>
                <c:pt idx="13">
                  <c:v>Coal mining</c:v>
                </c:pt>
                <c:pt idx="14">
                  <c:v>Transportation and storage</c:v>
                </c:pt>
                <c:pt idx="15">
                  <c:v>Oil and gas extraction</c:v>
                </c:pt>
              </c:strCache>
            </c:strRef>
          </c:cat>
          <c:val>
            <c:numRef>
              <c:f>Graph_supply!$K$15:$K$30</c:f>
              <c:numCache>
                <c:formatCode>0.00</c:formatCode>
                <c:ptCount val="16"/>
                <c:pt idx="0">
                  <c:v>2.2942386955502436</c:v>
                </c:pt>
                <c:pt idx="1">
                  <c:v>0.47266615941322643</c:v>
                </c:pt>
                <c:pt idx="2">
                  <c:v>0.54382922923666976</c:v>
                </c:pt>
                <c:pt idx="3">
                  <c:v>0.66694950642647299</c:v>
                </c:pt>
                <c:pt idx="4">
                  <c:v>0.70466685906757087</c:v>
                </c:pt>
                <c:pt idx="5">
                  <c:v>0.75827702123123508</c:v>
                </c:pt>
                <c:pt idx="6">
                  <c:v>0.81985987579408226</c:v>
                </c:pt>
                <c:pt idx="7">
                  <c:v>1.5009372591526238</c:v>
                </c:pt>
                <c:pt idx="8">
                  <c:v>1.5129501706444115</c:v>
                </c:pt>
                <c:pt idx="9">
                  <c:v>2.6472316896033243</c:v>
                </c:pt>
                <c:pt idx="10">
                  <c:v>3.3849074748123931</c:v>
                </c:pt>
                <c:pt idx="11">
                  <c:v>3.3849074748124042</c:v>
                </c:pt>
                <c:pt idx="12">
                  <c:v>3.3849074748124264</c:v>
                </c:pt>
                <c:pt idx="13">
                  <c:v>3.3849074748123931</c:v>
                </c:pt>
                <c:pt idx="14">
                  <c:v>3.5813541684821981</c:v>
                </c:pt>
                <c:pt idx="15">
                  <c:v>10.031965824230104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8-45CF-A7B7-09DDA3CA0690}"/>
            </c:ext>
          </c:extLst>
        </c:ser>
        <c:ser>
          <c:idx val="2"/>
          <c:order val="2"/>
          <c:tx>
            <c:strRef>
              <c:f>Graph_supply!$L$14</c:f>
              <c:strCache>
                <c:ptCount val="1"/>
                <c:pt idx="0">
                  <c:v>Supply shock 10%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Graph_supply!$I$15:$I$30</c:f>
              <c:strCache>
                <c:ptCount val="16"/>
                <c:pt idx="0">
                  <c:v>Others</c:v>
                </c:pt>
                <c:pt idx="1">
                  <c:v>Wood and paper production</c:v>
                </c:pt>
                <c:pt idx="2">
                  <c:v>Water management</c:v>
                </c:pt>
                <c:pt idx="3">
                  <c:v>Trade and vehicle repair</c:v>
                </c:pt>
                <c:pt idx="4">
                  <c:v>Media and telecom</c:v>
                </c:pt>
                <c:pt idx="5">
                  <c:v>Metals and electrical equipment</c:v>
                </c:pt>
                <c:pt idx="6">
                  <c:v>Finance and insurance</c:v>
                </c:pt>
                <c:pt idx="7">
                  <c:v>Professional and technical services</c:v>
                </c:pt>
                <c:pt idx="8">
                  <c:v>Energy supply</c:v>
                </c:pt>
                <c:pt idx="9">
                  <c:v>Chemicals and pharmaceuticals manufacturing</c:v>
                </c:pt>
                <c:pt idx="10">
                  <c:v>Extraction of other mines and quarries</c:v>
                </c:pt>
                <c:pt idx="11">
                  <c:v>Extraction of metal ores</c:v>
                </c:pt>
                <c:pt idx="12">
                  <c:v>Mining support services</c:v>
                </c:pt>
                <c:pt idx="13">
                  <c:v>Coal mining</c:v>
                </c:pt>
                <c:pt idx="14">
                  <c:v>Transportation and storage</c:v>
                </c:pt>
                <c:pt idx="15">
                  <c:v>Oil and gas extraction</c:v>
                </c:pt>
              </c:strCache>
            </c:strRef>
          </c:cat>
          <c:val>
            <c:numRef>
              <c:f>Graph_supply!$L$15:$L$30</c:f>
              <c:numCache>
                <c:formatCode>0.00</c:formatCode>
                <c:ptCount val="16"/>
                <c:pt idx="0">
                  <c:v>0.96387749757942398</c:v>
                </c:pt>
                <c:pt idx="1">
                  <c:v>0.19858102638110608</c:v>
                </c:pt>
                <c:pt idx="2">
                  <c:v>0.22847873571474331</c:v>
                </c:pt>
                <c:pt idx="3">
                  <c:v>0.28020520380597214</c:v>
                </c:pt>
                <c:pt idx="4">
                  <c:v>0.29605137863925046</c:v>
                </c:pt>
                <c:pt idx="5">
                  <c:v>0.31857459257133014</c:v>
                </c:pt>
                <c:pt idx="6">
                  <c:v>0.34444737026659844</c:v>
                </c:pt>
                <c:pt idx="7">
                  <c:v>0.63058811281566651</c:v>
                </c:pt>
                <c:pt idx="8">
                  <c:v>0.63563509205535329</c:v>
                </c:pt>
                <c:pt idx="9">
                  <c:v>1.1121802894514254</c:v>
                </c:pt>
                <c:pt idx="10">
                  <c:v>1.4220996937624242</c:v>
                </c:pt>
                <c:pt idx="11">
                  <c:v>1.4220996937624686</c:v>
                </c:pt>
                <c:pt idx="12">
                  <c:v>1.4220996937624131</c:v>
                </c:pt>
                <c:pt idx="13">
                  <c:v>1.4220996937624131</c:v>
                </c:pt>
                <c:pt idx="14">
                  <c:v>1.5046327570698681</c:v>
                </c:pt>
                <c:pt idx="15">
                  <c:v>4.0714256619963862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8-45CF-A7B7-09DDA3CA0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08004104"/>
        <c:axId val="908004464"/>
      </c:barChart>
      <c:catAx>
        <c:axId val="9080041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Sectors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08004464"/>
        <c:crosses val="autoZero"/>
        <c:auto val="1"/>
        <c:lblAlgn val="ctr"/>
        <c:lblOffset val="100"/>
        <c:noMultiLvlLbl val="0"/>
      </c:catAx>
      <c:valAx>
        <c:axId val="9080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Shock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08004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'Graph_supply&amp;demand'!$J$14</c:f>
              <c:strCache>
                <c:ptCount val="1"/>
                <c:pt idx="0">
                  <c:v>Supply and demand shock 50%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'Graph_supply&amp;demand'!$I$15:$I$30</c:f>
              <c:strCache>
                <c:ptCount val="16"/>
                <c:pt idx="0">
                  <c:v>Others</c:v>
                </c:pt>
                <c:pt idx="1">
                  <c:v>Wood and paper production</c:v>
                </c:pt>
                <c:pt idx="2">
                  <c:v>Water management</c:v>
                </c:pt>
                <c:pt idx="3">
                  <c:v>Trade and vehicle repair</c:v>
                </c:pt>
                <c:pt idx="4">
                  <c:v>Media and telecom</c:v>
                </c:pt>
                <c:pt idx="5">
                  <c:v>Furniture and crafts manufacturing</c:v>
                </c:pt>
                <c:pt idx="6">
                  <c:v>Finance and insurance</c:v>
                </c:pt>
                <c:pt idx="7">
                  <c:v>Professional and technical services</c:v>
                </c:pt>
                <c:pt idx="8">
                  <c:v>Energy supply</c:v>
                </c:pt>
                <c:pt idx="9">
                  <c:v>Chemicals and pharmaceuticals manufacturing</c:v>
                </c:pt>
                <c:pt idx="10">
                  <c:v>Extraction of other mines and quarries</c:v>
                </c:pt>
                <c:pt idx="11">
                  <c:v>Extraction of metal ores</c:v>
                </c:pt>
                <c:pt idx="12">
                  <c:v>Mining support services</c:v>
                </c:pt>
                <c:pt idx="13">
                  <c:v>Coal mining</c:v>
                </c:pt>
                <c:pt idx="14">
                  <c:v>Transportation and storage</c:v>
                </c:pt>
                <c:pt idx="15">
                  <c:v>Oil and gas extraction</c:v>
                </c:pt>
              </c:strCache>
            </c:strRef>
          </c:cat>
          <c:val>
            <c:numRef>
              <c:f>'Graph_supply&amp;demand'!$J$15:$J$30</c:f>
              <c:numCache>
                <c:formatCode>0.00</c:formatCode>
                <c:ptCount val="16"/>
                <c:pt idx="0">
                  <c:v>-5.3211980896493705</c:v>
                </c:pt>
                <c:pt idx="1">
                  <c:v>-1.096289705770237</c:v>
                </c:pt>
                <c:pt idx="2">
                  <c:v>-1.2613434954795832</c:v>
                </c:pt>
                <c:pt idx="3">
                  <c:v>-1.5469054926030901</c:v>
                </c:pt>
                <c:pt idx="4">
                  <c:v>-1.6343861480422661</c:v>
                </c:pt>
                <c:pt idx="5">
                  <c:v>-1.7587281762036389</c:v>
                </c:pt>
                <c:pt idx="6">
                  <c:v>-1.901561861595813</c:v>
                </c:pt>
                <c:pt idx="7">
                  <c:v>-3.4812351877673731</c:v>
                </c:pt>
                <c:pt idx="8">
                  <c:v>-3.5090976250128025</c:v>
                </c:pt>
                <c:pt idx="9">
                  <c:v>-6.1399209406144735</c:v>
                </c:pt>
                <c:pt idx="10">
                  <c:v>-7.8508671410462361</c:v>
                </c:pt>
                <c:pt idx="11">
                  <c:v>-7.8508671410463027</c:v>
                </c:pt>
                <c:pt idx="12">
                  <c:v>-7.8508671410463133</c:v>
                </c:pt>
                <c:pt idx="13">
                  <c:v>-7.8508671410463249</c:v>
                </c:pt>
                <c:pt idx="14">
                  <c:v>-8.3065005383475725</c:v>
                </c:pt>
                <c:pt idx="15">
                  <c:v>-50.870535495194027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FC-4292-A0CE-F7AEE62D8C44}"/>
            </c:ext>
          </c:extLst>
        </c:ser>
        <c:ser>
          <c:idx val="1"/>
          <c:order val="1"/>
          <c:tx>
            <c:strRef>
              <c:f>'Graph_supply&amp;demand'!$K$14</c:f>
              <c:strCache>
                <c:ptCount val="1"/>
                <c:pt idx="0">
                  <c:v>Supply and demand shock 25%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'Graph_supply&amp;demand'!$I$15:$I$30</c:f>
              <c:strCache>
                <c:ptCount val="16"/>
                <c:pt idx="0">
                  <c:v>Others</c:v>
                </c:pt>
                <c:pt idx="1">
                  <c:v>Wood and paper production</c:v>
                </c:pt>
                <c:pt idx="2">
                  <c:v>Water management</c:v>
                </c:pt>
                <c:pt idx="3">
                  <c:v>Trade and vehicle repair</c:v>
                </c:pt>
                <c:pt idx="4">
                  <c:v>Media and telecom</c:v>
                </c:pt>
                <c:pt idx="5">
                  <c:v>Furniture and crafts manufacturing</c:v>
                </c:pt>
                <c:pt idx="6">
                  <c:v>Finance and insurance</c:v>
                </c:pt>
                <c:pt idx="7">
                  <c:v>Professional and technical services</c:v>
                </c:pt>
                <c:pt idx="8">
                  <c:v>Energy supply</c:v>
                </c:pt>
                <c:pt idx="9">
                  <c:v>Chemicals and pharmaceuticals manufacturing</c:v>
                </c:pt>
                <c:pt idx="10">
                  <c:v>Extraction of other mines and quarries</c:v>
                </c:pt>
                <c:pt idx="11">
                  <c:v>Extraction of metal ores</c:v>
                </c:pt>
                <c:pt idx="12">
                  <c:v>Mining support services</c:v>
                </c:pt>
                <c:pt idx="13">
                  <c:v>Coal mining</c:v>
                </c:pt>
                <c:pt idx="14">
                  <c:v>Transportation and storage</c:v>
                </c:pt>
                <c:pt idx="15">
                  <c:v>Oil and gas extraction</c:v>
                </c:pt>
              </c:strCache>
            </c:strRef>
          </c:cat>
          <c:val>
            <c:numRef>
              <c:f>'Graph_supply&amp;demand'!$K$15:$K$30</c:f>
              <c:numCache>
                <c:formatCode>0.00</c:formatCode>
                <c:ptCount val="16"/>
                <c:pt idx="0">
                  <c:v>-3.126714854497048</c:v>
                </c:pt>
                <c:pt idx="1">
                  <c:v>-0.64417547516822937</c:v>
                </c:pt>
                <c:pt idx="2">
                  <c:v>-0.74116042618497247</c:v>
                </c:pt>
                <c:pt idx="3">
                  <c:v>-0.90895552105707544</c:v>
                </c:pt>
                <c:pt idx="4">
                  <c:v>-0.96035880660186868</c:v>
                </c:pt>
                <c:pt idx="5">
                  <c:v>-1.0334216882951441</c:v>
                </c:pt>
                <c:pt idx="6">
                  <c:v>-1.1173501943034125</c:v>
                </c:pt>
                <c:pt idx="7">
                  <c:v>-2.0455599641672206</c:v>
                </c:pt>
                <c:pt idx="8">
                  <c:v>-2.0619318215854832</c:v>
                </c:pt>
                <c:pt idx="9">
                  <c:v>-3.6077931486519277</c:v>
                </c:pt>
                <c:pt idx="10">
                  <c:v>-4.6131383378380297</c:v>
                </c:pt>
                <c:pt idx="11">
                  <c:v>-4.6131383378380519</c:v>
                </c:pt>
                <c:pt idx="12">
                  <c:v>-4.6131383378380963</c:v>
                </c:pt>
                <c:pt idx="13">
                  <c:v>-4.6131383378380413</c:v>
                </c:pt>
                <c:pt idx="14">
                  <c:v>-4.8808667117014597</c:v>
                </c:pt>
                <c:pt idx="15">
                  <c:v>-25.767284797051047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FC-4292-A0CE-F7AEE62D8C44}"/>
            </c:ext>
          </c:extLst>
        </c:ser>
        <c:ser>
          <c:idx val="2"/>
          <c:order val="2"/>
          <c:tx>
            <c:strRef>
              <c:f>'Graph_supply&amp;demand'!$L$14</c:f>
              <c:strCache>
                <c:ptCount val="1"/>
                <c:pt idx="0">
                  <c:v>Supply and demand shock 10%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'Graph_supply&amp;demand'!$I$15:$I$30</c:f>
              <c:strCache>
                <c:ptCount val="16"/>
                <c:pt idx="0">
                  <c:v>Others</c:v>
                </c:pt>
                <c:pt idx="1">
                  <c:v>Wood and paper production</c:v>
                </c:pt>
                <c:pt idx="2">
                  <c:v>Water management</c:v>
                </c:pt>
                <c:pt idx="3">
                  <c:v>Trade and vehicle repair</c:v>
                </c:pt>
                <c:pt idx="4">
                  <c:v>Media and telecom</c:v>
                </c:pt>
                <c:pt idx="5">
                  <c:v>Furniture and crafts manufacturing</c:v>
                </c:pt>
                <c:pt idx="6">
                  <c:v>Finance and insurance</c:v>
                </c:pt>
                <c:pt idx="7">
                  <c:v>Professional and technical services</c:v>
                </c:pt>
                <c:pt idx="8">
                  <c:v>Energy supply</c:v>
                </c:pt>
                <c:pt idx="9">
                  <c:v>Chemicals and pharmaceuticals manufacturing</c:v>
                </c:pt>
                <c:pt idx="10">
                  <c:v>Extraction of other mines and quarries</c:v>
                </c:pt>
                <c:pt idx="11">
                  <c:v>Extraction of metal ores</c:v>
                </c:pt>
                <c:pt idx="12">
                  <c:v>Mining support services</c:v>
                </c:pt>
                <c:pt idx="13">
                  <c:v>Coal mining</c:v>
                </c:pt>
                <c:pt idx="14">
                  <c:v>Transportation and storage</c:v>
                </c:pt>
                <c:pt idx="15">
                  <c:v>Oil and gas extraction</c:v>
                </c:pt>
              </c:strCache>
            </c:strRef>
          </c:cat>
          <c:val>
            <c:numRef>
              <c:f>'Graph_supply&amp;demand'!$L$15:$L$30</c:f>
              <c:numCache>
                <c:formatCode>0.00</c:formatCode>
                <c:ptCount val="16"/>
                <c:pt idx="0">
                  <c:v>-1.3657921427652875</c:v>
                </c:pt>
                <c:pt idx="1">
                  <c:v>-0.28138472597888375</c:v>
                </c:pt>
                <c:pt idx="2">
                  <c:v>-0.32374908928968216</c:v>
                </c:pt>
                <c:pt idx="3">
                  <c:v>-0.39704429938578478</c:v>
                </c:pt>
                <c:pt idx="4">
                  <c:v>-0.41949796298366149</c:v>
                </c:pt>
                <c:pt idx="5">
                  <c:v>-0.4514128367051562</c:v>
                </c:pt>
                <c:pt idx="6">
                  <c:v>-0.48807396488423915</c:v>
                </c:pt>
                <c:pt idx="7">
                  <c:v>-0.89352878552276804</c:v>
                </c:pt>
                <c:pt idx="8">
                  <c:v>-0.9006802384901369</c:v>
                </c:pt>
                <c:pt idx="9">
                  <c:v>-1.5759337721711342</c:v>
                </c:pt>
                <c:pt idx="10">
                  <c:v>-2.0150824070977458</c:v>
                </c:pt>
                <c:pt idx="11">
                  <c:v>-2.0150824070978013</c:v>
                </c:pt>
                <c:pt idx="12">
                  <c:v>-2.0150824070977458</c:v>
                </c:pt>
                <c:pt idx="13">
                  <c:v>-2.0150824070977569</c:v>
                </c:pt>
                <c:pt idx="14">
                  <c:v>-2.1320298507996105</c:v>
                </c:pt>
                <c:pt idx="15">
                  <c:v>-10.402192689455491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FC-4292-A0CE-F7AEE62D8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08004104"/>
        <c:axId val="908004464"/>
      </c:barChart>
      <c:catAx>
        <c:axId val="9080041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Sectors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08004464"/>
        <c:crosses val="autoZero"/>
        <c:auto val="1"/>
        <c:lblAlgn val="ctr"/>
        <c:lblOffset val="100"/>
        <c:tickLblSkip val="1"/>
        <c:noMultiLvlLbl val="0"/>
      </c:catAx>
      <c:valAx>
        <c:axId val="9080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Shock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08004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Graph_demand_Tourism!$J$14</c:f>
              <c:strCache>
                <c:ptCount val="1"/>
                <c:pt idx="0">
                  <c:v>Demand shock 50%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Graph_demand_Tourism!$I$15:$I$30</c:f>
              <c:strCache>
                <c:ptCount val="16"/>
                <c:pt idx="0">
                  <c:v>Others</c:v>
                </c:pt>
                <c:pt idx="1">
                  <c:v>Water management</c:v>
                </c:pt>
                <c:pt idx="2">
                  <c:v>Finance and insurance</c:v>
                </c:pt>
                <c:pt idx="3">
                  <c:v>Arts and entertainment</c:v>
                </c:pt>
                <c:pt idx="4">
                  <c:v>Energy supply</c:v>
                </c:pt>
                <c:pt idx="5">
                  <c:v>Furniture and crafts manufacturing</c:v>
                </c:pt>
                <c:pt idx="6">
                  <c:v>Media and telecom</c:v>
                </c:pt>
                <c:pt idx="7">
                  <c:v>Real estate</c:v>
                </c:pt>
                <c:pt idx="8">
                  <c:v>Chemicals and pharmaceuticals manufacturing</c:v>
                </c:pt>
                <c:pt idx="9">
                  <c:v>Wood and paper production</c:v>
                </c:pt>
                <c:pt idx="10">
                  <c:v>Transportation and storage</c:v>
                </c:pt>
                <c:pt idx="11">
                  <c:v>Trade and vehicle repair</c:v>
                </c:pt>
                <c:pt idx="12">
                  <c:v>Professional and technical services</c:v>
                </c:pt>
                <c:pt idx="13">
                  <c:v>Agriculture and fishing</c:v>
                </c:pt>
                <c:pt idx="14">
                  <c:v>Food and beverage processing</c:v>
                </c:pt>
                <c:pt idx="15">
                  <c:v>Tourism and Hospitality services</c:v>
                </c:pt>
              </c:strCache>
            </c:strRef>
          </c:cat>
          <c:val>
            <c:numRef>
              <c:f>Graph_demand_Tourism!$J$15:$J$30</c:f>
              <c:numCache>
                <c:formatCode>0.00</c:formatCode>
                <c:ptCount val="16"/>
                <c:pt idx="0">
                  <c:v>1.9069449365407776</c:v>
                </c:pt>
                <c:pt idx="1">
                  <c:v>0.37004279554979647</c:v>
                </c:pt>
                <c:pt idx="2">
                  <c:v>0.4091957029204174</c:v>
                </c:pt>
                <c:pt idx="3">
                  <c:v>0.40960325171126577</c:v>
                </c:pt>
                <c:pt idx="4">
                  <c:v>0.45510971645412734</c:v>
                </c:pt>
                <c:pt idx="5">
                  <c:v>0.49006654769949698</c:v>
                </c:pt>
                <c:pt idx="6">
                  <c:v>0.56049567835867453</c:v>
                </c:pt>
                <c:pt idx="7">
                  <c:v>0.56669906474622334</c:v>
                </c:pt>
                <c:pt idx="8">
                  <c:v>0.68335265552879054</c:v>
                </c:pt>
                <c:pt idx="9">
                  <c:v>0.73360112390867815</c:v>
                </c:pt>
                <c:pt idx="10">
                  <c:v>0.76500645805408496</c:v>
                </c:pt>
                <c:pt idx="11">
                  <c:v>0.80338474626311385</c:v>
                </c:pt>
                <c:pt idx="12">
                  <c:v>0.83071864900854386</c:v>
                </c:pt>
                <c:pt idx="13">
                  <c:v>2.151468439019566</c:v>
                </c:pt>
                <c:pt idx="14">
                  <c:v>2.3675878570316167</c:v>
                </c:pt>
                <c:pt idx="15">
                  <c:v>16.355752685580448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66-425D-A903-E270636CF9AE}"/>
            </c:ext>
          </c:extLst>
        </c:ser>
        <c:ser>
          <c:idx val="1"/>
          <c:order val="1"/>
          <c:tx>
            <c:strRef>
              <c:f>Graph_demand_Tourism!$K$14</c:f>
              <c:strCache>
                <c:ptCount val="1"/>
                <c:pt idx="0">
                  <c:v>Demand shock 25%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Graph_demand_Tourism!$I$15:$I$30</c:f>
              <c:strCache>
                <c:ptCount val="16"/>
                <c:pt idx="0">
                  <c:v>Others</c:v>
                </c:pt>
                <c:pt idx="1">
                  <c:v>Water management</c:v>
                </c:pt>
                <c:pt idx="2">
                  <c:v>Finance and insurance</c:v>
                </c:pt>
                <c:pt idx="3">
                  <c:v>Arts and entertainment</c:v>
                </c:pt>
                <c:pt idx="4">
                  <c:v>Energy supply</c:v>
                </c:pt>
                <c:pt idx="5">
                  <c:v>Furniture and crafts manufacturing</c:v>
                </c:pt>
                <c:pt idx="6">
                  <c:v>Media and telecom</c:v>
                </c:pt>
                <c:pt idx="7">
                  <c:v>Real estate</c:v>
                </c:pt>
                <c:pt idx="8">
                  <c:v>Chemicals and pharmaceuticals manufacturing</c:v>
                </c:pt>
                <c:pt idx="9">
                  <c:v>Wood and paper production</c:v>
                </c:pt>
                <c:pt idx="10">
                  <c:v>Transportation and storage</c:v>
                </c:pt>
                <c:pt idx="11">
                  <c:v>Trade and vehicle repair</c:v>
                </c:pt>
                <c:pt idx="12">
                  <c:v>Professional and technical services</c:v>
                </c:pt>
                <c:pt idx="13">
                  <c:v>Agriculture and fishing</c:v>
                </c:pt>
                <c:pt idx="14">
                  <c:v>Food and beverage processing</c:v>
                </c:pt>
                <c:pt idx="15">
                  <c:v>Tourism and Hospitality services</c:v>
                </c:pt>
              </c:strCache>
            </c:strRef>
          </c:cat>
          <c:val>
            <c:numRef>
              <c:f>Graph_demand_Tourism!$K$15:$K$30</c:f>
              <c:numCache>
                <c:formatCode>0.00</c:formatCode>
                <c:ptCount val="16"/>
                <c:pt idx="0">
                  <c:v>0.95347246827038878</c:v>
                </c:pt>
                <c:pt idx="1">
                  <c:v>0.18502139777489823</c:v>
                </c:pt>
                <c:pt idx="2">
                  <c:v>0.2045978514602087</c:v>
                </c:pt>
                <c:pt idx="3">
                  <c:v>0.20480162585563289</c:v>
                </c:pt>
                <c:pt idx="4">
                  <c:v>0.22755485822706367</c:v>
                </c:pt>
                <c:pt idx="5">
                  <c:v>0.24503327384974849</c:v>
                </c:pt>
                <c:pt idx="6">
                  <c:v>0.28024783917933727</c:v>
                </c:pt>
                <c:pt idx="7">
                  <c:v>0.28334953237311167</c:v>
                </c:pt>
                <c:pt idx="8">
                  <c:v>0.34167632776439527</c:v>
                </c:pt>
                <c:pt idx="9">
                  <c:v>0.36680056195433908</c:v>
                </c:pt>
                <c:pt idx="10">
                  <c:v>0.38250322902704248</c:v>
                </c:pt>
                <c:pt idx="11">
                  <c:v>0.40169237313155692</c:v>
                </c:pt>
                <c:pt idx="12">
                  <c:v>0.41535932450427193</c:v>
                </c:pt>
                <c:pt idx="13">
                  <c:v>1.075734219509783</c:v>
                </c:pt>
                <c:pt idx="14">
                  <c:v>1.1837939285158083</c:v>
                </c:pt>
                <c:pt idx="15">
                  <c:v>8.1778763427902241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66-425D-A903-E270636CF9AE}"/>
            </c:ext>
          </c:extLst>
        </c:ser>
        <c:ser>
          <c:idx val="2"/>
          <c:order val="2"/>
          <c:tx>
            <c:strRef>
              <c:f>Graph_demand_Tourism!$L$14</c:f>
              <c:strCache>
                <c:ptCount val="1"/>
                <c:pt idx="0">
                  <c:v>Demand shock 10%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Graph_demand_Tourism!$I$15:$I$30</c:f>
              <c:strCache>
                <c:ptCount val="16"/>
                <c:pt idx="0">
                  <c:v>Others</c:v>
                </c:pt>
                <c:pt idx="1">
                  <c:v>Water management</c:v>
                </c:pt>
                <c:pt idx="2">
                  <c:v>Finance and insurance</c:v>
                </c:pt>
                <c:pt idx="3">
                  <c:v>Arts and entertainment</c:v>
                </c:pt>
                <c:pt idx="4">
                  <c:v>Energy supply</c:v>
                </c:pt>
                <c:pt idx="5">
                  <c:v>Furniture and crafts manufacturing</c:v>
                </c:pt>
                <c:pt idx="6">
                  <c:v>Media and telecom</c:v>
                </c:pt>
                <c:pt idx="7">
                  <c:v>Real estate</c:v>
                </c:pt>
                <c:pt idx="8">
                  <c:v>Chemicals and pharmaceuticals manufacturing</c:v>
                </c:pt>
                <c:pt idx="9">
                  <c:v>Wood and paper production</c:v>
                </c:pt>
                <c:pt idx="10">
                  <c:v>Transportation and storage</c:v>
                </c:pt>
                <c:pt idx="11">
                  <c:v>Trade and vehicle repair</c:v>
                </c:pt>
                <c:pt idx="12">
                  <c:v>Professional and technical services</c:v>
                </c:pt>
                <c:pt idx="13">
                  <c:v>Agriculture and fishing</c:v>
                </c:pt>
                <c:pt idx="14">
                  <c:v>Food and beverage processing</c:v>
                </c:pt>
                <c:pt idx="15">
                  <c:v>Tourism and Hospitality services</c:v>
                </c:pt>
              </c:strCache>
            </c:strRef>
          </c:cat>
          <c:val>
            <c:numRef>
              <c:f>Graph_demand_Tourism!$L$15:$L$30</c:f>
              <c:numCache>
                <c:formatCode>0.00</c:formatCode>
                <c:ptCount val="16"/>
                <c:pt idx="0">
                  <c:v>0.38138898730815551</c:v>
                </c:pt>
                <c:pt idx="1">
                  <c:v>7.4008559109959293E-2</c:v>
                </c:pt>
                <c:pt idx="2">
                  <c:v>8.1839140584083481E-2</c:v>
                </c:pt>
                <c:pt idx="3">
                  <c:v>8.1920650342253154E-2</c:v>
                </c:pt>
                <c:pt idx="4">
                  <c:v>9.1021943290825469E-2</c:v>
                </c:pt>
                <c:pt idx="5">
                  <c:v>9.801330953989941E-2</c:v>
                </c:pt>
                <c:pt idx="6">
                  <c:v>0.11209913567173491</c:v>
                </c:pt>
                <c:pt idx="7">
                  <c:v>0.11333981294924465</c:v>
                </c:pt>
                <c:pt idx="8">
                  <c:v>0.13667053110575811</c:v>
                </c:pt>
                <c:pt idx="9">
                  <c:v>0.14672022478173563</c:v>
                </c:pt>
                <c:pt idx="10">
                  <c:v>0.15300129161081699</c:v>
                </c:pt>
                <c:pt idx="11">
                  <c:v>0.16067694925262277</c:v>
                </c:pt>
                <c:pt idx="12">
                  <c:v>0.16614372980170877</c:v>
                </c:pt>
                <c:pt idx="13">
                  <c:v>0.43029368780391319</c:v>
                </c:pt>
                <c:pt idx="14">
                  <c:v>0.47351757140632333</c:v>
                </c:pt>
                <c:pt idx="15">
                  <c:v>3.2711505371160894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66-425D-A903-E270636CF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08004104"/>
        <c:axId val="908004464"/>
      </c:barChart>
      <c:catAx>
        <c:axId val="9080041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Sectors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08004464"/>
        <c:crosses val="autoZero"/>
        <c:auto val="1"/>
        <c:lblAlgn val="ctr"/>
        <c:lblOffset val="100"/>
        <c:noMultiLvlLbl val="0"/>
      </c:catAx>
      <c:valAx>
        <c:axId val="9080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Shock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08004104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Graph_supply_Agrop!$J$14</c:f>
              <c:strCache>
                <c:ptCount val="1"/>
                <c:pt idx="0">
                  <c:v>Supply shock 50%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Graph_supply_Agrop!$I$15:$I$30</c:f>
              <c:strCache>
                <c:ptCount val="16"/>
                <c:pt idx="0">
                  <c:v>Others</c:v>
                </c:pt>
                <c:pt idx="1">
                  <c:v>Coal mining</c:v>
                </c:pt>
                <c:pt idx="2">
                  <c:v>Extraction of metal ores</c:v>
                </c:pt>
                <c:pt idx="3">
                  <c:v>Oil and gas extraction</c:v>
                </c:pt>
                <c:pt idx="4">
                  <c:v>Mining support services</c:v>
                </c:pt>
                <c:pt idx="5">
                  <c:v>Extraction of other mines and quarries</c:v>
                </c:pt>
                <c:pt idx="6">
                  <c:v>Professional and technical services</c:v>
                </c:pt>
                <c:pt idx="7">
                  <c:v>Finance and insurance</c:v>
                </c:pt>
                <c:pt idx="8">
                  <c:v>Energy supply</c:v>
                </c:pt>
                <c:pt idx="9">
                  <c:v>Furniture and crafts manufacturing</c:v>
                </c:pt>
                <c:pt idx="10">
                  <c:v>Trade and vehicle repair</c:v>
                </c:pt>
                <c:pt idx="11">
                  <c:v>Transportation and storage</c:v>
                </c:pt>
                <c:pt idx="12">
                  <c:v>Wood and paper production</c:v>
                </c:pt>
                <c:pt idx="13">
                  <c:v>Chemicals and pharmaceuticals manufacturing</c:v>
                </c:pt>
                <c:pt idx="14">
                  <c:v>Food and beverage processing</c:v>
                </c:pt>
                <c:pt idx="15">
                  <c:v>Agriculture and fishing</c:v>
                </c:pt>
              </c:strCache>
            </c:strRef>
          </c:cat>
          <c:val>
            <c:numRef>
              <c:f>Graph_supply_Agrop!$J$15:$J$30</c:f>
              <c:numCache>
                <c:formatCode>0.00</c:formatCode>
                <c:ptCount val="16"/>
                <c:pt idx="0">
                  <c:v>2.3909402336411922</c:v>
                </c:pt>
                <c:pt idx="1">
                  <c:v>0.59521977256515868</c:v>
                </c:pt>
                <c:pt idx="2">
                  <c:v>0.59521977256515868</c:v>
                </c:pt>
                <c:pt idx="3">
                  <c:v>0.59521977256518088</c:v>
                </c:pt>
                <c:pt idx="4">
                  <c:v>0.59521977256522529</c:v>
                </c:pt>
                <c:pt idx="5">
                  <c:v>0.59521977256522529</c:v>
                </c:pt>
                <c:pt idx="6">
                  <c:v>0.68147847544153262</c:v>
                </c:pt>
                <c:pt idx="7">
                  <c:v>0.69612570415475972</c:v>
                </c:pt>
                <c:pt idx="8">
                  <c:v>0.82637376205714208</c:v>
                </c:pt>
                <c:pt idx="9">
                  <c:v>0.94548841733401723</c:v>
                </c:pt>
                <c:pt idx="10">
                  <c:v>0.98697440722188556</c:v>
                </c:pt>
                <c:pt idx="11">
                  <c:v>1.1871864415154532</c:v>
                </c:pt>
                <c:pt idx="12">
                  <c:v>1.8958573762622555</c:v>
                </c:pt>
                <c:pt idx="13">
                  <c:v>2.2229027700863213</c:v>
                </c:pt>
                <c:pt idx="14">
                  <c:v>2.3503383148284263</c:v>
                </c:pt>
                <c:pt idx="15">
                  <c:v>9.0826649883409605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A2-4BB1-BE8E-61B6C74C5F1F}"/>
            </c:ext>
          </c:extLst>
        </c:ser>
        <c:ser>
          <c:idx val="1"/>
          <c:order val="1"/>
          <c:tx>
            <c:strRef>
              <c:f>Graph_supply_Agrop!$K$14</c:f>
              <c:strCache>
                <c:ptCount val="1"/>
                <c:pt idx="0">
                  <c:v>Supply shock 25%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Graph_supply_Agrop!$I$15:$I$30</c:f>
              <c:strCache>
                <c:ptCount val="16"/>
                <c:pt idx="0">
                  <c:v>Others</c:v>
                </c:pt>
                <c:pt idx="1">
                  <c:v>Coal mining</c:v>
                </c:pt>
                <c:pt idx="2">
                  <c:v>Extraction of metal ores</c:v>
                </c:pt>
                <c:pt idx="3">
                  <c:v>Oil and gas extraction</c:v>
                </c:pt>
                <c:pt idx="4">
                  <c:v>Mining support services</c:v>
                </c:pt>
                <c:pt idx="5">
                  <c:v>Extraction of other mines and quarries</c:v>
                </c:pt>
                <c:pt idx="6">
                  <c:v>Professional and technical services</c:v>
                </c:pt>
                <c:pt idx="7">
                  <c:v>Finance and insurance</c:v>
                </c:pt>
                <c:pt idx="8">
                  <c:v>Energy supply</c:v>
                </c:pt>
                <c:pt idx="9">
                  <c:v>Furniture and crafts manufacturing</c:v>
                </c:pt>
                <c:pt idx="10">
                  <c:v>Trade and vehicle repair</c:v>
                </c:pt>
                <c:pt idx="11">
                  <c:v>Transportation and storage</c:v>
                </c:pt>
                <c:pt idx="12">
                  <c:v>Wood and paper production</c:v>
                </c:pt>
                <c:pt idx="13">
                  <c:v>Chemicals and pharmaceuticals manufacturing</c:v>
                </c:pt>
                <c:pt idx="14">
                  <c:v>Food and beverage processing</c:v>
                </c:pt>
                <c:pt idx="15">
                  <c:v>Agriculture and fishing</c:v>
                </c:pt>
              </c:strCache>
            </c:strRef>
          </c:cat>
          <c:val>
            <c:numRef>
              <c:f>Graph_supply_Agrop!$K$15:$K$30</c:f>
              <c:numCache>
                <c:formatCode>0.00</c:formatCode>
                <c:ptCount val="16"/>
                <c:pt idx="0">
                  <c:v>1.1954701168205961</c:v>
                </c:pt>
                <c:pt idx="1">
                  <c:v>0.29760988628257934</c:v>
                </c:pt>
                <c:pt idx="2">
                  <c:v>0.29760988628257934</c:v>
                </c:pt>
                <c:pt idx="3">
                  <c:v>0.29760988628259044</c:v>
                </c:pt>
                <c:pt idx="4">
                  <c:v>0.29760988628261265</c:v>
                </c:pt>
                <c:pt idx="5">
                  <c:v>0.29760988628261265</c:v>
                </c:pt>
                <c:pt idx="6">
                  <c:v>0.34073923772076631</c:v>
                </c:pt>
                <c:pt idx="7">
                  <c:v>0.34806285207737986</c:v>
                </c:pt>
                <c:pt idx="8">
                  <c:v>0.41318688102857104</c:v>
                </c:pt>
                <c:pt idx="9">
                  <c:v>0.47274420866700861</c:v>
                </c:pt>
                <c:pt idx="10">
                  <c:v>0.49348720361094278</c:v>
                </c:pt>
                <c:pt idx="11">
                  <c:v>0.59359322075772658</c:v>
                </c:pt>
                <c:pt idx="12">
                  <c:v>0.94792868813112774</c:v>
                </c:pt>
                <c:pt idx="13">
                  <c:v>1.1114513850431607</c:v>
                </c:pt>
                <c:pt idx="14">
                  <c:v>1.1751691574142131</c:v>
                </c:pt>
                <c:pt idx="15">
                  <c:v>4.5413324941704802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A2-4BB1-BE8E-61B6C74C5F1F}"/>
            </c:ext>
          </c:extLst>
        </c:ser>
        <c:ser>
          <c:idx val="2"/>
          <c:order val="2"/>
          <c:tx>
            <c:strRef>
              <c:f>Graph_supply_Agrop!$L$14</c:f>
              <c:strCache>
                <c:ptCount val="1"/>
                <c:pt idx="0">
                  <c:v>Supply shock 10%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Graph_supply_Agrop!$I$15:$I$30</c:f>
              <c:strCache>
                <c:ptCount val="16"/>
                <c:pt idx="0">
                  <c:v>Others</c:v>
                </c:pt>
                <c:pt idx="1">
                  <c:v>Coal mining</c:v>
                </c:pt>
                <c:pt idx="2">
                  <c:v>Extraction of metal ores</c:v>
                </c:pt>
                <c:pt idx="3">
                  <c:v>Oil and gas extraction</c:v>
                </c:pt>
                <c:pt idx="4">
                  <c:v>Mining support services</c:v>
                </c:pt>
                <c:pt idx="5">
                  <c:v>Extraction of other mines and quarries</c:v>
                </c:pt>
                <c:pt idx="6">
                  <c:v>Professional and technical services</c:v>
                </c:pt>
                <c:pt idx="7">
                  <c:v>Finance and insurance</c:v>
                </c:pt>
                <c:pt idx="8">
                  <c:v>Energy supply</c:v>
                </c:pt>
                <c:pt idx="9">
                  <c:v>Furniture and crafts manufacturing</c:v>
                </c:pt>
                <c:pt idx="10">
                  <c:v>Trade and vehicle repair</c:v>
                </c:pt>
                <c:pt idx="11">
                  <c:v>Transportation and storage</c:v>
                </c:pt>
                <c:pt idx="12">
                  <c:v>Wood and paper production</c:v>
                </c:pt>
                <c:pt idx="13">
                  <c:v>Chemicals and pharmaceuticals manufacturing</c:v>
                </c:pt>
                <c:pt idx="14">
                  <c:v>Food and beverage processing</c:v>
                </c:pt>
                <c:pt idx="15">
                  <c:v>Agriculture and fishing</c:v>
                </c:pt>
              </c:strCache>
            </c:strRef>
          </c:cat>
          <c:val>
            <c:numRef>
              <c:f>Graph_supply_Agrop!$L$15:$L$30</c:f>
              <c:numCache>
                <c:formatCode>0.00</c:formatCode>
                <c:ptCount val="16"/>
                <c:pt idx="0">
                  <c:v>0.4781880467282385</c:v>
                </c:pt>
                <c:pt idx="1">
                  <c:v>0.11904395451303174</c:v>
                </c:pt>
                <c:pt idx="2">
                  <c:v>0.11904395451303174</c:v>
                </c:pt>
                <c:pt idx="3">
                  <c:v>0.11904395451303618</c:v>
                </c:pt>
                <c:pt idx="4">
                  <c:v>0.11904395451304504</c:v>
                </c:pt>
                <c:pt idx="5">
                  <c:v>0.11904395451304504</c:v>
                </c:pt>
                <c:pt idx="6">
                  <c:v>0.13629569508830652</c:v>
                </c:pt>
                <c:pt idx="7">
                  <c:v>0.13922514083095194</c:v>
                </c:pt>
                <c:pt idx="8">
                  <c:v>0.16527475241142842</c:v>
                </c:pt>
                <c:pt idx="9">
                  <c:v>0.18909768346680345</c:v>
                </c:pt>
                <c:pt idx="10">
                  <c:v>0.19739488144437711</c:v>
                </c:pt>
                <c:pt idx="11">
                  <c:v>0.23743728830309063</c:v>
                </c:pt>
                <c:pt idx="12">
                  <c:v>0.3791714752524511</c:v>
                </c:pt>
                <c:pt idx="13">
                  <c:v>0.44458055401726426</c:v>
                </c:pt>
                <c:pt idx="14">
                  <c:v>0.47006766296568525</c:v>
                </c:pt>
                <c:pt idx="15">
                  <c:v>1.8165329976681921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A2-4BB1-BE8E-61B6C74C5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08004104"/>
        <c:axId val="908004464"/>
      </c:barChart>
      <c:catAx>
        <c:axId val="9080041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Sectors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08004464"/>
        <c:crosses val="autoZero"/>
        <c:auto val="1"/>
        <c:lblAlgn val="ctr"/>
        <c:lblOffset val="100"/>
        <c:noMultiLvlLbl val="0"/>
      </c:catAx>
      <c:valAx>
        <c:axId val="9080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Shock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08004104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593500</xdr:colOff>
      <xdr:row>47</xdr:row>
      <xdr:rowOff>110438</xdr:rowOff>
    </xdr:from>
    <xdr:to>
      <xdr:col>49</xdr:col>
      <xdr:colOff>707787</xdr:colOff>
      <xdr:row>58</xdr:row>
      <xdr:rowOff>66067</xdr:rowOff>
    </xdr:to>
    <xdr:pic>
      <xdr:nvPicPr>
        <xdr:cNvPr id="2" name="Imagen 1" descr="Tabla&#10;&#10;Descripción generada automáticamente">
          <a:extLst>
            <a:ext uri="{FF2B5EF4-FFF2-40B4-BE49-F238E27FC236}">
              <a16:creationId xmlns:a16="http://schemas.microsoft.com/office/drawing/2014/main" id="{942CAB09-59D4-4540-B36C-77FF12366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65379" y="9349329"/>
          <a:ext cx="6144151" cy="2836851"/>
        </a:xfrm>
        <a:prstGeom prst="rect">
          <a:avLst/>
        </a:prstGeom>
      </xdr:spPr>
    </xdr:pic>
    <xdr:clientData/>
  </xdr:twoCellAnchor>
  <xdr:twoCellAnchor>
    <xdr:from>
      <xdr:col>55</xdr:col>
      <xdr:colOff>466992</xdr:colOff>
      <xdr:row>67</xdr:row>
      <xdr:rowOff>238684</xdr:rowOff>
    </xdr:from>
    <xdr:to>
      <xdr:col>55</xdr:col>
      <xdr:colOff>2905739</xdr:colOff>
      <xdr:row>69</xdr:row>
      <xdr:rowOff>45402</xdr:rowOff>
    </xdr:to>
    <xdr:sp macro="[0]!CONVERGENCIA_PRODUCCIO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E3604C0-D98A-4DF0-8BC2-142A986B9410}"/>
            </a:ext>
          </a:extLst>
        </xdr:cNvPr>
        <xdr:cNvSpPr/>
      </xdr:nvSpPr>
      <xdr:spPr>
        <a:xfrm>
          <a:off x="36568539" y="14230729"/>
          <a:ext cx="2438747" cy="84188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>
              <a:latin typeface="Aptos" panose="020B0004020202020204" pitchFamily="34" charset="0"/>
            </a:rPr>
            <a:t>CONVERGENCIA</a:t>
          </a:r>
          <a:r>
            <a:rPr lang="es-CO" sz="1800" baseline="0">
              <a:latin typeface="Aptos" panose="020B0004020202020204" pitchFamily="34" charset="0"/>
            </a:rPr>
            <a:t> EN PIB</a:t>
          </a:r>
          <a:endParaRPr lang="es-CO" sz="1800">
            <a:latin typeface="Aptos" panose="020B0004020202020204" pitchFamily="34" charset="0"/>
          </a:endParaRPr>
        </a:p>
      </xdr:txBody>
    </xdr:sp>
    <xdr:clientData/>
  </xdr:twoCellAnchor>
  <xdr:twoCellAnchor>
    <xdr:from>
      <xdr:col>55</xdr:col>
      <xdr:colOff>494450</xdr:colOff>
      <xdr:row>69</xdr:row>
      <xdr:rowOff>285168</xdr:rowOff>
    </xdr:from>
    <xdr:to>
      <xdr:col>55</xdr:col>
      <xdr:colOff>2908833</xdr:colOff>
      <xdr:row>73</xdr:row>
      <xdr:rowOff>141954</xdr:rowOff>
    </xdr:to>
    <xdr:sp macro="[0]!CONVERGENCIA_TRABAJ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AB3E77A-4A5B-40EA-A4CD-678268B4DBB6}"/>
            </a:ext>
          </a:extLst>
        </xdr:cNvPr>
        <xdr:cNvSpPr/>
      </xdr:nvSpPr>
      <xdr:spPr>
        <a:xfrm>
          <a:off x="34978272" y="15779957"/>
          <a:ext cx="2414383" cy="89413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>
              <a:latin typeface="Aptos" panose="020B0004020202020204" pitchFamily="34" charset="0"/>
            </a:rPr>
            <a:t>CONVERGENCIA</a:t>
          </a:r>
          <a:r>
            <a:rPr lang="es-CO" sz="1800" baseline="0">
              <a:latin typeface="Aptos" panose="020B0004020202020204" pitchFamily="34" charset="0"/>
            </a:rPr>
            <a:t> EN EMPLEO</a:t>
          </a:r>
          <a:endParaRPr lang="es-CO" sz="1800">
            <a:latin typeface="Aptos" panose="020B0004020202020204" pitchFamily="34" charset="0"/>
          </a:endParaRPr>
        </a:p>
      </xdr:txBody>
    </xdr:sp>
    <xdr:clientData/>
  </xdr:twoCellAnchor>
  <xdr:twoCellAnchor>
    <xdr:from>
      <xdr:col>55</xdr:col>
      <xdr:colOff>512381</xdr:colOff>
      <xdr:row>74</xdr:row>
      <xdr:rowOff>208732</xdr:rowOff>
    </xdr:from>
    <xdr:to>
      <xdr:col>55</xdr:col>
      <xdr:colOff>3024215</xdr:colOff>
      <xdr:row>79</xdr:row>
      <xdr:rowOff>82613</xdr:rowOff>
    </xdr:to>
    <xdr:sp macro="[0]!CONVERGENCIA_TAX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D9D140F-DD25-452B-B119-30F23A687EA9}"/>
            </a:ext>
          </a:extLst>
        </xdr:cNvPr>
        <xdr:cNvSpPr/>
      </xdr:nvSpPr>
      <xdr:spPr>
        <a:xfrm>
          <a:off x="34996203" y="16959265"/>
          <a:ext cx="2511834" cy="92215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>
              <a:latin typeface="Aptos" panose="020B0004020202020204" pitchFamily="34" charset="0"/>
            </a:rPr>
            <a:t>CONVERGENCIA</a:t>
          </a:r>
          <a:r>
            <a:rPr lang="es-CO" sz="1800" baseline="0">
              <a:latin typeface="Aptos" panose="020B0004020202020204" pitchFamily="34" charset="0"/>
            </a:rPr>
            <a:t> EN TAX</a:t>
          </a:r>
          <a:endParaRPr lang="es-CO" sz="1800">
            <a:latin typeface="Aptos" panose="020B00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4313</xdr:colOff>
      <xdr:row>2</xdr:row>
      <xdr:rowOff>172528</xdr:rowOff>
    </xdr:from>
    <xdr:to>
      <xdr:col>19</xdr:col>
      <xdr:colOff>21565</xdr:colOff>
      <xdr:row>30</xdr:row>
      <xdr:rowOff>25879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2CEA803-63FF-463A-B298-41C90BD4F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4313</xdr:colOff>
      <xdr:row>2</xdr:row>
      <xdr:rowOff>172528</xdr:rowOff>
    </xdr:from>
    <xdr:to>
      <xdr:col>19</xdr:col>
      <xdr:colOff>21565</xdr:colOff>
      <xdr:row>30</xdr:row>
      <xdr:rowOff>25879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7FB13A6-5076-B1CA-3772-34E24D0920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4313</xdr:colOff>
      <xdr:row>2</xdr:row>
      <xdr:rowOff>172528</xdr:rowOff>
    </xdr:from>
    <xdr:to>
      <xdr:col>19</xdr:col>
      <xdr:colOff>21565</xdr:colOff>
      <xdr:row>30</xdr:row>
      <xdr:rowOff>25879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B7F9D48-1862-4D59-A778-75EB539EE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427008</xdr:colOff>
      <xdr:row>2</xdr:row>
      <xdr:rowOff>146649</xdr:rowOff>
    </xdr:from>
    <xdr:to>
      <xdr:col>19</xdr:col>
      <xdr:colOff>444260</xdr:colOff>
      <xdr:row>30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7B461F8-4EB4-4A32-BBD2-EFB837AF5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427008</xdr:colOff>
      <xdr:row>2</xdr:row>
      <xdr:rowOff>146649</xdr:rowOff>
    </xdr:from>
    <xdr:to>
      <xdr:col>19</xdr:col>
      <xdr:colOff>444260</xdr:colOff>
      <xdr:row>30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F00A151-37B5-4E80-9901-297E512D8C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AMCruzZ\Configuraci&#243;n%20local\Archivos%20temporales%20de%20Internet\Content.Outlook\06CYJ63W\cuentas%2010%20de%20agosto%2010%20y%2045%20am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Back%20up\cuentas%2014%20de%20agosto-9%20a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FAValdeblanquezP\Configuraci&#243;n%20local\Archivos%20temporales%20de%20Internet\OLKC2\CUENTAS_SINTESIS_AGREGADO1%20200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ltros"/>
      <sheetName val="Sintesis_Industria"/>
      <sheetName val="Configuracion"/>
      <sheetName val="Detalle"/>
      <sheetName val="Validacion"/>
      <sheetName val="Sector"/>
      <sheetName val="Fuente"/>
    </sheetNames>
    <sheetDataSet>
      <sheetData sheetId="0" refreshError="1"/>
      <sheetData sheetId="1" refreshError="1"/>
      <sheetData sheetId="2" refreshError="1">
        <row r="4">
          <cell r="A4" t="str">
            <v>SI</v>
          </cell>
        </row>
        <row r="5">
          <cell r="A5" t="str">
            <v>NO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ltros"/>
      <sheetName val="Sintesis_Industria"/>
      <sheetName val="Configuracion"/>
      <sheetName val="Detalle"/>
      <sheetName val="Validacion"/>
      <sheetName val="Sector"/>
      <sheetName val="Fuente"/>
    </sheetNames>
    <sheetDataSet>
      <sheetData sheetId="0" refreshError="1"/>
      <sheetData sheetId="1" refreshError="1"/>
      <sheetData sheetId="2" refreshError="1"/>
      <sheetData sheetId="3" refreshError="1">
        <row r="1">
          <cell r="K1" t="str">
            <v>LLAVE2</v>
          </cell>
        </row>
        <row r="2">
          <cell r="K2" t="str">
            <v>00201148D.121</v>
          </cell>
        </row>
        <row r="3">
          <cell r="K3" t="str">
            <v>00201143D.111</v>
          </cell>
        </row>
        <row r="4">
          <cell r="K4" t="str">
            <v>00201143D.121</v>
          </cell>
        </row>
        <row r="5">
          <cell r="K5" t="str">
            <v>00201143D.121</v>
          </cell>
        </row>
        <row r="6">
          <cell r="K6" t="str">
            <v>00201138D.111</v>
          </cell>
        </row>
        <row r="7">
          <cell r="K7" t="str">
            <v>00201140D.121</v>
          </cell>
        </row>
        <row r="8">
          <cell r="K8" t="str">
            <v>00201158D.122</v>
          </cell>
        </row>
        <row r="9">
          <cell r="K9" t="str">
            <v>00201102D.112</v>
          </cell>
        </row>
        <row r="10">
          <cell r="K10" t="str">
            <v>00201102D.112</v>
          </cell>
        </row>
        <row r="11">
          <cell r="K11" t="str">
            <v>00201102D.112</v>
          </cell>
        </row>
        <row r="12">
          <cell r="K12" t="str">
            <v>00201145D.121</v>
          </cell>
        </row>
        <row r="13">
          <cell r="K13" t="str">
            <v>00201159D.111</v>
          </cell>
        </row>
        <row r="14">
          <cell r="K14" t="str">
            <v>00201159D.121</v>
          </cell>
        </row>
        <row r="15">
          <cell r="K15" t="str">
            <v>00201159D.122</v>
          </cell>
        </row>
        <row r="16">
          <cell r="K16" t="str">
            <v>00201144D.111</v>
          </cell>
        </row>
        <row r="17">
          <cell r="K17" t="str">
            <v>00201126D.112</v>
          </cell>
        </row>
        <row r="18">
          <cell r="K18" t="str">
            <v>00201160D.111</v>
          </cell>
        </row>
        <row r="19">
          <cell r="K19" t="str">
            <v>00201159D.122</v>
          </cell>
        </row>
        <row r="20">
          <cell r="K20" t="str">
            <v>00201118D.121</v>
          </cell>
        </row>
        <row r="21">
          <cell r="K21" t="str">
            <v>00201120D.121</v>
          </cell>
        </row>
        <row r="22">
          <cell r="K22" t="str">
            <v>00201110D.121</v>
          </cell>
        </row>
        <row r="23">
          <cell r="K23" t="str">
            <v>00201130D.111</v>
          </cell>
        </row>
        <row r="24">
          <cell r="K24" t="str">
            <v>00201110D.121</v>
          </cell>
        </row>
        <row r="25">
          <cell r="K25" t="str">
            <v>00201128D.121</v>
          </cell>
        </row>
        <row r="26">
          <cell r="K26" t="str">
            <v>00201116D.111</v>
          </cell>
        </row>
        <row r="27">
          <cell r="K27" t="str">
            <v>00201131D.121</v>
          </cell>
        </row>
        <row r="28">
          <cell r="K28" t="str">
            <v>00201111D.121</v>
          </cell>
        </row>
        <row r="29">
          <cell r="K29" t="str">
            <v>00201118D.121</v>
          </cell>
        </row>
        <row r="30">
          <cell r="K30" t="str">
            <v>00201132D.121</v>
          </cell>
        </row>
        <row r="31">
          <cell r="K31" t="str">
            <v>00201112D.121</v>
          </cell>
        </row>
        <row r="32">
          <cell r="K32" t="str">
            <v>00201113D.121</v>
          </cell>
        </row>
        <row r="33">
          <cell r="K33" t="str">
            <v>00201131D.111</v>
          </cell>
        </row>
        <row r="34">
          <cell r="K34" t="str">
            <v>00201114D.111</v>
          </cell>
        </row>
        <row r="35">
          <cell r="K35" t="str">
            <v>00201128D.121</v>
          </cell>
        </row>
        <row r="36">
          <cell r="K36" t="str">
            <v>00201111D.121</v>
          </cell>
        </row>
        <row r="37">
          <cell r="K37" t="str">
            <v>00201117D.121</v>
          </cell>
        </row>
        <row r="38">
          <cell r="K38" t="str">
            <v>00201114D.111</v>
          </cell>
        </row>
        <row r="39">
          <cell r="K39" t="str">
            <v>00201131D.121</v>
          </cell>
        </row>
        <row r="40">
          <cell r="K40" t="str">
            <v>00201127D.121</v>
          </cell>
        </row>
        <row r="41">
          <cell r="K41" t="str">
            <v>00201128D.111</v>
          </cell>
        </row>
        <row r="42">
          <cell r="K42" t="str">
            <v>00201134D.111</v>
          </cell>
        </row>
        <row r="43">
          <cell r="K43" t="str">
            <v>00201130D.111</v>
          </cell>
        </row>
        <row r="44">
          <cell r="K44" t="str">
            <v>00201133D.112</v>
          </cell>
        </row>
        <row r="45">
          <cell r="K45" t="str">
            <v>00201151D.121</v>
          </cell>
        </row>
        <row r="46">
          <cell r="K46" t="str">
            <v>00201151D.111</v>
          </cell>
        </row>
        <row r="47">
          <cell r="K47" t="str">
            <v>00201151D.122</v>
          </cell>
        </row>
        <row r="48">
          <cell r="K48" t="str">
            <v>00201108D.111</v>
          </cell>
        </row>
        <row r="49">
          <cell r="K49" t="str">
            <v>00201108D.111</v>
          </cell>
        </row>
        <row r="50">
          <cell r="K50" t="str">
            <v>00201108D.121</v>
          </cell>
        </row>
        <row r="51">
          <cell r="K51" t="str">
            <v>00201110D.121</v>
          </cell>
        </row>
        <row r="52">
          <cell r="K52" t="str">
            <v>00201121D.111</v>
          </cell>
        </row>
        <row r="53">
          <cell r="K53" t="str">
            <v>00201123D.111</v>
          </cell>
        </row>
        <row r="54">
          <cell r="K54" t="str">
            <v>00201128D.111</v>
          </cell>
        </row>
        <row r="55">
          <cell r="K55" t="str">
            <v>00201143D.111</v>
          </cell>
        </row>
        <row r="56">
          <cell r="K56" t="str">
            <v>00201115D.111</v>
          </cell>
        </row>
        <row r="57">
          <cell r="K57" t="str">
            <v>00201129D.111</v>
          </cell>
        </row>
        <row r="58">
          <cell r="K58" t="str">
            <v>00201131D.111</v>
          </cell>
        </row>
        <row r="59">
          <cell r="K59" t="str">
            <v>00201135D.111</v>
          </cell>
        </row>
        <row r="60">
          <cell r="K60" t="str">
            <v>00201118D.121</v>
          </cell>
        </row>
        <row r="61">
          <cell r="K61" t="str">
            <v>00201122D.121</v>
          </cell>
        </row>
        <row r="62">
          <cell r="K62" t="str">
            <v>00201131D.121</v>
          </cell>
        </row>
        <row r="63">
          <cell r="K63" t="str">
            <v>00201111D.111</v>
          </cell>
        </row>
        <row r="64">
          <cell r="K64" t="str">
            <v>00201112D.111</v>
          </cell>
        </row>
        <row r="65">
          <cell r="K65" t="str">
            <v>00201118D.111</v>
          </cell>
        </row>
        <row r="66">
          <cell r="K66" t="str">
            <v>00201123D.111</v>
          </cell>
        </row>
        <row r="67">
          <cell r="K67" t="str">
            <v>00201126D.111</v>
          </cell>
        </row>
        <row r="68">
          <cell r="K68" t="str">
            <v>00201107D.111</v>
          </cell>
        </row>
        <row r="69">
          <cell r="K69" t="str">
            <v>00201128D.121</v>
          </cell>
        </row>
        <row r="70">
          <cell r="K70" t="str">
            <v>00201130D.121</v>
          </cell>
        </row>
        <row r="71">
          <cell r="K71" t="str">
            <v>00201149D.111</v>
          </cell>
        </row>
        <row r="72">
          <cell r="K72" t="str">
            <v>00201149D.121</v>
          </cell>
        </row>
        <row r="73">
          <cell r="K73" t="str">
            <v>00201125D.111</v>
          </cell>
        </row>
        <row r="74">
          <cell r="K74" t="str">
            <v>00201135D.111</v>
          </cell>
        </row>
        <row r="75">
          <cell r="K75" t="str">
            <v>00201153D.111</v>
          </cell>
        </row>
        <row r="76">
          <cell r="K76" t="str">
            <v>00201159D.111</v>
          </cell>
        </row>
        <row r="77">
          <cell r="K77" t="str">
            <v>00201110D.111</v>
          </cell>
        </row>
        <row r="78">
          <cell r="K78" t="str">
            <v>00201119D.121</v>
          </cell>
        </row>
        <row r="79">
          <cell r="K79" t="str">
            <v>00201151D.121</v>
          </cell>
        </row>
        <row r="80">
          <cell r="K80" t="str">
            <v>00201124D.121</v>
          </cell>
        </row>
        <row r="81">
          <cell r="K81" t="str">
            <v>00201135D.121</v>
          </cell>
        </row>
        <row r="82">
          <cell r="K82" t="str">
            <v>00201136D.121</v>
          </cell>
        </row>
        <row r="83">
          <cell r="K83" t="str">
            <v>00201118D.121</v>
          </cell>
        </row>
        <row r="84">
          <cell r="K84" t="str">
            <v>00201130D.121</v>
          </cell>
        </row>
        <row r="85">
          <cell r="K85" t="str">
            <v>00201143D.111</v>
          </cell>
        </row>
        <row r="86">
          <cell r="K86" t="str">
            <v>00201143D.122</v>
          </cell>
        </row>
        <row r="87">
          <cell r="K87" t="str">
            <v>00201150D.121</v>
          </cell>
        </row>
        <row r="88">
          <cell r="K88" t="str">
            <v>00201109D.121</v>
          </cell>
        </row>
        <row r="89">
          <cell r="K89" t="str">
            <v>00201109D.111</v>
          </cell>
        </row>
        <row r="90">
          <cell r="K90" t="str">
            <v>00201106D.111</v>
          </cell>
        </row>
        <row r="91">
          <cell r="K91" t="str">
            <v>00201113D.111</v>
          </cell>
        </row>
        <row r="92">
          <cell r="K92" t="str">
            <v>00201116D.111</v>
          </cell>
        </row>
        <row r="93">
          <cell r="K93" t="str">
            <v>00201125D.111</v>
          </cell>
        </row>
        <row r="94">
          <cell r="K94" t="str">
            <v>00201128D.111</v>
          </cell>
        </row>
        <row r="95">
          <cell r="K95" t="str">
            <v>00201135D.111</v>
          </cell>
        </row>
        <row r="96">
          <cell r="K96" t="str">
            <v>00201138D.111</v>
          </cell>
        </row>
        <row r="97">
          <cell r="K97" t="str">
            <v>00201140D.111</v>
          </cell>
        </row>
        <row r="98">
          <cell r="K98" t="str">
            <v>00201143D.111</v>
          </cell>
        </row>
        <row r="99">
          <cell r="K99" t="str">
            <v>00201115D.121</v>
          </cell>
        </row>
        <row r="100">
          <cell r="K100" t="str">
            <v>00201117D.121</v>
          </cell>
        </row>
        <row r="101">
          <cell r="K101" t="str">
            <v>00201121D.121</v>
          </cell>
        </row>
        <row r="102">
          <cell r="K102" t="str">
            <v>00201123D.121</v>
          </cell>
        </row>
        <row r="103">
          <cell r="K103" t="str">
            <v>00201124D.121</v>
          </cell>
        </row>
        <row r="104">
          <cell r="K104" t="str">
            <v>00201125D.121</v>
          </cell>
        </row>
        <row r="105">
          <cell r="K105" t="str">
            <v>00201145D.121</v>
          </cell>
        </row>
        <row r="106">
          <cell r="K106" t="str">
            <v>00201149D.121</v>
          </cell>
        </row>
        <row r="107">
          <cell r="K107" t="str">
            <v>00201153D.121</v>
          </cell>
        </row>
        <row r="108">
          <cell r="K108" t="str">
            <v>00201143D.111</v>
          </cell>
        </row>
        <row r="109">
          <cell r="K109" t="str">
            <v>00201143D.121</v>
          </cell>
        </row>
        <row r="110">
          <cell r="K110" t="str">
            <v>00201110D.112</v>
          </cell>
        </row>
        <row r="111">
          <cell r="K111" t="str">
            <v>00201110D.112</v>
          </cell>
        </row>
        <row r="112">
          <cell r="K112" t="str">
            <v>00201151D.111</v>
          </cell>
        </row>
        <row r="113">
          <cell r="K113" t="str">
            <v>00201151D.111</v>
          </cell>
        </row>
        <row r="114">
          <cell r="K114" t="str">
            <v>00201151D.121</v>
          </cell>
        </row>
        <row r="115">
          <cell r="K115" t="str">
            <v>00201151D.121</v>
          </cell>
        </row>
        <row r="116">
          <cell r="K116" t="str">
            <v>00201154D.121</v>
          </cell>
        </row>
        <row r="117">
          <cell r="K117" t="str">
            <v>00201153D.111</v>
          </cell>
        </row>
        <row r="118">
          <cell r="K118" t="str">
            <v>00201154D.121</v>
          </cell>
        </row>
        <row r="119">
          <cell r="K119" t="str">
            <v>00201156D.121</v>
          </cell>
        </row>
        <row r="120">
          <cell r="K120" t="str">
            <v>00201156D.122</v>
          </cell>
        </row>
        <row r="121">
          <cell r="K121" t="str">
            <v>00201146D.121</v>
          </cell>
        </row>
        <row r="122">
          <cell r="K122" t="str">
            <v>00201140D.121</v>
          </cell>
        </row>
        <row r="123">
          <cell r="K123" t="str">
            <v>00201158D.111</v>
          </cell>
        </row>
        <row r="124">
          <cell r="K124" t="str">
            <v>00201110D.111</v>
          </cell>
        </row>
        <row r="125">
          <cell r="K125" t="str">
            <v>00201118D.111</v>
          </cell>
        </row>
        <row r="126">
          <cell r="K126" t="str">
            <v>00201119D.111</v>
          </cell>
        </row>
        <row r="127">
          <cell r="K127" t="str">
            <v>00201125D.111</v>
          </cell>
        </row>
        <row r="128">
          <cell r="K128" t="str">
            <v>00201132D.111</v>
          </cell>
        </row>
        <row r="129">
          <cell r="K129" t="str">
            <v>00201116D.121</v>
          </cell>
        </row>
        <row r="130">
          <cell r="K130" t="str">
            <v>00201117D.121</v>
          </cell>
        </row>
        <row r="131">
          <cell r="K131" t="str">
            <v>00201130D.121</v>
          </cell>
        </row>
        <row r="132">
          <cell r="K132" t="str">
            <v>00201131D.121</v>
          </cell>
        </row>
        <row r="133">
          <cell r="K133" t="str">
            <v>00201143D.121</v>
          </cell>
        </row>
        <row r="134">
          <cell r="K134" t="str">
            <v>00201146D.111</v>
          </cell>
        </row>
        <row r="135">
          <cell r="K135" t="str">
            <v>00201145D.121</v>
          </cell>
        </row>
        <row r="136">
          <cell r="K136" t="str">
            <v>00201153D.111</v>
          </cell>
        </row>
        <row r="137">
          <cell r="K137" t="str">
            <v>00201145D.121</v>
          </cell>
        </row>
        <row r="138">
          <cell r="K138" t="str">
            <v>00201149D.121</v>
          </cell>
        </row>
        <row r="139">
          <cell r="K139" t="str">
            <v>00201149D.121</v>
          </cell>
        </row>
        <row r="140">
          <cell r="K140" t="str">
            <v>00201138D.29</v>
          </cell>
        </row>
        <row r="141">
          <cell r="K141" t="str">
            <v>00201140D.29</v>
          </cell>
        </row>
        <row r="142">
          <cell r="K142" t="str">
            <v>00201140D.29</v>
          </cell>
        </row>
        <row r="143">
          <cell r="K143" t="str">
            <v>00201126D.29</v>
          </cell>
        </row>
        <row r="144">
          <cell r="K144" t="str">
            <v>00201149D.29</v>
          </cell>
        </row>
        <row r="145">
          <cell r="K145" t="str">
            <v>00201123D.29</v>
          </cell>
        </row>
        <row r="146">
          <cell r="K146" t="str">
            <v>00201125D.29</v>
          </cell>
        </row>
        <row r="147">
          <cell r="K147" t="str">
            <v>00201132D.29</v>
          </cell>
        </row>
        <row r="148">
          <cell r="K148" t="str">
            <v>00201118D.29</v>
          </cell>
        </row>
        <row r="149">
          <cell r="K149" t="str">
            <v>00201121D.29</v>
          </cell>
        </row>
        <row r="150">
          <cell r="K150" t="str">
            <v>00201129D.29</v>
          </cell>
        </row>
        <row r="151">
          <cell r="K151" t="str">
            <v>00201135D.29</v>
          </cell>
        </row>
        <row r="152">
          <cell r="K152" t="str">
            <v>00201123D.29</v>
          </cell>
        </row>
        <row r="153">
          <cell r="K153" t="str">
            <v>00201111D.29</v>
          </cell>
        </row>
        <row r="154">
          <cell r="K154" t="str">
            <v>00201108D.29</v>
          </cell>
        </row>
        <row r="155">
          <cell r="K155" t="str">
            <v>00201114D.29</v>
          </cell>
        </row>
        <row r="156">
          <cell r="K156" t="str">
            <v>00201143D.29</v>
          </cell>
        </row>
        <row r="157">
          <cell r="K157" t="str">
            <v>00201120D.29</v>
          </cell>
        </row>
        <row r="158">
          <cell r="K158" t="str">
            <v>00201159D.29</v>
          </cell>
        </row>
        <row r="159">
          <cell r="K159" t="str">
            <v>00201127D.29</v>
          </cell>
        </row>
        <row r="160">
          <cell r="K160" t="str">
            <v>00201131D.29</v>
          </cell>
        </row>
        <row r="161">
          <cell r="K161" t="str">
            <v>00201111D.29</v>
          </cell>
        </row>
        <row r="162">
          <cell r="K162" t="str">
            <v>00201122D.29</v>
          </cell>
        </row>
        <row r="163">
          <cell r="K163" t="str">
            <v>00201123D.29</v>
          </cell>
        </row>
        <row r="164">
          <cell r="K164" t="str">
            <v>00201135D.29</v>
          </cell>
        </row>
        <row r="165">
          <cell r="K165" t="str">
            <v>00201150D.29</v>
          </cell>
        </row>
        <row r="166">
          <cell r="K166" t="str">
            <v>00201153D.29</v>
          </cell>
        </row>
        <row r="167">
          <cell r="K167" t="str">
            <v>00201158D.29</v>
          </cell>
        </row>
        <row r="168">
          <cell r="K168" t="str">
            <v>00201117D.29</v>
          </cell>
        </row>
        <row r="169">
          <cell r="K169" t="str">
            <v>00201145D.29</v>
          </cell>
        </row>
        <row r="170">
          <cell r="K170" t="str">
            <v>00201123D.29</v>
          </cell>
        </row>
        <row r="171">
          <cell r="K171" t="str">
            <v>00201158D.29</v>
          </cell>
        </row>
        <row r="172">
          <cell r="K172" t="str">
            <v>00201148D.29</v>
          </cell>
        </row>
        <row r="173">
          <cell r="K173" t="str">
            <v>00201122D.29</v>
          </cell>
        </row>
        <row r="174">
          <cell r="K174" t="str">
            <v>00201151D.29</v>
          </cell>
        </row>
        <row r="175">
          <cell r="K175" t="str">
            <v>00201156D.29</v>
          </cell>
        </row>
        <row r="176">
          <cell r="K176" t="str">
            <v>00201153D.29</v>
          </cell>
        </row>
        <row r="177">
          <cell r="K177" t="str">
            <v>00201156D.29</v>
          </cell>
        </row>
        <row r="178">
          <cell r="K178" t="str">
            <v>00201254D.29</v>
          </cell>
        </row>
        <row r="179">
          <cell r="K179" t="str">
            <v>00201140D.29</v>
          </cell>
        </row>
        <row r="180">
          <cell r="K180" t="str">
            <v>00201138D.29</v>
          </cell>
        </row>
        <row r="181">
          <cell r="K181" t="str">
            <v>00201117D.29</v>
          </cell>
        </row>
        <row r="182">
          <cell r="K182" t="str">
            <v>00201119D.29</v>
          </cell>
        </row>
        <row r="183">
          <cell r="K183" t="str">
            <v>00201143D.29</v>
          </cell>
        </row>
        <row r="184">
          <cell r="K184" t="str">
            <v>00201146D.29</v>
          </cell>
        </row>
        <row r="185">
          <cell r="K185" t="str">
            <v>00201146D.29</v>
          </cell>
        </row>
        <row r="186">
          <cell r="K186" t="str">
            <v>00201145D.29</v>
          </cell>
        </row>
        <row r="187">
          <cell r="K187" t="str">
            <v>00201156K.1</v>
          </cell>
        </row>
        <row r="188">
          <cell r="K188" t="str">
            <v>00021248P.11</v>
          </cell>
        </row>
        <row r="189">
          <cell r="K189" t="str">
            <v>00021248P.11</v>
          </cell>
        </row>
        <row r="190">
          <cell r="K190" t="str">
            <v>00021243P.11</v>
          </cell>
        </row>
        <row r="191">
          <cell r="K191" t="str">
            <v>00021243P.11</v>
          </cell>
        </row>
        <row r="192">
          <cell r="K192" t="str">
            <v>00021203P.11</v>
          </cell>
        </row>
        <row r="193">
          <cell r="K193" t="str">
            <v>00021203P.12</v>
          </cell>
        </row>
        <row r="194">
          <cell r="K194" t="str">
            <v>00021204P.11</v>
          </cell>
        </row>
        <row r="195">
          <cell r="K195" t="str">
            <v>00021205P.11</v>
          </cell>
        </row>
        <row r="196">
          <cell r="K196" t="str">
            <v>00021238P.11</v>
          </cell>
        </row>
        <row r="197">
          <cell r="K197" t="str">
            <v>00021239P.11</v>
          </cell>
        </row>
        <row r="198">
          <cell r="K198" t="str">
            <v>00021240P.11</v>
          </cell>
        </row>
        <row r="199">
          <cell r="K199" t="str">
            <v>00021240P.11</v>
          </cell>
        </row>
        <row r="200">
          <cell r="K200" t="str">
            <v>00021240P.11</v>
          </cell>
        </row>
        <row r="201">
          <cell r="K201" t="str">
            <v>00021240P.11</v>
          </cell>
        </row>
        <row r="202">
          <cell r="K202" t="str">
            <v>00021258P.11</v>
          </cell>
        </row>
        <row r="203">
          <cell r="K203" t="str">
            <v>00021258P.11</v>
          </cell>
        </row>
        <row r="204">
          <cell r="K204" t="str">
            <v>00021202P.11</v>
          </cell>
        </row>
        <row r="205">
          <cell r="K205" t="str">
            <v>00021202P.11</v>
          </cell>
        </row>
        <row r="206">
          <cell r="K206" t="str">
            <v>00021202P.11</v>
          </cell>
        </row>
        <row r="207">
          <cell r="K207" t="str">
            <v>00021202P.12</v>
          </cell>
        </row>
        <row r="208">
          <cell r="K208" t="str">
            <v>00021202P.11</v>
          </cell>
        </row>
        <row r="209">
          <cell r="K209" t="str">
            <v>00021202P.11</v>
          </cell>
        </row>
        <row r="210">
          <cell r="K210" t="str">
            <v>00021202P.12</v>
          </cell>
        </row>
        <row r="211">
          <cell r="K211" t="str">
            <v>00021252P.11</v>
          </cell>
        </row>
        <row r="212">
          <cell r="K212" t="str">
            <v>00021236P.11</v>
          </cell>
        </row>
        <row r="213">
          <cell r="K213" t="str">
            <v>00021210P.11</v>
          </cell>
        </row>
        <row r="214">
          <cell r="K214" t="str">
            <v>00021210P.11</v>
          </cell>
        </row>
        <row r="215">
          <cell r="K215" t="str">
            <v>00021210P.11</v>
          </cell>
        </row>
        <row r="216">
          <cell r="K216" t="str">
            <v>00021218P.11</v>
          </cell>
        </row>
        <row r="217">
          <cell r="K217" t="str">
            <v>00021218P.11</v>
          </cell>
        </row>
        <row r="218">
          <cell r="K218" t="str">
            <v>00021218P.11</v>
          </cell>
        </row>
        <row r="219">
          <cell r="K219" t="str">
            <v>00021226P.11</v>
          </cell>
        </row>
        <row r="220">
          <cell r="K220" t="str">
            <v>00021226P.11</v>
          </cell>
        </row>
        <row r="221">
          <cell r="K221" t="str">
            <v>00021226P.11</v>
          </cell>
        </row>
        <row r="222">
          <cell r="K222" t="str">
            <v>00021226P.11</v>
          </cell>
        </row>
        <row r="223">
          <cell r="K223" t="str">
            <v>00021226P.11</v>
          </cell>
        </row>
        <row r="224">
          <cell r="K224" t="str">
            <v>00021234P.11</v>
          </cell>
        </row>
        <row r="225">
          <cell r="K225" t="str">
            <v>00021234P.11</v>
          </cell>
        </row>
        <row r="226">
          <cell r="K226" t="str">
            <v>00021234P.11</v>
          </cell>
        </row>
        <row r="227">
          <cell r="K227" t="str">
            <v>00021234P.11</v>
          </cell>
        </row>
        <row r="228">
          <cell r="K228" t="str">
            <v>00021234P.11</v>
          </cell>
        </row>
        <row r="229">
          <cell r="K229" t="str">
            <v>00021234P.11</v>
          </cell>
        </row>
        <row r="230">
          <cell r="K230" t="str">
            <v>00021245P.11</v>
          </cell>
        </row>
        <row r="231">
          <cell r="K231" t="str">
            <v>00021245P.11</v>
          </cell>
        </row>
        <row r="232">
          <cell r="K232" t="str">
            <v>00021245P.11</v>
          </cell>
        </row>
        <row r="233">
          <cell r="K233" t="str">
            <v>00021245P.11</v>
          </cell>
        </row>
        <row r="234">
          <cell r="K234" t="str">
            <v>00021257P.11</v>
          </cell>
        </row>
        <row r="235">
          <cell r="K235" t="str">
            <v>00021257P.11</v>
          </cell>
        </row>
        <row r="236">
          <cell r="K236" t="str">
            <v>00021257P.11</v>
          </cell>
        </row>
        <row r="237">
          <cell r="K237" t="str">
            <v>00021260P.11</v>
          </cell>
        </row>
        <row r="238">
          <cell r="K238" t="str">
            <v>00021260P.11</v>
          </cell>
        </row>
        <row r="239">
          <cell r="K239" t="str">
            <v>00021260P.11</v>
          </cell>
        </row>
        <row r="240">
          <cell r="K240" t="str">
            <v>00021259P.11</v>
          </cell>
        </row>
        <row r="241">
          <cell r="K241" t="str">
            <v>00021259P.11</v>
          </cell>
        </row>
        <row r="242">
          <cell r="K242" t="str">
            <v>00021259P.11</v>
          </cell>
        </row>
        <row r="243">
          <cell r="K243" t="str">
            <v>00021236P.11</v>
          </cell>
        </row>
        <row r="244">
          <cell r="K244" t="str">
            <v>00021226P.11</v>
          </cell>
        </row>
        <row r="245">
          <cell r="K245" t="str">
            <v>00021212P.11</v>
          </cell>
        </row>
        <row r="246">
          <cell r="K246" t="str">
            <v>00021232P.11</v>
          </cell>
        </row>
        <row r="247">
          <cell r="K247" t="str">
            <v>00021226P.11</v>
          </cell>
        </row>
        <row r="248">
          <cell r="K248" t="str">
            <v>00021232P.11</v>
          </cell>
        </row>
        <row r="249">
          <cell r="K249" t="str">
            <v>00021228P.11</v>
          </cell>
        </row>
        <row r="250">
          <cell r="K250" t="str">
            <v>00021218P.11</v>
          </cell>
        </row>
        <row r="251">
          <cell r="K251" t="str">
            <v>00021212P.11</v>
          </cell>
        </row>
        <row r="252">
          <cell r="K252" t="str">
            <v>00021224P.11</v>
          </cell>
        </row>
        <row r="253">
          <cell r="K253" t="str">
            <v>00021232P.11</v>
          </cell>
        </row>
        <row r="254">
          <cell r="K254" t="str">
            <v>00021232P.11</v>
          </cell>
        </row>
        <row r="255">
          <cell r="K255" t="str">
            <v>00021220P.11</v>
          </cell>
        </row>
        <row r="256">
          <cell r="K256" t="str">
            <v>00021232P.11</v>
          </cell>
        </row>
        <row r="257">
          <cell r="K257" t="str">
            <v>00021211P.11</v>
          </cell>
        </row>
        <row r="258">
          <cell r="K258" t="str">
            <v>00021216P.11</v>
          </cell>
        </row>
        <row r="259">
          <cell r="K259" t="str">
            <v>00021220P.11</v>
          </cell>
        </row>
        <row r="260">
          <cell r="K260" t="str">
            <v>00021236P.11</v>
          </cell>
        </row>
        <row r="261">
          <cell r="K261" t="str">
            <v>00021216P.11</v>
          </cell>
        </row>
        <row r="262">
          <cell r="K262" t="str">
            <v>00021226P.11</v>
          </cell>
        </row>
        <row r="263">
          <cell r="K263" t="str">
            <v>00021213P.11</v>
          </cell>
        </row>
        <row r="264">
          <cell r="K264" t="str">
            <v>00021232P.11</v>
          </cell>
        </row>
        <row r="265">
          <cell r="K265" t="str">
            <v>00021216P.11</v>
          </cell>
        </row>
        <row r="266">
          <cell r="K266" t="str">
            <v>00021223P.11</v>
          </cell>
        </row>
        <row r="267">
          <cell r="K267" t="str">
            <v>00021223P.11</v>
          </cell>
        </row>
        <row r="268">
          <cell r="K268" t="str">
            <v>00021232P.11</v>
          </cell>
        </row>
        <row r="269">
          <cell r="K269" t="str">
            <v>00021216P.11</v>
          </cell>
        </row>
        <row r="270">
          <cell r="K270" t="str">
            <v>00021226P.11</v>
          </cell>
        </row>
        <row r="271">
          <cell r="K271" t="str">
            <v>00021211P.11</v>
          </cell>
        </row>
        <row r="272">
          <cell r="K272" t="str">
            <v>00021216P.11</v>
          </cell>
        </row>
        <row r="273">
          <cell r="K273" t="str">
            <v>00021225P.11</v>
          </cell>
        </row>
        <row r="274">
          <cell r="K274" t="str">
            <v>00021226P.11</v>
          </cell>
        </row>
        <row r="275">
          <cell r="K275" t="str">
            <v>00021236P.11</v>
          </cell>
        </row>
        <row r="276">
          <cell r="K276" t="str">
            <v>00021210P.11</v>
          </cell>
        </row>
        <row r="277">
          <cell r="K277" t="str">
            <v>00021223P.11</v>
          </cell>
        </row>
        <row r="278">
          <cell r="K278" t="str">
            <v>00021210P.11</v>
          </cell>
        </row>
        <row r="279">
          <cell r="K279" t="str">
            <v>00021218P.11</v>
          </cell>
        </row>
        <row r="280">
          <cell r="K280" t="str">
            <v>00021222P.11</v>
          </cell>
        </row>
        <row r="281">
          <cell r="K281" t="str">
            <v>00021228P.11</v>
          </cell>
        </row>
        <row r="282">
          <cell r="K282" t="str">
            <v>00021228P.11</v>
          </cell>
        </row>
        <row r="283">
          <cell r="K283" t="str">
            <v>00021229P.11</v>
          </cell>
        </row>
        <row r="284">
          <cell r="K284" t="str">
            <v>00021229P.11</v>
          </cell>
        </row>
        <row r="285">
          <cell r="K285" t="str">
            <v>00021231P.11</v>
          </cell>
        </row>
        <row r="286">
          <cell r="K286" t="str">
            <v>00021231P.11</v>
          </cell>
        </row>
        <row r="287">
          <cell r="K287" t="str">
            <v>00021217P.11</v>
          </cell>
        </row>
        <row r="288">
          <cell r="K288" t="str">
            <v>00021221P.11</v>
          </cell>
        </row>
        <row r="289">
          <cell r="K289" t="str">
            <v>00021221P.11</v>
          </cell>
        </row>
        <row r="290">
          <cell r="K290" t="str">
            <v>00021225P.11</v>
          </cell>
        </row>
        <row r="291">
          <cell r="K291" t="str">
            <v>00021225P.11</v>
          </cell>
        </row>
        <row r="292">
          <cell r="K292" t="str">
            <v>00021225P.11</v>
          </cell>
        </row>
        <row r="293">
          <cell r="K293" t="str">
            <v>00021227P.11</v>
          </cell>
        </row>
        <row r="294">
          <cell r="K294" t="str">
            <v>00021229P.11</v>
          </cell>
        </row>
        <row r="295">
          <cell r="K295" t="str">
            <v>00021230P.11</v>
          </cell>
        </row>
        <row r="296">
          <cell r="K296" t="str">
            <v>00021234P.11</v>
          </cell>
        </row>
        <row r="297">
          <cell r="K297" t="str">
            <v>00021236P.11</v>
          </cell>
        </row>
        <row r="298">
          <cell r="K298" t="str">
            <v>00021236P.11</v>
          </cell>
        </row>
        <row r="299">
          <cell r="K299" t="str">
            <v>00021213P.11</v>
          </cell>
        </row>
        <row r="300">
          <cell r="K300" t="str">
            <v>00021213P.11</v>
          </cell>
        </row>
        <row r="301">
          <cell r="K301" t="str">
            <v>00021228P.11</v>
          </cell>
        </row>
        <row r="302">
          <cell r="K302" t="str">
            <v>00021231P.11</v>
          </cell>
        </row>
        <row r="303">
          <cell r="K303" t="str">
            <v>00021231P.11</v>
          </cell>
        </row>
        <row r="304">
          <cell r="K304" t="str">
            <v>00021234P.11</v>
          </cell>
        </row>
        <row r="305">
          <cell r="K305" t="str">
            <v>00021229P.11</v>
          </cell>
        </row>
        <row r="306">
          <cell r="K306" t="str">
            <v>00021230P.11</v>
          </cell>
        </row>
        <row r="307">
          <cell r="K307" t="str">
            <v>00021231P.11</v>
          </cell>
        </row>
        <row r="308">
          <cell r="K308" t="str">
            <v>00021233P.11</v>
          </cell>
        </row>
        <row r="309">
          <cell r="K309" t="str">
            <v>00021233P.11</v>
          </cell>
        </row>
        <row r="310">
          <cell r="K310" t="str">
            <v>00021234P.11</v>
          </cell>
        </row>
        <row r="311">
          <cell r="K311" t="str">
            <v>00021235P.11</v>
          </cell>
        </row>
        <row r="312">
          <cell r="K312" t="str">
            <v>00021236P.11</v>
          </cell>
        </row>
        <row r="313">
          <cell r="K313" t="str">
            <v>00021228P.11</v>
          </cell>
        </row>
        <row r="314">
          <cell r="K314" t="str">
            <v>00021221P.11</v>
          </cell>
        </row>
        <row r="315">
          <cell r="K315" t="str">
            <v>00021222P.11</v>
          </cell>
        </row>
        <row r="316">
          <cell r="K316" t="str">
            <v>00021226P.11</v>
          </cell>
        </row>
        <row r="317">
          <cell r="K317" t="str">
            <v>00021229P.11</v>
          </cell>
        </row>
        <row r="318">
          <cell r="K318" t="str">
            <v>00021230P.11</v>
          </cell>
        </row>
        <row r="319">
          <cell r="K319" t="str">
            <v>00021233P.11</v>
          </cell>
        </row>
        <row r="320">
          <cell r="K320" t="str">
            <v>00021235P.11</v>
          </cell>
        </row>
        <row r="321">
          <cell r="K321" t="str">
            <v>00021221P.11</v>
          </cell>
        </row>
        <row r="322">
          <cell r="K322" t="str">
            <v>00021228P.11</v>
          </cell>
        </row>
        <row r="323">
          <cell r="K323" t="str">
            <v>00021229P.11</v>
          </cell>
        </row>
        <row r="324">
          <cell r="K324" t="str">
            <v>00021231P.11</v>
          </cell>
        </row>
        <row r="325">
          <cell r="K325" t="str">
            <v>00021233P.11</v>
          </cell>
        </row>
        <row r="326">
          <cell r="K326" t="str">
            <v>00021213P.11</v>
          </cell>
        </row>
        <row r="327">
          <cell r="K327" t="str">
            <v>00021216P.11</v>
          </cell>
        </row>
        <row r="328">
          <cell r="K328" t="str">
            <v>00021217P.11</v>
          </cell>
        </row>
        <row r="329">
          <cell r="K329" t="str">
            <v>00021231P.11</v>
          </cell>
        </row>
        <row r="330">
          <cell r="K330" t="str">
            <v>00021233P.11</v>
          </cell>
        </row>
        <row r="331">
          <cell r="K331" t="str">
            <v>00021234P.11</v>
          </cell>
        </row>
        <row r="332">
          <cell r="K332" t="str">
            <v>00021229P.11</v>
          </cell>
        </row>
        <row r="333">
          <cell r="K333" t="str">
            <v>00021226P.11</v>
          </cell>
        </row>
        <row r="334">
          <cell r="K334" t="str">
            <v>00021226P.11</v>
          </cell>
        </row>
        <row r="335">
          <cell r="K335" t="str">
            <v>00021217P.11</v>
          </cell>
        </row>
        <row r="336">
          <cell r="K336" t="str">
            <v>00021228P.11</v>
          </cell>
        </row>
        <row r="337">
          <cell r="K337" t="str">
            <v>00021210P.11</v>
          </cell>
        </row>
        <row r="338">
          <cell r="K338" t="str">
            <v>00021213P.11</v>
          </cell>
        </row>
        <row r="339">
          <cell r="K339" t="str">
            <v>00021221P.11</v>
          </cell>
        </row>
        <row r="340">
          <cell r="K340" t="str">
            <v>00021231P.11</v>
          </cell>
        </row>
        <row r="341">
          <cell r="K341" t="str">
            <v>00021232P.11</v>
          </cell>
        </row>
        <row r="342">
          <cell r="K342" t="str">
            <v>00021234P.11</v>
          </cell>
        </row>
        <row r="343">
          <cell r="K343" t="str">
            <v>00021236P.11</v>
          </cell>
        </row>
        <row r="344">
          <cell r="K344" t="str">
            <v>00021228P.11</v>
          </cell>
        </row>
        <row r="345">
          <cell r="K345" t="str">
            <v>00021235P.11</v>
          </cell>
        </row>
        <row r="346">
          <cell r="K346" t="str">
            <v>00021229P.11</v>
          </cell>
        </row>
        <row r="347">
          <cell r="K347" t="str">
            <v>00021210P.11</v>
          </cell>
        </row>
        <row r="348">
          <cell r="K348" t="str">
            <v>00021210P.11</v>
          </cell>
        </row>
        <row r="349">
          <cell r="K349" t="str">
            <v>00021217P.11</v>
          </cell>
        </row>
        <row r="350">
          <cell r="K350" t="str">
            <v>00021217P.11</v>
          </cell>
        </row>
        <row r="351">
          <cell r="K351" t="str">
            <v>00021232P.11</v>
          </cell>
        </row>
        <row r="352">
          <cell r="K352" t="str">
            <v>00021210P.11</v>
          </cell>
        </row>
        <row r="353">
          <cell r="K353" t="str">
            <v>00021213P.11</v>
          </cell>
        </row>
        <row r="354">
          <cell r="K354" t="str">
            <v>00021229P.11</v>
          </cell>
        </row>
        <row r="355">
          <cell r="K355" t="str">
            <v>00021235P.11</v>
          </cell>
        </row>
        <row r="356">
          <cell r="K356" t="str">
            <v>00021233P.11</v>
          </cell>
        </row>
        <row r="357">
          <cell r="K357" t="str">
            <v>00021235P.11</v>
          </cell>
        </row>
        <row r="358">
          <cell r="K358" t="str">
            <v>00021229P.11</v>
          </cell>
        </row>
        <row r="359">
          <cell r="K359" t="str">
            <v>00021233P.11</v>
          </cell>
        </row>
        <row r="360">
          <cell r="K360" t="str">
            <v>00021236P.11</v>
          </cell>
        </row>
        <row r="361">
          <cell r="K361" t="str">
            <v>00021214P.11</v>
          </cell>
        </row>
        <row r="362">
          <cell r="K362" t="str">
            <v>00021231P.11</v>
          </cell>
        </row>
        <row r="363">
          <cell r="K363" t="str">
            <v>00021217P.11</v>
          </cell>
        </row>
        <row r="364">
          <cell r="K364" t="str">
            <v>00021228P.11</v>
          </cell>
        </row>
        <row r="365">
          <cell r="K365" t="str">
            <v>00021233P.11</v>
          </cell>
        </row>
        <row r="366">
          <cell r="K366" t="str">
            <v>00021232P.11</v>
          </cell>
        </row>
        <row r="367">
          <cell r="K367" t="str">
            <v>00021236P.11</v>
          </cell>
        </row>
        <row r="368">
          <cell r="K368" t="str">
            <v>00021216P.11</v>
          </cell>
        </row>
        <row r="369">
          <cell r="K369" t="str">
            <v>00021230P.11</v>
          </cell>
        </row>
        <row r="370">
          <cell r="K370" t="str">
            <v>00021235P.11</v>
          </cell>
        </row>
        <row r="371">
          <cell r="K371" t="str">
            <v>00021234P.11</v>
          </cell>
        </row>
        <row r="372">
          <cell r="K372" t="str">
            <v>00021232P.11</v>
          </cell>
        </row>
        <row r="373">
          <cell r="K373" t="str">
            <v>00021224P.11</v>
          </cell>
        </row>
        <row r="374">
          <cell r="K374" t="str">
            <v>00021225P.11</v>
          </cell>
        </row>
        <row r="375">
          <cell r="K375" t="str">
            <v>00021229P.11</v>
          </cell>
        </row>
        <row r="376">
          <cell r="K376" t="str">
            <v>00021231P.11</v>
          </cell>
        </row>
        <row r="377">
          <cell r="K377" t="str">
            <v>00021235P.11</v>
          </cell>
        </row>
        <row r="378">
          <cell r="K378" t="str">
            <v>00021210P.11</v>
          </cell>
        </row>
        <row r="379">
          <cell r="K379" t="str">
            <v>00021222P.11</v>
          </cell>
        </row>
        <row r="380">
          <cell r="K380" t="str">
            <v>00021222P.11</v>
          </cell>
        </row>
        <row r="381">
          <cell r="K381" t="str">
            <v>00021225P.11</v>
          </cell>
        </row>
        <row r="382">
          <cell r="K382" t="str">
            <v>00021234P.11</v>
          </cell>
        </row>
        <row r="383">
          <cell r="K383" t="str">
            <v>00021214P.11</v>
          </cell>
        </row>
        <row r="384">
          <cell r="K384" t="str">
            <v>00021233P.11</v>
          </cell>
        </row>
        <row r="385">
          <cell r="K385" t="str">
            <v>00021230P.11</v>
          </cell>
        </row>
        <row r="386">
          <cell r="K386" t="str">
            <v>00021222P.11</v>
          </cell>
        </row>
        <row r="387">
          <cell r="K387" t="str">
            <v>00021229P.11</v>
          </cell>
        </row>
        <row r="388">
          <cell r="K388" t="str">
            <v>00021225P.11</v>
          </cell>
        </row>
        <row r="389">
          <cell r="K389" t="str">
            <v>00021228P.11</v>
          </cell>
        </row>
        <row r="390">
          <cell r="K390" t="str">
            <v>00021236P.11</v>
          </cell>
        </row>
        <row r="391">
          <cell r="K391" t="str">
            <v>00021223P.11</v>
          </cell>
        </row>
        <row r="392">
          <cell r="K392" t="str">
            <v>00021213P.11</v>
          </cell>
        </row>
        <row r="393">
          <cell r="K393" t="str">
            <v>00021228P.11</v>
          </cell>
        </row>
        <row r="394">
          <cell r="K394" t="str">
            <v>00021214P.11</v>
          </cell>
        </row>
        <row r="395">
          <cell r="K395" t="str">
            <v>00021235P.11</v>
          </cell>
        </row>
        <row r="396">
          <cell r="K396" t="str">
            <v>00021218P.11</v>
          </cell>
        </row>
        <row r="397">
          <cell r="K397" t="str">
            <v>00021235P.11</v>
          </cell>
        </row>
        <row r="398">
          <cell r="K398" t="str">
            <v>00021212P.11</v>
          </cell>
        </row>
        <row r="399">
          <cell r="K399" t="str">
            <v>00021225P.11</v>
          </cell>
        </row>
        <row r="400">
          <cell r="K400" t="str">
            <v>00021229P.11</v>
          </cell>
        </row>
        <row r="401">
          <cell r="K401" t="str">
            <v>00021230P.11</v>
          </cell>
        </row>
        <row r="402">
          <cell r="K402" t="str">
            <v>00021231P.11</v>
          </cell>
        </row>
        <row r="403">
          <cell r="K403" t="str">
            <v>00021210P.11</v>
          </cell>
        </row>
        <row r="404">
          <cell r="K404" t="str">
            <v>00021236P.11</v>
          </cell>
        </row>
        <row r="405">
          <cell r="K405" t="str">
            <v>00021227P.11</v>
          </cell>
        </row>
        <row r="406">
          <cell r="K406" t="str">
            <v>00021229P.11</v>
          </cell>
        </row>
        <row r="407">
          <cell r="K407" t="str">
            <v>00021231P.11</v>
          </cell>
        </row>
        <row r="408">
          <cell r="K408" t="str">
            <v>00021232P.11</v>
          </cell>
        </row>
        <row r="409">
          <cell r="K409" t="str">
            <v>00021228P.11</v>
          </cell>
        </row>
        <row r="410">
          <cell r="K410" t="str">
            <v>00021232P.11</v>
          </cell>
        </row>
        <row r="411">
          <cell r="K411" t="str">
            <v>00021232P.11</v>
          </cell>
        </row>
        <row r="412">
          <cell r="K412" t="str">
            <v>00021231P.11</v>
          </cell>
        </row>
        <row r="413">
          <cell r="K413" t="str">
            <v>00021234P.11</v>
          </cell>
        </row>
        <row r="414">
          <cell r="K414" t="str">
            <v>00021210P.11</v>
          </cell>
        </row>
        <row r="415">
          <cell r="K415" t="str">
            <v>00021226P.11</v>
          </cell>
        </row>
        <row r="416">
          <cell r="K416" t="str">
            <v>00021231P.11</v>
          </cell>
        </row>
        <row r="417">
          <cell r="K417" t="str">
            <v>00021233P.11</v>
          </cell>
        </row>
        <row r="418">
          <cell r="K418" t="str">
            <v>00021217P.11</v>
          </cell>
        </row>
        <row r="419">
          <cell r="K419" t="str">
            <v>00021210P.11</v>
          </cell>
        </row>
        <row r="420">
          <cell r="K420" t="str">
            <v>00021210P.11</v>
          </cell>
        </row>
        <row r="421">
          <cell r="K421" t="str">
            <v>00021212P.11</v>
          </cell>
        </row>
        <row r="422">
          <cell r="K422" t="str">
            <v>00021236P.11</v>
          </cell>
        </row>
        <row r="423">
          <cell r="K423" t="str">
            <v>00021231P.11</v>
          </cell>
        </row>
        <row r="424">
          <cell r="K424" t="str">
            <v>00021231P.11</v>
          </cell>
        </row>
        <row r="425">
          <cell r="K425" t="str">
            <v>00021212P.11</v>
          </cell>
        </row>
        <row r="426">
          <cell r="K426" t="str">
            <v>00021228P.11</v>
          </cell>
        </row>
        <row r="427">
          <cell r="K427" t="str">
            <v>00021223P.11</v>
          </cell>
        </row>
        <row r="428">
          <cell r="K428" t="str">
            <v>00021235P.11</v>
          </cell>
        </row>
        <row r="429">
          <cell r="K429" t="str">
            <v>00021221P.11</v>
          </cell>
        </row>
        <row r="430">
          <cell r="K430" t="str">
            <v>00021228P.11</v>
          </cell>
        </row>
        <row r="431">
          <cell r="K431" t="str">
            <v>00021226P.11</v>
          </cell>
        </row>
        <row r="432">
          <cell r="K432" t="str">
            <v>00021235P.11</v>
          </cell>
        </row>
        <row r="433">
          <cell r="K433" t="str">
            <v>00021213P.11</v>
          </cell>
        </row>
        <row r="434">
          <cell r="K434" t="str">
            <v>00021217P.11</v>
          </cell>
        </row>
        <row r="435">
          <cell r="K435" t="str">
            <v>00021235P.11</v>
          </cell>
        </row>
        <row r="436">
          <cell r="K436" t="str">
            <v>00021229P.11</v>
          </cell>
        </row>
        <row r="437">
          <cell r="K437" t="str">
            <v>00021213P.11</v>
          </cell>
        </row>
        <row r="438">
          <cell r="K438" t="str">
            <v>00021212P.11</v>
          </cell>
        </row>
        <row r="439">
          <cell r="K439" t="str">
            <v>00021232P.11</v>
          </cell>
        </row>
        <row r="440">
          <cell r="K440" t="str">
            <v>00021217P.11</v>
          </cell>
        </row>
        <row r="441">
          <cell r="K441" t="str">
            <v>00021232P.11</v>
          </cell>
        </row>
        <row r="442">
          <cell r="K442" t="str">
            <v>00021226P.11</v>
          </cell>
        </row>
        <row r="443">
          <cell r="K443" t="str">
            <v>00021235P.11</v>
          </cell>
        </row>
        <row r="444">
          <cell r="K444" t="str">
            <v>00021234P.11</v>
          </cell>
        </row>
        <row r="445">
          <cell r="K445" t="str">
            <v>00021232P.11</v>
          </cell>
        </row>
        <row r="446">
          <cell r="K446" t="str">
            <v>00021234P.11</v>
          </cell>
        </row>
        <row r="447">
          <cell r="K447" t="str">
            <v>00021228P.11</v>
          </cell>
        </row>
        <row r="448">
          <cell r="K448" t="str">
            <v>00021227P.11</v>
          </cell>
        </row>
        <row r="449">
          <cell r="K449" t="str">
            <v>00021234P.11</v>
          </cell>
        </row>
        <row r="450">
          <cell r="K450" t="str">
            <v>00021229P.11</v>
          </cell>
        </row>
        <row r="451">
          <cell r="K451" t="str">
            <v>00021229P.11</v>
          </cell>
        </row>
        <row r="452">
          <cell r="K452" t="str">
            <v>00021213P.11</v>
          </cell>
        </row>
        <row r="453">
          <cell r="K453" t="str">
            <v>00021234P.11</v>
          </cell>
        </row>
        <row r="454">
          <cell r="K454" t="str">
            <v>00021228P.11</v>
          </cell>
        </row>
        <row r="455">
          <cell r="K455" t="str">
            <v>00021222P.11</v>
          </cell>
        </row>
        <row r="456">
          <cell r="K456" t="str">
            <v>00021228P.11</v>
          </cell>
        </row>
        <row r="457">
          <cell r="K457" t="str">
            <v>00021232P.11</v>
          </cell>
        </row>
        <row r="458">
          <cell r="K458" t="str">
            <v>00021226P.11</v>
          </cell>
        </row>
        <row r="459">
          <cell r="K459" t="str">
            <v>00021236P.11</v>
          </cell>
        </row>
        <row r="460">
          <cell r="K460" t="str">
            <v>00021210P.11</v>
          </cell>
        </row>
        <row r="461">
          <cell r="K461" t="str">
            <v>00021221P.11</v>
          </cell>
        </row>
        <row r="462">
          <cell r="K462" t="str">
            <v>00021236P.11</v>
          </cell>
        </row>
        <row r="463">
          <cell r="K463" t="str">
            <v>00021235P.11</v>
          </cell>
        </row>
        <row r="464">
          <cell r="K464" t="str">
            <v>00021227P.11</v>
          </cell>
        </row>
        <row r="465">
          <cell r="K465" t="str">
            <v>00021213P.11</v>
          </cell>
        </row>
        <row r="466">
          <cell r="K466" t="str">
            <v>00021215P.11</v>
          </cell>
        </row>
        <row r="467">
          <cell r="K467" t="str">
            <v>00021226P.11</v>
          </cell>
        </row>
        <row r="468">
          <cell r="K468" t="str">
            <v>00021233P.11</v>
          </cell>
        </row>
        <row r="469">
          <cell r="K469" t="str">
            <v>00021223P.11</v>
          </cell>
        </row>
        <row r="470">
          <cell r="K470" t="str">
            <v>00021228P.11</v>
          </cell>
        </row>
        <row r="471">
          <cell r="K471" t="str">
            <v>00021222P.11</v>
          </cell>
        </row>
        <row r="472">
          <cell r="K472" t="str">
            <v>00021234P.11</v>
          </cell>
        </row>
        <row r="473">
          <cell r="K473" t="str">
            <v>00021211P.11</v>
          </cell>
        </row>
        <row r="474">
          <cell r="K474" t="str">
            <v>00021220P.11</v>
          </cell>
        </row>
        <row r="475">
          <cell r="K475" t="str">
            <v>00021232P.11</v>
          </cell>
        </row>
        <row r="476">
          <cell r="K476" t="str">
            <v>00021233P.11</v>
          </cell>
        </row>
        <row r="477">
          <cell r="K477" t="str">
            <v>00021231P.11</v>
          </cell>
        </row>
        <row r="478">
          <cell r="K478" t="str">
            <v>00021221P.11</v>
          </cell>
        </row>
        <row r="479">
          <cell r="K479" t="str">
            <v>00021232P.11</v>
          </cell>
        </row>
        <row r="480">
          <cell r="K480" t="str">
            <v>00021222P.11</v>
          </cell>
        </row>
        <row r="481">
          <cell r="K481" t="str">
            <v>00021231P.11</v>
          </cell>
        </row>
        <row r="482">
          <cell r="K482" t="str">
            <v>00021229P.11</v>
          </cell>
        </row>
        <row r="483">
          <cell r="K483" t="str">
            <v>00021222P.11</v>
          </cell>
        </row>
        <row r="484">
          <cell r="K484" t="str">
            <v>00021222P.11</v>
          </cell>
        </row>
        <row r="485">
          <cell r="K485" t="str">
            <v>00021217P.11</v>
          </cell>
        </row>
        <row r="486">
          <cell r="K486" t="str">
            <v>00021232P.11</v>
          </cell>
        </row>
        <row r="487">
          <cell r="K487" t="str">
            <v>00021229P.11</v>
          </cell>
        </row>
        <row r="488">
          <cell r="K488" t="str">
            <v>00021216P.11</v>
          </cell>
        </row>
        <row r="489">
          <cell r="K489" t="str">
            <v>00021222P.11</v>
          </cell>
        </row>
        <row r="490">
          <cell r="K490" t="str">
            <v>00021214P.11</v>
          </cell>
        </row>
        <row r="491">
          <cell r="K491" t="str">
            <v>00021231P.11</v>
          </cell>
        </row>
        <row r="492">
          <cell r="K492" t="str">
            <v>00021223P.11</v>
          </cell>
        </row>
        <row r="493">
          <cell r="K493" t="str">
            <v>00021229P.11</v>
          </cell>
        </row>
        <row r="494">
          <cell r="K494" t="str">
            <v>00021215P.11</v>
          </cell>
        </row>
        <row r="495">
          <cell r="K495" t="str">
            <v>00021213P.11</v>
          </cell>
        </row>
        <row r="496">
          <cell r="K496" t="str">
            <v>00021230P.11</v>
          </cell>
        </row>
        <row r="497">
          <cell r="K497" t="str">
            <v>00021228P.11</v>
          </cell>
        </row>
        <row r="498">
          <cell r="K498" t="str">
            <v>00021213P.11</v>
          </cell>
        </row>
        <row r="499">
          <cell r="K499" t="str">
            <v>00021217P.11</v>
          </cell>
        </row>
        <row r="500">
          <cell r="K500" t="str">
            <v>00021233P.11</v>
          </cell>
        </row>
        <row r="501">
          <cell r="K501" t="str">
            <v>00021212P.11</v>
          </cell>
        </row>
        <row r="502">
          <cell r="K502" t="str">
            <v>00021232P.11</v>
          </cell>
        </row>
        <row r="503">
          <cell r="K503" t="str">
            <v>00021210P.11</v>
          </cell>
        </row>
        <row r="504">
          <cell r="K504" t="str">
            <v>00021218P.11</v>
          </cell>
        </row>
        <row r="505">
          <cell r="K505" t="str">
            <v>00021222P.11</v>
          </cell>
        </row>
        <row r="506">
          <cell r="K506" t="str">
            <v>00021225P.11</v>
          </cell>
        </row>
        <row r="507">
          <cell r="K507" t="str">
            <v>00021220P.11</v>
          </cell>
        </row>
        <row r="508">
          <cell r="K508" t="str">
            <v>00021233P.11</v>
          </cell>
        </row>
        <row r="509">
          <cell r="K509" t="str">
            <v>00021213P.11</v>
          </cell>
        </row>
        <row r="510">
          <cell r="K510" t="str">
            <v>00021217P.11</v>
          </cell>
        </row>
        <row r="511">
          <cell r="K511" t="str">
            <v>00021210P.11</v>
          </cell>
        </row>
        <row r="512">
          <cell r="K512" t="str">
            <v>00021228P.11</v>
          </cell>
        </row>
        <row r="513">
          <cell r="K513" t="str">
            <v>00021232P.11</v>
          </cell>
        </row>
        <row r="514">
          <cell r="K514" t="str">
            <v>00021228P.11</v>
          </cell>
        </row>
        <row r="515">
          <cell r="K515" t="str">
            <v>00021212P.11</v>
          </cell>
        </row>
        <row r="516">
          <cell r="K516" t="str">
            <v>00021218P.11</v>
          </cell>
        </row>
        <row r="517">
          <cell r="K517" t="str">
            <v>00021234P.11</v>
          </cell>
        </row>
        <row r="518">
          <cell r="K518" t="str">
            <v>00021210P.11</v>
          </cell>
        </row>
        <row r="519">
          <cell r="K519" t="str">
            <v>00021234P.11</v>
          </cell>
        </row>
        <row r="520">
          <cell r="K520" t="str">
            <v>00021229P.11</v>
          </cell>
        </row>
        <row r="521">
          <cell r="K521" t="str">
            <v>00021231P.11</v>
          </cell>
        </row>
        <row r="522">
          <cell r="K522" t="str">
            <v>00021213P.11</v>
          </cell>
        </row>
        <row r="523">
          <cell r="K523" t="str">
            <v>00021230P.11</v>
          </cell>
        </row>
        <row r="524">
          <cell r="K524" t="str">
            <v>00021236P.11</v>
          </cell>
        </row>
        <row r="525">
          <cell r="K525" t="str">
            <v>00021210P.11</v>
          </cell>
        </row>
        <row r="526">
          <cell r="K526" t="str">
            <v>00021212P.11</v>
          </cell>
        </row>
        <row r="527">
          <cell r="K527" t="str">
            <v>00021210P.11</v>
          </cell>
        </row>
        <row r="528">
          <cell r="K528" t="str">
            <v>00021226P.11</v>
          </cell>
        </row>
        <row r="529">
          <cell r="K529" t="str">
            <v>00021236P.11</v>
          </cell>
        </row>
        <row r="530">
          <cell r="K530" t="str">
            <v>00021232P.11</v>
          </cell>
        </row>
        <row r="531">
          <cell r="K531" t="str">
            <v>00021220P.11</v>
          </cell>
        </row>
        <row r="532">
          <cell r="K532" t="str">
            <v>00021212P.11</v>
          </cell>
        </row>
        <row r="533">
          <cell r="K533" t="str">
            <v>00021232P.11</v>
          </cell>
        </row>
        <row r="534">
          <cell r="K534" t="str">
            <v>00021236P.11</v>
          </cell>
        </row>
        <row r="535">
          <cell r="K535" t="str">
            <v>00021235P.11</v>
          </cell>
        </row>
        <row r="536">
          <cell r="K536" t="str">
            <v>00021235P.11</v>
          </cell>
        </row>
        <row r="537">
          <cell r="K537" t="str">
            <v>00021229P.11</v>
          </cell>
        </row>
        <row r="538">
          <cell r="K538" t="str">
            <v>00021221P.11</v>
          </cell>
        </row>
        <row r="539">
          <cell r="K539" t="str">
            <v>00021228P.11</v>
          </cell>
        </row>
        <row r="540">
          <cell r="K540" t="str">
            <v>00021229P.11</v>
          </cell>
        </row>
        <row r="541">
          <cell r="K541" t="str">
            <v>00021217P.11</v>
          </cell>
        </row>
        <row r="542">
          <cell r="K542" t="str">
            <v>00021233P.11</v>
          </cell>
        </row>
        <row r="543">
          <cell r="K543" t="str">
            <v>00021229P.11</v>
          </cell>
        </row>
        <row r="544">
          <cell r="K544" t="str">
            <v>00021217P.11</v>
          </cell>
        </row>
        <row r="545">
          <cell r="K545" t="str">
            <v>00021223P.11</v>
          </cell>
        </row>
        <row r="546">
          <cell r="K546" t="str">
            <v>00021236P.11</v>
          </cell>
        </row>
        <row r="547">
          <cell r="K547" t="str">
            <v>00021234P.11</v>
          </cell>
        </row>
        <row r="548">
          <cell r="K548" t="str">
            <v>00021232P.11</v>
          </cell>
        </row>
        <row r="549">
          <cell r="K549" t="str">
            <v>00021232P.11</v>
          </cell>
        </row>
        <row r="550">
          <cell r="K550" t="str">
            <v>00021236P.11</v>
          </cell>
        </row>
        <row r="551">
          <cell r="K551" t="str">
            <v>00021213P.11</v>
          </cell>
        </row>
        <row r="552">
          <cell r="K552" t="str">
            <v>00021213P.11</v>
          </cell>
        </row>
        <row r="553">
          <cell r="K553" t="str">
            <v>00021232P.11</v>
          </cell>
        </row>
        <row r="554">
          <cell r="K554" t="str">
            <v>00021221P.11</v>
          </cell>
        </row>
        <row r="555">
          <cell r="K555" t="str">
            <v>00021235P.11</v>
          </cell>
        </row>
        <row r="556">
          <cell r="K556" t="str">
            <v>00021222P.11</v>
          </cell>
        </row>
        <row r="557">
          <cell r="K557" t="str">
            <v>00021211P.11</v>
          </cell>
        </row>
        <row r="558">
          <cell r="K558" t="str">
            <v>00021235P.11</v>
          </cell>
        </row>
        <row r="559">
          <cell r="K559" t="str">
            <v>00021236P.11</v>
          </cell>
        </row>
        <row r="560">
          <cell r="K560" t="str">
            <v>00021233P.11</v>
          </cell>
        </row>
        <row r="561">
          <cell r="K561" t="str">
            <v>00021232P.11</v>
          </cell>
        </row>
        <row r="562">
          <cell r="K562" t="str">
            <v>00021224P.11</v>
          </cell>
        </row>
        <row r="563">
          <cell r="K563" t="str">
            <v>00021228P.11</v>
          </cell>
        </row>
        <row r="564">
          <cell r="K564" t="str">
            <v>00021228P.11</v>
          </cell>
        </row>
        <row r="565">
          <cell r="K565" t="str">
            <v>00021234P.11</v>
          </cell>
        </row>
        <row r="566">
          <cell r="K566" t="str">
            <v>00021210P.11</v>
          </cell>
        </row>
        <row r="567">
          <cell r="K567" t="str">
            <v>00021233P.11</v>
          </cell>
        </row>
        <row r="568">
          <cell r="K568" t="str">
            <v>00021226P.11</v>
          </cell>
        </row>
        <row r="569">
          <cell r="K569" t="str">
            <v>00021214P.11</v>
          </cell>
        </row>
        <row r="570">
          <cell r="K570" t="str">
            <v>00021221P.11</v>
          </cell>
        </row>
        <row r="571">
          <cell r="K571" t="str">
            <v>00021232P.11</v>
          </cell>
        </row>
        <row r="572">
          <cell r="K572" t="str">
            <v>00021210P.11</v>
          </cell>
        </row>
        <row r="573">
          <cell r="K573" t="str">
            <v>00021221P.11</v>
          </cell>
        </row>
        <row r="574">
          <cell r="K574" t="str">
            <v>00021225P.11</v>
          </cell>
        </row>
        <row r="575">
          <cell r="K575" t="str">
            <v>00021228P.11</v>
          </cell>
        </row>
        <row r="576">
          <cell r="K576" t="str">
            <v>00021225P.11</v>
          </cell>
        </row>
        <row r="577">
          <cell r="K577" t="str">
            <v>00021216P.11</v>
          </cell>
        </row>
        <row r="578">
          <cell r="K578" t="str">
            <v>00021229P.11</v>
          </cell>
        </row>
        <row r="579">
          <cell r="K579" t="str">
            <v>00021228P.11</v>
          </cell>
        </row>
        <row r="580">
          <cell r="K580" t="str">
            <v>00021232P.11</v>
          </cell>
        </row>
        <row r="581">
          <cell r="K581" t="str">
            <v>00021225P.11</v>
          </cell>
        </row>
        <row r="582">
          <cell r="K582" t="str">
            <v>00021235P.11</v>
          </cell>
        </row>
        <row r="583">
          <cell r="K583" t="str">
            <v>00021222P.11</v>
          </cell>
        </row>
        <row r="584">
          <cell r="K584" t="str">
            <v>00021211P.11</v>
          </cell>
        </row>
        <row r="585">
          <cell r="K585" t="str">
            <v>00021232P.11</v>
          </cell>
        </row>
        <row r="586">
          <cell r="K586" t="str">
            <v>00021233P.11</v>
          </cell>
        </row>
        <row r="587">
          <cell r="K587" t="str">
            <v>00021226P.11</v>
          </cell>
        </row>
        <row r="588">
          <cell r="K588" t="str">
            <v>00021217P.11</v>
          </cell>
        </row>
        <row r="589">
          <cell r="K589" t="str">
            <v>00021233P.11</v>
          </cell>
        </row>
        <row r="590">
          <cell r="K590" t="str">
            <v>00021213P.11</v>
          </cell>
        </row>
        <row r="591">
          <cell r="K591" t="str">
            <v>00021231P.11</v>
          </cell>
        </row>
        <row r="592">
          <cell r="K592" t="str">
            <v>00021210P.11</v>
          </cell>
        </row>
        <row r="593">
          <cell r="K593" t="str">
            <v>00021229P.11</v>
          </cell>
        </row>
        <row r="594">
          <cell r="K594" t="str">
            <v>00021211P.11</v>
          </cell>
        </row>
        <row r="595">
          <cell r="K595" t="str">
            <v>00021236P.11</v>
          </cell>
        </row>
        <row r="596">
          <cell r="K596" t="str">
            <v>00021228P.11</v>
          </cell>
        </row>
        <row r="597">
          <cell r="K597" t="str">
            <v>00021223P.11</v>
          </cell>
        </row>
        <row r="598">
          <cell r="K598" t="str">
            <v>00021221P.11</v>
          </cell>
        </row>
        <row r="599">
          <cell r="K599" t="str">
            <v>00021231P.11</v>
          </cell>
        </row>
        <row r="600">
          <cell r="K600" t="str">
            <v>00021226P.11</v>
          </cell>
        </row>
        <row r="601">
          <cell r="K601" t="str">
            <v>00021229P.11</v>
          </cell>
        </row>
        <row r="602">
          <cell r="K602" t="str">
            <v>00021228P.11</v>
          </cell>
        </row>
        <row r="603">
          <cell r="K603" t="str">
            <v>00021234P.11</v>
          </cell>
        </row>
        <row r="604">
          <cell r="K604" t="str">
            <v>00021230P.11</v>
          </cell>
        </row>
        <row r="605">
          <cell r="K605" t="str">
            <v>00021218P.11</v>
          </cell>
        </row>
        <row r="606">
          <cell r="K606" t="str">
            <v>00021214P.11</v>
          </cell>
        </row>
        <row r="607">
          <cell r="K607" t="str">
            <v>00021227P.11</v>
          </cell>
        </row>
        <row r="608">
          <cell r="K608" t="str">
            <v>00021228P.11</v>
          </cell>
        </row>
        <row r="609">
          <cell r="K609" t="str">
            <v>00021232P.11</v>
          </cell>
        </row>
        <row r="610">
          <cell r="K610" t="str">
            <v>00021228P.11</v>
          </cell>
        </row>
        <row r="611">
          <cell r="K611" t="str">
            <v>00021222P.11</v>
          </cell>
        </row>
        <row r="612">
          <cell r="K612" t="str">
            <v>00021230P.11</v>
          </cell>
        </row>
        <row r="613">
          <cell r="K613" t="str">
            <v>00021231P.11</v>
          </cell>
        </row>
        <row r="614">
          <cell r="K614" t="str">
            <v>00021210P.11</v>
          </cell>
        </row>
        <row r="615">
          <cell r="K615" t="str">
            <v>00021229P.11</v>
          </cell>
        </row>
        <row r="616">
          <cell r="K616" t="str">
            <v>00021227P.11</v>
          </cell>
        </row>
        <row r="617">
          <cell r="K617" t="str">
            <v>00021251P.11</v>
          </cell>
        </row>
        <row r="618">
          <cell r="K618" t="str">
            <v>00021208P.11</v>
          </cell>
        </row>
        <row r="619">
          <cell r="K619" t="str">
            <v>00021210P.11</v>
          </cell>
        </row>
        <row r="620">
          <cell r="K620" t="str">
            <v>00021210P.11</v>
          </cell>
        </row>
        <row r="621">
          <cell r="K621" t="str">
            <v>00021210P.11</v>
          </cell>
        </row>
        <row r="622">
          <cell r="K622" t="str">
            <v>00021210P.11</v>
          </cell>
        </row>
        <row r="623">
          <cell r="K623" t="str">
            <v>00021210P.11</v>
          </cell>
        </row>
        <row r="624">
          <cell r="K624" t="str">
            <v>00021212P.11</v>
          </cell>
        </row>
        <row r="625">
          <cell r="K625" t="str">
            <v>00021212P.11</v>
          </cell>
        </row>
        <row r="626">
          <cell r="K626" t="str">
            <v>00021212P.11</v>
          </cell>
        </row>
        <row r="627">
          <cell r="K627" t="str">
            <v>00021212P.11</v>
          </cell>
        </row>
        <row r="628">
          <cell r="K628" t="str">
            <v>00021212P.11</v>
          </cell>
        </row>
        <row r="629">
          <cell r="K629" t="str">
            <v>00021213P.11</v>
          </cell>
        </row>
        <row r="630">
          <cell r="K630" t="str">
            <v>00021213P.11</v>
          </cell>
        </row>
        <row r="631">
          <cell r="K631" t="str">
            <v>00021213P.11</v>
          </cell>
        </row>
        <row r="632">
          <cell r="K632" t="str">
            <v>00021213P.11</v>
          </cell>
        </row>
        <row r="633">
          <cell r="K633" t="str">
            <v>00021213P.11</v>
          </cell>
        </row>
        <row r="634">
          <cell r="K634" t="str">
            <v>00021214P.11</v>
          </cell>
        </row>
        <row r="635">
          <cell r="K635" t="str">
            <v>00021214P.11</v>
          </cell>
        </row>
        <row r="636">
          <cell r="K636" t="str">
            <v>00021222P.11</v>
          </cell>
        </row>
        <row r="637">
          <cell r="K637" t="str">
            <v>00021222P.11</v>
          </cell>
        </row>
        <row r="638">
          <cell r="K638" t="str">
            <v>00021222P.11</v>
          </cell>
        </row>
        <row r="639">
          <cell r="K639" t="str">
            <v>00021222P.11</v>
          </cell>
        </row>
        <row r="640">
          <cell r="K640" t="str">
            <v>00021223P.11</v>
          </cell>
        </row>
        <row r="641">
          <cell r="K641" t="str">
            <v>00021224P.11</v>
          </cell>
        </row>
        <row r="642">
          <cell r="K642" t="str">
            <v>00021226P.11</v>
          </cell>
        </row>
        <row r="643">
          <cell r="K643" t="str">
            <v>00021228P.11</v>
          </cell>
        </row>
        <row r="644">
          <cell r="K644" t="str">
            <v>00021228P.11</v>
          </cell>
        </row>
        <row r="645">
          <cell r="K645" t="str">
            <v>00021228P.11</v>
          </cell>
        </row>
        <row r="646">
          <cell r="K646" t="str">
            <v>00021228P.11</v>
          </cell>
        </row>
        <row r="647">
          <cell r="K647" t="str">
            <v>00021233P.11</v>
          </cell>
        </row>
        <row r="648">
          <cell r="K648" t="str">
            <v>00021233P.11</v>
          </cell>
        </row>
        <row r="649">
          <cell r="K649" t="str">
            <v>00021243P.11</v>
          </cell>
        </row>
        <row r="650">
          <cell r="K650" t="str">
            <v>00021221P.11</v>
          </cell>
        </row>
        <row r="651">
          <cell r="K651" t="str">
            <v>00021211P.11</v>
          </cell>
        </row>
        <row r="652">
          <cell r="K652" t="str">
            <v>00021215P.11</v>
          </cell>
        </row>
        <row r="653">
          <cell r="K653" t="str">
            <v>00021215P.11</v>
          </cell>
        </row>
        <row r="654">
          <cell r="K654" t="str">
            <v>00021215P.11</v>
          </cell>
        </row>
        <row r="655">
          <cell r="K655" t="str">
            <v>00021216P.11</v>
          </cell>
        </row>
        <row r="656">
          <cell r="K656" t="str">
            <v>00021216P.11</v>
          </cell>
        </row>
        <row r="657">
          <cell r="K657" t="str">
            <v>00021216P.11</v>
          </cell>
        </row>
        <row r="658">
          <cell r="K658" t="str">
            <v>00021217P.11</v>
          </cell>
        </row>
        <row r="659">
          <cell r="K659" t="str">
            <v>00021217P.11</v>
          </cell>
        </row>
        <row r="660">
          <cell r="K660" t="str">
            <v>00021217P.11</v>
          </cell>
        </row>
        <row r="661">
          <cell r="K661" t="str">
            <v>00021217P.11</v>
          </cell>
        </row>
        <row r="662">
          <cell r="K662" t="str">
            <v>00021219P.11</v>
          </cell>
        </row>
        <row r="663">
          <cell r="K663" t="str">
            <v>00021220P.11</v>
          </cell>
        </row>
        <row r="664">
          <cell r="K664" t="str">
            <v>00021220P.11</v>
          </cell>
        </row>
        <row r="665">
          <cell r="K665" t="str">
            <v>00021220P.11</v>
          </cell>
        </row>
        <row r="666">
          <cell r="K666" t="str">
            <v>00021220P.11</v>
          </cell>
        </row>
        <row r="667">
          <cell r="K667" t="str">
            <v>00021222P.11</v>
          </cell>
        </row>
        <row r="668">
          <cell r="K668" t="str">
            <v>00021222P.11</v>
          </cell>
        </row>
        <row r="669">
          <cell r="K669" t="str">
            <v>00021226P.11</v>
          </cell>
        </row>
        <row r="670">
          <cell r="K670" t="str">
            <v>00021228P.11</v>
          </cell>
        </row>
        <row r="671">
          <cell r="K671" t="str">
            <v>00021228P.11</v>
          </cell>
        </row>
        <row r="672">
          <cell r="K672" t="str">
            <v>00021228P.11</v>
          </cell>
        </row>
        <row r="673">
          <cell r="K673" t="str">
            <v>00021228P.11</v>
          </cell>
        </row>
        <row r="674">
          <cell r="K674" t="str">
            <v>00021228P.11</v>
          </cell>
        </row>
        <row r="675">
          <cell r="K675" t="str">
            <v>00021228P.11</v>
          </cell>
        </row>
        <row r="676">
          <cell r="K676" t="str">
            <v>00021229P.11</v>
          </cell>
        </row>
        <row r="677">
          <cell r="K677" t="str">
            <v>00021229P.11</v>
          </cell>
        </row>
        <row r="678">
          <cell r="K678" t="str">
            <v>00021229P.11</v>
          </cell>
        </row>
        <row r="679">
          <cell r="K679" t="str">
            <v>00021229P.11</v>
          </cell>
        </row>
        <row r="680">
          <cell r="K680" t="str">
            <v>00021229P.11</v>
          </cell>
        </row>
        <row r="681">
          <cell r="K681" t="str">
            <v>00021230P.11</v>
          </cell>
        </row>
        <row r="682">
          <cell r="K682" t="str">
            <v>00021230P.11</v>
          </cell>
        </row>
        <row r="683">
          <cell r="K683" t="str">
            <v>00021230P.11</v>
          </cell>
        </row>
        <row r="684">
          <cell r="K684" t="str">
            <v>00021231P.11</v>
          </cell>
        </row>
        <row r="685">
          <cell r="K685" t="str">
            <v>00021231P.11</v>
          </cell>
        </row>
        <row r="686">
          <cell r="K686" t="str">
            <v>00021231P.11</v>
          </cell>
        </row>
        <row r="687">
          <cell r="K687" t="str">
            <v>00021231P.11</v>
          </cell>
        </row>
        <row r="688">
          <cell r="K688" t="str">
            <v>00021231P.11</v>
          </cell>
        </row>
        <row r="689">
          <cell r="K689" t="str">
            <v>00021231P.11</v>
          </cell>
        </row>
        <row r="690">
          <cell r="K690" t="str">
            <v>00021231P.11</v>
          </cell>
        </row>
        <row r="691">
          <cell r="K691" t="str">
            <v>00021231P.11</v>
          </cell>
        </row>
        <row r="692">
          <cell r="K692" t="str">
            <v>00021235P.11</v>
          </cell>
        </row>
        <row r="693">
          <cell r="K693" t="str">
            <v>00021235P.11</v>
          </cell>
        </row>
        <row r="694">
          <cell r="K694" t="str">
            <v>00021243P.11</v>
          </cell>
        </row>
        <row r="695">
          <cell r="K695" t="str">
            <v>00021210P.11</v>
          </cell>
        </row>
        <row r="696">
          <cell r="K696" t="str">
            <v>00021210P.11</v>
          </cell>
        </row>
        <row r="697">
          <cell r="K697" t="str">
            <v>00021210P.11</v>
          </cell>
        </row>
        <row r="698">
          <cell r="K698" t="str">
            <v>00021210P.11</v>
          </cell>
        </row>
        <row r="699">
          <cell r="K699" t="str">
            <v>00021212P.11</v>
          </cell>
        </row>
        <row r="700">
          <cell r="K700" t="str">
            <v>00021212P.11</v>
          </cell>
        </row>
        <row r="701">
          <cell r="K701" t="str">
            <v>00021213P.11</v>
          </cell>
        </row>
        <row r="702">
          <cell r="K702" t="str">
            <v>00021213P.11</v>
          </cell>
        </row>
        <row r="703">
          <cell r="K703" t="str">
            <v>00021213P.11</v>
          </cell>
        </row>
        <row r="704">
          <cell r="K704" t="str">
            <v>00021213P.11</v>
          </cell>
        </row>
        <row r="705">
          <cell r="K705" t="str">
            <v>00021215P.11</v>
          </cell>
        </row>
        <row r="706">
          <cell r="K706" t="str">
            <v>00021215P.11</v>
          </cell>
        </row>
        <row r="707">
          <cell r="K707" t="str">
            <v>00021215P.11</v>
          </cell>
        </row>
        <row r="708">
          <cell r="K708" t="str">
            <v>00021216P.11</v>
          </cell>
        </row>
        <row r="709">
          <cell r="K709" t="str">
            <v>00021216P.11</v>
          </cell>
        </row>
        <row r="710">
          <cell r="K710" t="str">
            <v>00021217P.11</v>
          </cell>
        </row>
        <row r="711">
          <cell r="K711" t="str">
            <v>00021217P.11</v>
          </cell>
        </row>
        <row r="712">
          <cell r="K712" t="str">
            <v>00021217P.11</v>
          </cell>
        </row>
        <row r="713">
          <cell r="K713" t="str">
            <v>00021217P.11</v>
          </cell>
        </row>
        <row r="714">
          <cell r="K714" t="str">
            <v>00021217P.11</v>
          </cell>
        </row>
        <row r="715">
          <cell r="K715" t="str">
            <v>00021220P.11</v>
          </cell>
        </row>
        <row r="716">
          <cell r="K716" t="str">
            <v>00021221P.11</v>
          </cell>
        </row>
        <row r="717">
          <cell r="K717" t="str">
            <v>00021221P.11</v>
          </cell>
        </row>
        <row r="718">
          <cell r="K718" t="str">
            <v>00021221P.11</v>
          </cell>
        </row>
        <row r="719">
          <cell r="K719" t="str">
            <v>00021221P.11</v>
          </cell>
        </row>
        <row r="720">
          <cell r="K720" t="str">
            <v>00021221P.11</v>
          </cell>
        </row>
        <row r="721">
          <cell r="K721" t="str">
            <v>00021222P.11</v>
          </cell>
        </row>
        <row r="722">
          <cell r="K722" t="str">
            <v>00021222P.11</v>
          </cell>
        </row>
        <row r="723">
          <cell r="K723" t="str">
            <v>00021222P.11</v>
          </cell>
        </row>
        <row r="724">
          <cell r="K724" t="str">
            <v>00021222P.11</v>
          </cell>
        </row>
        <row r="725">
          <cell r="K725" t="str">
            <v>00021222P.11</v>
          </cell>
        </row>
        <row r="726">
          <cell r="K726" t="str">
            <v>00021222P.11</v>
          </cell>
        </row>
        <row r="727">
          <cell r="K727" t="str">
            <v>00021223P.11</v>
          </cell>
        </row>
        <row r="728">
          <cell r="K728" t="str">
            <v>00021223P.11</v>
          </cell>
        </row>
        <row r="729">
          <cell r="K729" t="str">
            <v>00021224P.11</v>
          </cell>
        </row>
        <row r="730">
          <cell r="K730" t="str">
            <v>00021224P.11</v>
          </cell>
        </row>
        <row r="731">
          <cell r="K731" t="str">
            <v>00021225P.11</v>
          </cell>
        </row>
        <row r="732">
          <cell r="K732" t="str">
            <v>00021225P.11</v>
          </cell>
        </row>
        <row r="733">
          <cell r="K733" t="str">
            <v>00021225P.11</v>
          </cell>
        </row>
        <row r="734">
          <cell r="K734" t="str">
            <v>00021227P.11</v>
          </cell>
        </row>
        <row r="735">
          <cell r="K735" t="str">
            <v>00021227P.11</v>
          </cell>
        </row>
        <row r="736">
          <cell r="K736" t="str">
            <v>00021227P.11</v>
          </cell>
        </row>
        <row r="737">
          <cell r="K737" t="str">
            <v>00021228P.11</v>
          </cell>
        </row>
        <row r="738">
          <cell r="K738" t="str">
            <v>00021228P.11</v>
          </cell>
        </row>
        <row r="739">
          <cell r="K739" t="str">
            <v>00021228P.11</v>
          </cell>
        </row>
        <row r="740">
          <cell r="K740" t="str">
            <v>00021228P.11</v>
          </cell>
        </row>
        <row r="741">
          <cell r="K741" t="str">
            <v>00021228P.11</v>
          </cell>
        </row>
        <row r="742">
          <cell r="K742" t="str">
            <v>00021228P.11</v>
          </cell>
        </row>
        <row r="743">
          <cell r="K743" t="str">
            <v>00021228P.11</v>
          </cell>
        </row>
        <row r="744">
          <cell r="K744" t="str">
            <v>00021228P.11</v>
          </cell>
        </row>
        <row r="745">
          <cell r="K745" t="str">
            <v>00021228P.11</v>
          </cell>
        </row>
        <row r="746">
          <cell r="K746" t="str">
            <v>00021228P.11</v>
          </cell>
        </row>
        <row r="747">
          <cell r="K747" t="str">
            <v>00021228P.11</v>
          </cell>
        </row>
        <row r="748">
          <cell r="K748" t="str">
            <v>00021228P.11</v>
          </cell>
        </row>
        <row r="749">
          <cell r="K749" t="str">
            <v>00021228P.11</v>
          </cell>
        </row>
        <row r="750">
          <cell r="K750" t="str">
            <v>00021228P.11</v>
          </cell>
        </row>
        <row r="751">
          <cell r="K751" t="str">
            <v>00021228P.11</v>
          </cell>
        </row>
        <row r="752">
          <cell r="K752" t="str">
            <v>00021229P.11</v>
          </cell>
        </row>
        <row r="753">
          <cell r="K753" t="str">
            <v>00021229P.11</v>
          </cell>
        </row>
        <row r="754">
          <cell r="K754" t="str">
            <v>00021229P.11</v>
          </cell>
        </row>
        <row r="755">
          <cell r="K755" t="str">
            <v>00021229P.11</v>
          </cell>
        </row>
        <row r="756">
          <cell r="K756" t="str">
            <v>00021229P.11</v>
          </cell>
        </row>
        <row r="757">
          <cell r="K757" t="str">
            <v>00021229P.11</v>
          </cell>
        </row>
        <row r="758">
          <cell r="K758" t="str">
            <v>00021230P.11</v>
          </cell>
        </row>
        <row r="759">
          <cell r="K759" t="str">
            <v>00021230P.11</v>
          </cell>
        </row>
        <row r="760">
          <cell r="K760" t="str">
            <v>00021230P.11</v>
          </cell>
        </row>
        <row r="761">
          <cell r="K761" t="str">
            <v>00021230P.11</v>
          </cell>
        </row>
        <row r="762">
          <cell r="K762" t="str">
            <v>00021230P.11</v>
          </cell>
        </row>
        <row r="763">
          <cell r="K763" t="str">
            <v>00021231P.11</v>
          </cell>
        </row>
        <row r="764">
          <cell r="K764" t="str">
            <v>00021231P.11</v>
          </cell>
        </row>
        <row r="765">
          <cell r="K765" t="str">
            <v>00021231P.11</v>
          </cell>
        </row>
        <row r="766">
          <cell r="K766" t="str">
            <v>00021231P.11</v>
          </cell>
        </row>
        <row r="767">
          <cell r="K767" t="str">
            <v>00021231P.11</v>
          </cell>
        </row>
        <row r="768">
          <cell r="K768" t="str">
            <v>00021231P.11</v>
          </cell>
        </row>
        <row r="769">
          <cell r="K769" t="str">
            <v>00021231P.11</v>
          </cell>
        </row>
        <row r="770">
          <cell r="K770" t="str">
            <v>00021231P.11</v>
          </cell>
        </row>
        <row r="771">
          <cell r="K771" t="str">
            <v>00021231P.11</v>
          </cell>
        </row>
        <row r="772">
          <cell r="K772" t="str">
            <v>00021231P.11</v>
          </cell>
        </row>
        <row r="773">
          <cell r="K773" t="str">
            <v>00021231P.11</v>
          </cell>
        </row>
        <row r="774">
          <cell r="K774" t="str">
            <v>00021232P.11</v>
          </cell>
        </row>
        <row r="775">
          <cell r="K775" t="str">
            <v>00021232P.11</v>
          </cell>
        </row>
        <row r="776">
          <cell r="K776" t="str">
            <v>00021232P.11</v>
          </cell>
        </row>
        <row r="777">
          <cell r="K777" t="str">
            <v>00021232P.11</v>
          </cell>
        </row>
        <row r="778">
          <cell r="K778" t="str">
            <v>00021232P.11</v>
          </cell>
        </row>
        <row r="779">
          <cell r="K779" t="str">
            <v>00021232P.11</v>
          </cell>
        </row>
        <row r="780">
          <cell r="K780" t="str">
            <v>00021232P.11</v>
          </cell>
        </row>
        <row r="781">
          <cell r="K781" t="str">
            <v>00021232P.11</v>
          </cell>
        </row>
        <row r="782">
          <cell r="K782" t="str">
            <v>00021232P.11</v>
          </cell>
        </row>
        <row r="783">
          <cell r="K783" t="str">
            <v>00021233P.11</v>
          </cell>
        </row>
        <row r="784">
          <cell r="K784" t="str">
            <v>00021233P.11</v>
          </cell>
        </row>
        <row r="785">
          <cell r="K785" t="str">
            <v>00021233P.11</v>
          </cell>
        </row>
        <row r="786">
          <cell r="K786" t="str">
            <v>00021233P.11</v>
          </cell>
        </row>
        <row r="787">
          <cell r="K787" t="str">
            <v>00021233P.11</v>
          </cell>
        </row>
        <row r="788">
          <cell r="K788" t="str">
            <v>00021234P.11</v>
          </cell>
        </row>
        <row r="789">
          <cell r="K789" t="str">
            <v>00021234P.11</v>
          </cell>
        </row>
        <row r="790">
          <cell r="K790" t="str">
            <v>00021234P.11</v>
          </cell>
        </row>
        <row r="791">
          <cell r="K791" t="str">
            <v>00021234P.11</v>
          </cell>
        </row>
        <row r="792">
          <cell r="K792" t="str">
            <v>00021234P.11</v>
          </cell>
        </row>
        <row r="793">
          <cell r="K793" t="str">
            <v>00021234P.11</v>
          </cell>
        </row>
        <row r="794">
          <cell r="K794" t="str">
            <v>00021234P.11</v>
          </cell>
        </row>
        <row r="795">
          <cell r="K795" t="str">
            <v>00021234P.11</v>
          </cell>
        </row>
        <row r="796">
          <cell r="K796" t="str">
            <v>00021234P.11</v>
          </cell>
        </row>
        <row r="797">
          <cell r="K797" t="str">
            <v>00021235P.11</v>
          </cell>
        </row>
        <row r="798">
          <cell r="K798" t="str">
            <v>00021235P.11</v>
          </cell>
        </row>
        <row r="799">
          <cell r="K799" t="str">
            <v>00021235P.11</v>
          </cell>
        </row>
        <row r="800">
          <cell r="K800" t="str">
            <v>00021235P.11</v>
          </cell>
        </row>
        <row r="801">
          <cell r="K801" t="str">
            <v>00021236P.11</v>
          </cell>
        </row>
        <row r="802">
          <cell r="K802" t="str">
            <v>00021236P.11</v>
          </cell>
        </row>
        <row r="803">
          <cell r="K803" t="str">
            <v>00021236P.11</v>
          </cell>
        </row>
        <row r="804">
          <cell r="K804" t="str">
            <v>00021236P.11</v>
          </cell>
        </row>
        <row r="805">
          <cell r="K805" t="str">
            <v>00021236P.11</v>
          </cell>
        </row>
        <row r="806">
          <cell r="K806" t="str">
            <v>00021236P.11</v>
          </cell>
        </row>
        <row r="807">
          <cell r="K807" t="str">
            <v>00021253P.11</v>
          </cell>
        </row>
        <row r="808">
          <cell r="K808" t="str">
            <v>00021253P.11</v>
          </cell>
        </row>
        <row r="809">
          <cell r="K809" t="str">
            <v>00021224P.11</v>
          </cell>
        </row>
        <row r="810">
          <cell r="K810" t="str">
            <v>00021206P.11</v>
          </cell>
        </row>
        <row r="811">
          <cell r="K811" t="str">
            <v>00021206P.11</v>
          </cell>
        </row>
        <row r="812">
          <cell r="K812" t="str">
            <v>00021214P.11</v>
          </cell>
        </row>
        <row r="813">
          <cell r="K813" t="str">
            <v>00021228P.11</v>
          </cell>
        </row>
        <row r="814">
          <cell r="K814" t="str">
            <v>00021228P.11</v>
          </cell>
        </row>
        <row r="815">
          <cell r="K815" t="str">
            <v>00021228P.11</v>
          </cell>
        </row>
        <row r="816">
          <cell r="K816" t="str">
            <v>00021228P.11</v>
          </cell>
        </row>
        <row r="817">
          <cell r="K817" t="str">
            <v>00021230P.11</v>
          </cell>
        </row>
        <row r="818">
          <cell r="K818" t="str">
            <v>00021230P.11</v>
          </cell>
        </row>
        <row r="819">
          <cell r="K819" t="str">
            <v>00021230P.11</v>
          </cell>
        </row>
        <row r="820">
          <cell r="K820" t="str">
            <v>00021257P.11</v>
          </cell>
        </row>
        <row r="821">
          <cell r="K821" t="str">
            <v>00021258P.11</v>
          </cell>
        </row>
        <row r="822">
          <cell r="K822" t="str">
            <v>00021217P.11</v>
          </cell>
        </row>
        <row r="823">
          <cell r="K823" t="str">
            <v>00021249P.11</v>
          </cell>
        </row>
        <row r="824">
          <cell r="K824" t="str">
            <v>00021215P.11</v>
          </cell>
        </row>
        <row r="825">
          <cell r="K825" t="str">
            <v>00021221P.11</v>
          </cell>
        </row>
        <row r="826">
          <cell r="K826" t="str">
            <v>00021222P.11</v>
          </cell>
        </row>
        <row r="827">
          <cell r="K827" t="str">
            <v>00021225P.11</v>
          </cell>
        </row>
        <row r="828">
          <cell r="K828" t="str">
            <v>00021228P.11</v>
          </cell>
        </row>
        <row r="829">
          <cell r="K829" t="str">
            <v>00021228P.11</v>
          </cell>
        </row>
        <row r="830">
          <cell r="K830" t="str">
            <v>00021231P.11</v>
          </cell>
        </row>
        <row r="831">
          <cell r="K831" t="str">
            <v>00021231P.11</v>
          </cell>
        </row>
        <row r="832">
          <cell r="K832" t="str">
            <v>00021232P.11</v>
          </cell>
        </row>
        <row r="833">
          <cell r="K833" t="str">
            <v>00021253P.11</v>
          </cell>
        </row>
        <row r="834">
          <cell r="K834" t="str">
            <v>00021213P.11</v>
          </cell>
        </row>
        <row r="835">
          <cell r="K835" t="str">
            <v>00021220P.11</v>
          </cell>
        </row>
        <row r="836">
          <cell r="K836" t="str">
            <v>00021221P.11</v>
          </cell>
        </row>
        <row r="837">
          <cell r="K837" t="str">
            <v>00021221P.11</v>
          </cell>
        </row>
        <row r="838">
          <cell r="K838" t="str">
            <v>00021222P.11</v>
          </cell>
        </row>
        <row r="839">
          <cell r="K839" t="str">
            <v>00021222P.11</v>
          </cell>
        </row>
        <row r="840">
          <cell r="K840" t="str">
            <v>00021222P.11</v>
          </cell>
        </row>
        <row r="841">
          <cell r="K841" t="str">
            <v>00021224P.11</v>
          </cell>
        </row>
        <row r="842">
          <cell r="K842" t="str">
            <v>00021231P.11</v>
          </cell>
        </row>
        <row r="843">
          <cell r="K843" t="str">
            <v>00021233P.11</v>
          </cell>
        </row>
        <row r="844">
          <cell r="K844" t="str">
            <v>00021234P.11</v>
          </cell>
        </row>
        <row r="845">
          <cell r="K845" t="str">
            <v>00021258P.11</v>
          </cell>
        </row>
        <row r="846">
          <cell r="K846" t="str">
            <v>00021253P.11</v>
          </cell>
        </row>
        <row r="847">
          <cell r="K847" t="str">
            <v>00021253P.11</v>
          </cell>
        </row>
        <row r="848">
          <cell r="K848" t="str">
            <v>00021210P.11</v>
          </cell>
        </row>
        <row r="849">
          <cell r="K849" t="str">
            <v>00021210P.11</v>
          </cell>
        </row>
        <row r="850">
          <cell r="K850" t="str">
            <v>00021210P.11</v>
          </cell>
        </row>
        <row r="851">
          <cell r="K851" t="str">
            <v>00021212P.11</v>
          </cell>
        </row>
        <row r="852">
          <cell r="K852" t="str">
            <v>00021212P.11</v>
          </cell>
        </row>
        <row r="853">
          <cell r="K853" t="str">
            <v>00021212P.11</v>
          </cell>
        </row>
        <row r="854">
          <cell r="K854" t="str">
            <v>00021212P.11</v>
          </cell>
        </row>
        <row r="855">
          <cell r="K855" t="str">
            <v>00021213P.11</v>
          </cell>
        </row>
        <row r="856">
          <cell r="K856" t="str">
            <v>00021213P.11</v>
          </cell>
        </row>
        <row r="857">
          <cell r="K857" t="str">
            <v>00021213P.11</v>
          </cell>
        </row>
        <row r="858">
          <cell r="K858" t="str">
            <v>00021213P.11</v>
          </cell>
        </row>
        <row r="859">
          <cell r="K859" t="str">
            <v>00021217P.11</v>
          </cell>
        </row>
        <row r="860">
          <cell r="K860" t="str">
            <v>00021217P.11</v>
          </cell>
        </row>
        <row r="861">
          <cell r="K861" t="str">
            <v>00021217P.11</v>
          </cell>
        </row>
        <row r="862">
          <cell r="K862" t="str">
            <v>00021217P.11</v>
          </cell>
        </row>
        <row r="863">
          <cell r="K863" t="str">
            <v>00021217P.11</v>
          </cell>
        </row>
        <row r="864">
          <cell r="K864" t="str">
            <v>00021220P.11</v>
          </cell>
        </row>
        <row r="865">
          <cell r="K865" t="str">
            <v>00021220P.11</v>
          </cell>
        </row>
        <row r="866">
          <cell r="K866" t="str">
            <v>00021221P.11</v>
          </cell>
        </row>
        <row r="867">
          <cell r="K867" t="str">
            <v>00021221P.11</v>
          </cell>
        </row>
        <row r="868">
          <cell r="K868" t="str">
            <v>00021226P.11</v>
          </cell>
        </row>
        <row r="869">
          <cell r="K869" t="str">
            <v>00021226P.11</v>
          </cell>
        </row>
        <row r="870">
          <cell r="K870" t="str">
            <v>00021226P.11</v>
          </cell>
        </row>
        <row r="871">
          <cell r="K871" t="str">
            <v>00021228P.11</v>
          </cell>
        </row>
        <row r="872">
          <cell r="K872" t="str">
            <v>00021228P.11</v>
          </cell>
        </row>
        <row r="873">
          <cell r="K873" t="str">
            <v>00021228P.11</v>
          </cell>
        </row>
        <row r="874">
          <cell r="K874" t="str">
            <v>00021228P.11</v>
          </cell>
        </row>
        <row r="875">
          <cell r="K875" t="str">
            <v>00021230P.11</v>
          </cell>
        </row>
        <row r="876">
          <cell r="K876" t="str">
            <v>00021230P.11</v>
          </cell>
        </row>
        <row r="877">
          <cell r="K877" t="str">
            <v>00021230P.11</v>
          </cell>
        </row>
        <row r="878">
          <cell r="K878" t="str">
            <v>00021231P.11</v>
          </cell>
        </row>
        <row r="879">
          <cell r="K879" t="str">
            <v>00021231P.11</v>
          </cell>
        </row>
        <row r="880">
          <cell r="K880" t="str">
            <v>00021231P.11</v>
          </cell>
        </row>
        <row r="881">
          <cell r="K881" t="str">
            <v>00021231P.11</v>
          </cell>
        </row>
        <row r="882">
          <cell r="K882" t="str">
            <v>00021231P.11</v>
          </cell>
        </row>
        <row r="883">
          <cell r="K883" t="str">
            <v>00021231P.11</v>
          </cell>
        </row>
        <row r="884">
          <cell r="K884" t="str">
            <v>00021236P.11</v>
          </cell>
        </row>
        <row r="885">
          <cell r="K885" t="str">
            <v>00021236P.11</v>
          </cell>
        </row>
        <row r="886">
          <cell r="K886" t="str">
            <v>00021236P.11</v>
          </cell>
        </row>
        <row r="887">
          <cell r="K887" t="str">
            <v>00021236P.11</v>
          </cell>
        </row>
        <row r="888">
          <cell r="K888" t="str">
            <v>00021236P.11</v>
          </cell>
        </row>
        <row r="889">
          <cell r="K889" t="str">
            <v>00021236P.11</v>
          </cell>
        </row>
        <row r="890">
          <cell r="K890" t="str">
            <v>00021236P.11</v>
          </cell>
        </row>
        <row r="891">
          <cell r="K891" t="str">
            <v>00021236P.11</v>
          </cell>
        </row>
        <row r="892">
          <cell r="K892" t="str">
            <v>00021236P.11</v>
          </cell>
        </row>
        <row r="893">
          <cell r="K893" t="str">
            <v>00021240P.11</v>
          </cell>
        </row>
        <row r="894">
          <cell r="K894" t="str">
            <v>00021240P.11</v>
          </cell>
        </row>
        <row r="895">
          <cell r="K895" t="str">
            <v>00021245P.11</v>
          </cell>
        </row>
        <row r="896">
          <cell r="K896" t="str">
            <v>00021249P.11</v>
          </cell>
        </row>
        <row r="897">
          <cell r="K897" t="str">
            <v>00021243P.11</v>
          </cell>
        </row>
        <row r="898">
          <cell r="K898" t="str">
            <v>00021243P.11</v>
          </cell>
        </row>
        <row r="899">
          <cell r="K899" t="str">
            <v>00021243P.11</v>
          </cell>
        </row>
        <row r="900">
          <cell r="K900" t="str">
            <v>00021248P.11</v>
          </cell>
        </row>
        <row r="901">
          <cell r="K901" t="str">
            <v>00021248P.11</v>
          </cell>
        </row>
        <row r="902">
          <cell r="K902" t="str">
            <v>00021248P.11</v>
          </cell>
        </row>
        <row r="903">
          <cell r="K903" t="str">
            <v>00021257P.11</v>
          </cell>
        </row>
        <row r="904">
          <cell r="K904" t="str">
            <v>00021209P.11</v>
          </cell>
        </row>
        <row r="905">
          <cell r="K905" t="str">
            <v>00021206P.11</v>
          </cell>
        </row>
        <row r="906">
          <cell r="K906" t="str">
            <v>00021206P.11</v>
          </cell>
        </row>
        <row r="907">
          <cell r="K907" t="str">
            <v>00021206P.11</v>
          </cell>
        </row>
        <row r="908">
          <cell r="K908" t="str">
            <v>00021206P.11</v>
          </cell>
        </row>
        <row r="909">
          <cell r="K909" t="str">
            <v>00021207P.11</v>
          </cell>
        </row>
        <row r="910">
          <cell r="K910" t="str">
            <v>00021207P.11</v>
          </cell>
        </row>
        <row r="911">
          <cell r="K911" t="str">
            <v>00021207P.11</v>
          </cell>
        </row>
        <row r="912">
          <cell r="K912" t="str">
            <v>00021210P.11</v>
          </cell>
        </row>
        <row r="913">
          <cell r="K913" t="str">
            <v>00021210P.11</v>
          </cell>
        </row>
        <row r="914">
          <cell r="K914" t="str">
            <v>00021210P.11</v>
          </cell>
        </row>
        <row r="915">
          <cell r="K915" t="str">
            <v>00021211P.11</v>
          </cell>
        </row>
        <row r="916">
          <cell r="K916" t="str">
            <v>00021211P.11</v>
          </cell>
        </row>
        <row r="917">
          <cell r="K917" t="str">
            <v>00021213P.11</v>
          </cell>
        </row>
        <row r="918">
          <cell r="K918" t="str">
            <v>00021213P.11</v>
          </cell>
        </row>
        <row r="919">
          <cell r="K919" t="str">
            <v>00021213P.11</v>
          </cell>
        </row>
        <row r="920">
          <cell r="K920" t="str">
            <v>00021213P.11</v>
          </cell>
        </row>
        <row r="921">
          <cell r="K921" t="str">
            <v>00021213P.11</v>
          </cell>
        </row>
        <row r="922">
          <cell r="K922" t="str">
            <v>00021213P.11</v>
          </cell>
        </row>
        <row r="923">
          <cell r="K923" t="str">
            <v>00021213P.11</v>
          </cell>
        </row>
        <row r="924">
          <cell r="K924" t="str">
            <v>00021216P.11</v>
          </cell>
        </row>
        <row r="925">
          <cell r="K925" t="str">
            <v>00021217P.11</v>
          </cell>
        </row>
        <row r="926">
          <cell r="K926" t="str">
            <v>00021217P.11</v>
          </cell>
        </row>
        <row r="927">
          <cell r="K927" t="str">
            <v>00021217P.11</v>
          </cell>
        </row>
        <row r="928">
          <cell r="K928" t="str">
            <v>00021217P.11</v>
          </cell>
        </row>
        <row r="929">
          <cell r="K929" t="str">
            <v>00021217P.11</v>
          </cell>
        </row>
        <row r="930">
          <cell r="K930" t="str">
            <v>00021218P.11</v>
          </cell>
        </row>
        <row r="931">
          <cell r="K931" t="str">
            <v>00021218P.11</v>
          </cell>
        </row>
        <row r="932">
          <cell r="K932" t="str">
            <v>00021220P.11</v>
          </cell>
        </row>
        <row r="933">
          <cell r="K933" t="str">
            <v>00021221P.11</v>
          </cell>
        </row>
        <row r="934">
          <cell r="K934" t="str">
            <v>00021221P.11</v>
          </cell>
        </row>
        <row r="935">
          <cell r="K935" t="str">
            <v>00021221P.11</v>
          </cell>
        </row>
        <row r="936">
          <cell r="K936" t="str">
            <v>00021221P.11</v>
          </cell>
        </row>
        <row r="937">
          <cell r="K937" t="str">
            <v>00021222P.11</v>
          </cell>
        </row>
        <row r="938">
          <cell r="K938" t="str">
            <v>00021222P.11</v>
          </cell>
        </row>
        <row r="939">
          <cell r="K939" t="str">
            <v>00021222P.11</v>
          </cell>
        </row>
        <row r="940">
          <cell r="K940" t="str">
            <v>00021222P.11</v>
          </cell>
        </row>
        <row r="941">
          <cell r="K941" t="str">
            <v>00021222P.11</v>
          </cell>
        </row>
        <row r="942">
          <cell r="K942" t="str">
            <v>00021223P.11</v>
          </cell>
        </row>
        <row r="943">
          <cell r="K943" t="str">
            <v>00021223P.11</v>
          </cell>
        </row>
        <row r="944">
          <cell r="K944" t="str">
            <v>00021223P.11</v>
          </cell>
        </row>
        <row r="945">
          <cell r="K945" t="str">
            <v>00021223P.11</v>
          </cell>
        </row>
        <row r="946">
          <cell r="K946" t="str">
            <v>00021224P.11</v>
          </cell>
        </row>
        <row r="947">
          <cell r="K947" t="str">
            <v>00021225P.11</v>
          </cell>
        </row>
        <row r="948">
          <cell r="K948" t="str">
            <v>00021225P.11</v>
          </cell>
        </row>
        <row r="949">
          <cell r="K949" t="str">
            <v>00021225P.11</v>
          </cell>
        </row>
        <row r="950">
          <cell r="K950" t="str">
            <v>00021226P.11</v>
          </cell>
        </row>
        <row r="951">
          <cell r="K951" t="str">
            <v>00021226P.11</v>
          </cell>
        </row>
        <row r="952">
          <cell r="K952" t="str">
            <v>00021227P.11</v>
          </cell>
        </row>
        <row r="953">
          <cell r="K953" t="str">
            <v>00021227P.11</v>
          </cell>
        </row>
        <row r="954">
          <cell r="K954" t="str">
            <v>00021228P.11</v>
          </cell>
        </row>
        <row r="955">
          <cell r="K955" t="str">
            <v>00021228P.11</v>
          </cell>
        </row>
        <row r="956">
          <cell r="K956" t="str">
            <v>00021228P.11</v>
          </cell>
        </row>
        <row r="957">
          <cell r="K957" t="str">
            <v>00021228P.11</v>
          </cell>
        </row>
        <row r="958">
          <cell r="K958" t="str">
            <v>00021228P.11</v>
          </cell>
        </row>
        <row r="959">
          <cell r="K959" t="str">
            <v>00021228P.11</v>
          </cell>
        </row>
        <row r="960">
          <cell r="K960" t="str">
            <v>00021228P.11</v>
          </cell>
        </row>
        <row r="961">
          <cell r="K961" t="str">
            <v>00021228P.11</v>
          </cell>
        </row>
        <row r="962">
          <cell r="K962" t="str">
            <v>00021228P.11</v>
          </cell>
        </row>
        <row r="963">
          <cell r="K963" t="str">
            <v>00021228P.11</v>
          </cell>
        </row>
        <row r="964">
          <cell r="K964" t="str">
            <v>00021228P.11</v>
          </cell>
        </row>
        <row r="965">
          <cell r="K965" t="str">
            <v>00021228P.11</v>
          </cell>
        </row>
        <row r="966">
          <cell r="K966" t="str">
            <v>00021228P.11</v>
          </cell>
        </row>
        <row r="967">
          <cell r="K967" t="str">
            <v>00021228P.11</v>
          </cell>
        </row>
        <row r="968">
          <cell r="K968" t="str">
            <v>00021228P.11</v>
          </cell>
        </row>
        <row r="969">
          <cell r="K969" t="str">
            <v>00021228P.11</v>
          </cell>
        </row>
        <row r="970">
          <cell r="K970" t="str">
            <v>00021229P.11</v>
          </cell>
        </row>
        <row r="971">
          <cell r="K971" t="str">
            <v>00021229P.11</v>
          </cell>
        </row>
        <row r="972">
          <cell r="K972" t="str">
            <v>00021229P.11</v>
          </cell>
        </row>
        <row r="973">
          <cell r="K973" t="str">
            <v>00021229P.11</v>
          </cell>
        </row>
        <row r="974">
          <cell r="K974" t="str">
            <v>00021230P.11</v>
          </cell>
        </row>
        <row r="975">
          <cell r="K975" t="str">
            <v>00021230P.11</v>
          </cell>
        </row>
        <row r="976">
          <cell r="K976" t="str">
            <v>00021231P.11</v>
          </cell>
        </row>
        <row r="977">
          <cell r="K977" t="str">
            <v>00021231P.11</v>
          </cell>
        </row>
        <row r="978">
          <cell r="K978" t="str">
            <v>00021231P.11</v>
          </cell>
        </row>
        <row r="979">
          <cell r="K979" t="str">
            <v>00021231P.11</v>
          </cell>
        </row>
        <row r="980">
          <cell r="K980" t="str">
            <v>00021231P.11</v>
          </cell>
        </row>
        <row r="981">
          <cell r="K981" t="str">
            <v>00021231P.11</v>
          </cell>
        </row>
        <row r="982">
          <cell r="K982" t="str">
            <v>00021232P.11</v>
          </cell>
        </row>
        <row r="983">
          <cell r="K983" t="str">
            <v>00021232P.11</v>
          </cell>
        </row>
        <row r="984">
          <cell r="K984" t="str">
            <v>00021232P.11</v>
          </cell>
        </row>
        <row r="985">
          <cell r="K985" t="str">
            <v>00021232P.11</v>
          </cell>
        </row>
        <row r="986">
          <cell r="K986" t="str">
            <v>00021232P.11</v>
          </cell>
        </row>
        <row r="987">
          <cell r="K987" t="str">
            <v>00021232P.11</v>
          </cell>
        </row>
        <row r="988">
          <cell r="K988" t="str">
            <v>00021232P.11</v>
          </cell>
        </row>
        <row r="989">
          <cell r="K989" t="str">
            <v>00021232P.11</v>
          </cell>
        </row>
        <row r="990">
          <cell r="K990" t="str">
            <v>00021233P.11</v>
          </cell>
        </row>
        <row r="991">
          <cell r="K991" t="str">
            <v>00021233P.11</v>
          </cell>
        </row>
        <row r="992">
          <cell r="K992" t="str">
            <v>00021233P.11</v>
          </cell>
        </row>
        <row r="993">
          <cell r="K993" t="str">
            <v>00021233P.11</v>
          </cell>
        </row>
        <row r="994">
          <cell r="K994" t="str">
            <v>00021233P.11</v>
          </cell>
        </row>
        <row r="995">
          <cell r="K995" t="str">
            <v>00021233P.11</v>
          </cell>
        </row>
        <row r="996">
          <cell r="K996" t="str">
            <v>00021233P.11</v>
          </cell>
        </row>
        <row r="997">
          <cell r="K997" t="str">
            <v>00021234P.11</v>
          </cell>
        </row>
        <row r="998">
          <cell r="K998" t="str">
            <v>00021234P.11</v>
          </cell>
        </row>
        <row r="999">
          <cell r="K999" t="str">
            <v>00021234P.11</v>
          </cell>
        </row>
        <row r="1000">
          <cell r="K1000" t="str">
            <v>00021234P.11</v>
          </cell>
        </row>
        <row r="1001">
          <cell r="K1001" t="str">
            <v>00021234P.11</v>
          </cell>
        </row>
        <row r="1002">
          <cell r="K1002" t="str">
            <v>00021235P.11</v>
          </cell>
        </row>
        <row r="1003">
          <cell r="K1003" t="str">
            <v>00021235P.11</v>
          </cell>
        </row>
        <row r="1004">
          <cell r="K1004" t="str">
            <v>00021235P.11</v>
          </cell>
        </row>
        <row r="1005">
          <cell r="K1005" t="str">
            <v>00021235P.11</v>
          </cell>
        </row>
        <row r="1006">
          <cell r="K1006" t="str">
            <v>00021235P.11</v>
          </cell>
        </row>
        <row r="1007">
          <cell r="K1007" t="str">
            <v>00021236P.11</v>
          </cell>
        </row>
        <row r="1008">
          <cell r="K1008" t="str">
            <v>00021236P.11</v>
          </cell>
        </row>
        <row r="1009">
          <cell r="K1009" t="str">
            <v>00021239P.11</v>
          </cell>
        </row>
        <row r="1010">
          <cell r="K1010" t="str">
            <v>00021240P.11</v>
          </cell>
        </row>
        <row r="1011">
          <cell r="K1011" t="str">
            <v>00021245P.11</v>
          </cell>
        </row>
        <row r="1012">
          <cell r="K1012" t="str">
            <v>00021245P.11</v>
          </cell>
        </row>
        <row r="1013">
          <cell r="K1013" t="str">
            <v>00021253P.11</v>
          </cell>
        </row>
        <row r="1014">
          <cell r="K1014" t="str">
            <v>00021253P.11</v>
          </cell>
        </row>
        <row r="1015">
          <cell r="K1015" t="str">
            <v>00021257P.11</v>
          </cell>
        </row>
        <row r="1016">
          <cell r="K1016" t="str">
            <v>00021259P.11</v>
          </cell>
        </row>
        <row r="1017">
          <cell r="K1017" t="str">
            <v>00021259P.11</v>
          </cell>
        </row>
        <row r="1018">
          <cell r="K1018" t="str">
            <v>00021259P.11</v>
          </cell>
        </row>
        <row r="1019">
          <cell r="K1019" t="str">
            <v>00021228P.11</v>
          </cell>
        </row>
        <row r="1020">
          <cell r="K1020" t="str">
            <v>00021235P.11</v>
          </cell>
        </row>
        <row r="1021">
          <cell r="K1021" t="str">
            <v>00021222P.11</v>
          </cell>
        </row>
        <row r="1022">
          <cell r="K1022" t="str">
            <v>00021231P.11</v>
          </cell>
        </row>
        <row r="1023">
          <cell r="K1023" t="str">
            <v>00021232P.11</v>
          </cell>
        </row>
        <row r="1024">
          <cell r="K1024" t="str">
            <v>00021243P.11</v>
          </cell>
        </row>
        <row r="1025">
          <cell r="K1025" t="str">
            <v>00021257P.13</v>
          </cell>
        </row>
        <row r="1026">
          <cell r="K1026" t="str">
            <v>00021254P.11</v>
          </cell>
        </row>
        <row r="1027">
          <cell r="K1027" t="str">
            <v>00021210P.11</v>
          </cell>
        </row>
        <row r="1028">
          <cell r="K1028" t="str">
            <v>00021210P.11</v>
          </cell>
        </row>
        <row r="1029">
          <cell r="K1029" t="str">
            <v>00021202P.12</v>
          </cell>
        </row>
        <row r="1030">
          <cell r="K1030" t="str">
            <v>00021210P.11</v>
          </cell>
        </row>
        <row r="1031">
          <cell r="K1031" t="str">
            <v>00021231P.11</v>
          </cell>
        </row>
        <row r="1032">
          <cell r="K1032" t="str">
            <v>00021211P.11</v>
          </cell>
        </row>
        <row r="1033">
          <cell r="K1033" t="str">
            <v>00021213P.11</v>
          </cell>
        </row>
        <row r="1034">
          <cell r="K1034" t="str">
            <v>00021251P.11</v>
          </cell>
        </row>
        <row r="1035">
          <cell r="K1035" t="str">
            <v>00021251P.11</v>
          </cell>
        </row>
        <row r="1036">
          <cell r="K1036" t="str">
            <v>00021251P.11</v>
          </cell>
        </row>
        <row r="1037">
          <cell r="K1037" t="str">
            <v>00021251P.11</v>
          </cell>
        </row>
        <row r="1038">
          <cell r="K1038" t="str">
            <v>00021254P.11</v>
          </cell>
        </row>
        <row r="1039">
          <cell r="K1039" t="str">
            <v>00021243P.11</v>
          </cell>
        </row>
        <row r="1040">
          <cell r="K1040" t="str">
            <v>00021249P.11</v>
          </cell>
        </row>
        <row r="1041">
          <cell r="K1041" t="str">
            <v>00021249P.11</v>
          </cell>
        </row>
        <row r="1042">
          <cell r="K1042" t="str">
            <v>00021253P.11</v>
          </cell>
        </row>
        <row r="1043">
          <cell r="K1043" t="str">
            <v>00021253P.11</v>
          </cell>
        </row>
        <row r="1044">
          <cell r="K1044" t="str">
            <v>00021257P.11</v>
          </cell>
        </row>
        <row r="1045">
          <cell r="K1045" t="str">
            <v>00021256P.13</v>
          </cell>
        </row>
        <row r="1046">
          <cell r="K1046" t="str">
            <v>00021254P.11</v>
          </cell>
        </row>
        <row r="1047">
          <cell r="K1047" t="str">
            <v>00021256P.11</v>
          </cell>
        </row>
        <row r="1048">
          <cell r="K1048" t="str">
            <v>00021256P.11</v>
          </cell>
        </row>
        <row r="1049">
          <cell r="K1049" t="str">
            <v>00021256P.11</v>
          </cell>
        </row>
        <row r="1050">
          <cell r="K1050" t="str">
            <v>00021256P.13</v>
          </cell>
        </row>
        <row r="1051">
          <cell r="K1051" t="str">
            <v>00021257P.11</v>
          </cell>
        </row>
        <row r="1052">
          <cell r="K1052" t="str">
            <v>00021238P.11</v>
          </cell>
        </row>
        <row r="1053">
          <cell r="K1053" t="str">
            <v>00021240P.11</v>
          </cell>
        </row>
        <row r="1054">
          <cell r="K1054" t="str">
            <v>00021210P.11</v>
          </cell>
        </row>
        <row r="1055">
          <cell r="K1055" t="str">
            <v>00021210P.11</v>
          </cell>
        </row>
        <row r="1056">
          <cell r="K1056" t="str">
            <v>00021210P.11</v>
          </cell>
        </row>
        <row r="1057">
          <cell r="K1057" t="str">
            <v>00021212P.11</v>
          </cell>
        </row>
        <row r="1058">
          <cell r="K1058" t="str">
            <v>00021217P.11</v>
          </cell>
        </row>
        <row r="1059">
          <cell r="K1059" t="str">
            <v>00021217P.11</v>
          </cell>
        </row>
        <row r="1060">
          <cell r="K1060" t="str">
            <v>00021217P.11</v>
          </cell>
        </row>
        <row r="1061">
          <cell r="K1061" t="str">
            <v>00021218P.11</v>
          </cell>
        </row>
        <row r="1062">
          <cell r="K1062" t="str">
            <v>00021220P.11</v>
          </cell>
        </row>
        <row r="1063">
          <cell r="K1063" t="str">
            <v>00021222P.11</v>
          </cell>
        </row>
        <row r="1064">
          <cell r="K1064" t="str">
            <v>00021223P.11</v>
          </cell>
        </row>
        <row r="1065">
          <cell r="K1065" t="str">
            <v>00021223P.11</v>
          </cell>
        </row>
        <row r="1066">
          <cell r="K1066" t="str">
            <v>00021224P.11</v>
          </cell>
        </row>
        <row r="1067">
          <cell r="K1067" t="str">
            <v>00021228P.11</v>
          </cell>
        </row>
        <row r="1068">
          <cell r="K1068" t="str">
            <v>00021228P.11</v>
          </cell>
        </row>
        <row r="1069">
          <cell r="K1069" t="str">
            <v>00021228P.11</v>
          </cell>
        </row>
        <row r="1070">
          <cell r="K1070" t="str">
            <v>00021229P.11</v>
          </cell>
        </row>
        <row r="1071">
          <cell r="K1071" t="str">
            <v>00021230P.11</v>
          </cell>
        </row>
        <row r="1072">
          <cell r="K1072" t="str">
            <v>00021230P.11</v>
          </cell>
        </row>
        <row r="1073">
          <cell r="K1073" t="str">
            <v>00021231P.11</v>
          </cell>
        </row>
        <row r="1074">
          <cell r="K1074" t="str">
            <v>00021232P.11</v>
          </cell>
        </row>
        <row r="1075">
          <cell r="K1075" t="str">
            <v>00021233P.11</v>
          </cell>
        </row>
        <row r="1076">
          <cell r="K1076" t="str">
            <v>00021234P.11</v>
          </cell>
        </row>
        <row r="1077">
          <cell r="K1077" t="str">
            <v>00021234P.11</v>
          </cell>
        </row>
        <row r="1078">
          <cell r="K1078" t="str">
            <v>00021236P.11</v>
          </cell>
        </row>
        <row r="1079">
          <cell r="K1079" t="str">
            <v>00021258P.11</v>
          </cell>
        </row>
        <row r="1080">
          <cell r="K1080" t="str">
            <v>00021253P.11</v>
          </cell>
        </row>
        <row r="1081">
          <cell r="K1081" t="str">
            <v>00021253P.11</v>
          </cell>
        </row>
        <row r="1082">
          <cell r="K1082" t="str">
            <v>00021259P.11</v>
          </cell>
        </row>
        <row r="1083">
          <cell r="K1083" t="str">
            <v>00021211P.11</v>
          </cell>
        </row>
        <row r="1084">
          <cell r="K1084" t="str">
            <v>00021229P.11</v>
          </cell>
        </row>
        <row r="1085">
          <cell r="K1085" t="str">
            <v>00021202P.11</v>
          </cell>
        </row>
        <row r="1086">
          <cell r="K1086" t="str">
            <v>00021202P.11</v>
          </cell>
        </row>
        <row r="1087">
          <cell r="K1087" t="str">
            <v>00021201P.11</v>
          </cell>
        </row>
        <row r="1088">
          <cell r="K1088" t="str">
            <v>00021217P.11</v>
          </cell>
        </row>
        <row r="1089">
          <cell r="K1089" t="str">
            <v>00021217P.11</v>
          </cell>
        </row>
        <row r="1090">
          <cell r="K1090" t="str">
            <v>00021246P.11</v>
          </cell>
        </row>
        <row r="1091">
          <cell r="K1091" t="str">
            <v>00021222P.11</v>
          </cell>
        </row>
        <row r="1092">
          <cell r="K1092" t="str">
            <v>00021245P.11</v>
          </cell>
        </row>
        <row r="1093">
          <cell r="K1093" t="str">
            <v>00021245P.11</v>
          </cell>
        </row>
        <row r="1094">
          <cell r="K1094" t="str">
            <v>00021245P.11</v>
          </cell>
        </row>
        <row r="1095">
          <cell r="K1095" t="str">
            <v>00021245P.11</v>
          </cell>
        </row>
        <row r="1096">
          <cell r="K1096" t="str">
            <v>00021245P.11</v>
          </cell>
        </row>
        <row r="1097">
          <cell r="K1097" t="str">
            <v>00021245P.11</v>
          </cell>
        </row>
        <row r="1098">
          <cell r="K1098" t="str">
            <v>00021250P.11</v>
          </cell>
        </row>
        <row r="1099">
          <cell r="K1099" t="str">
            <v>00021253P.11</v>
          </cell>
        </row>
        <row r="1100">
          <cell r="K1100" t="str">
            <v>00021253P.11</v>
          </cell>
        </row>
        <row r="1101">
          <cell r="K1101" t="str">
            <v>00021245P.11</v>
          </cell>
        </row>
        <row r="1102">
          <cell r="K1102" t="str">
            <v>00021245P.11</v>
          </cell>
        </row>
        <row r="1103">
          <cell r="K1103" t="str">
            <v>00021245P.11</v>
          </cell>
        </row>
        <row r="1104">
          <cell r="K1104" t="str">
            <v>00021245P.11</v>
          </cell>
        </row>
        <row r="1105">
          <cell r="K1105" t="str">
            <v>00021245P.11</v>
          </cell>
        </row>
        <row r="1106">
          <cell r="K1106" t="str">
            <v>00021245P.11</v>
          </cell>
        </row>
        <row r="1107">
          <cell r="K1107" t="str">
            <v>00021245P.11</v>
          </cell>
        </row>
        <row r="1108">
          <cell r="K1108" t="str">
            <v>00021250P.11</v>
          </cell>
        </row>
        <row r="1109">
          <cell r="K1109" t="str">
            <v>00111148P.2</v>
          </cell>
        </row>
        <row r="1110">
          <cell r="K1110" t="str">
            <v>00111148P.2</v>
          </cell>
        </row>
        <row r="1111">
          <cell r="K1111" t="str">
            <v>00111148P.2</v>
          </cell>
        </row>
        <row r="1112">
          <cell r="K1112" t="str">
            <v>00111148P.2</v>
          </cell>
        </row>
        <row r="1113">
          <cell r="K1113" t="str">
            <v>00111148P.2</v>
          </cell>
        </row>
        <row r="1114">
          <cell r="K1114" t="str">
            <v>00111148P.2</v>
          </cell>
        </row>
        <row r="1115">
          <cell r="K1115" t="str">
            <v>00111148P.2</v>
          </cell>
        </row>
        <row r="1116">
          <cell r="K1116" t="str">
            <v>00111148P.2</v>
          </cell>
        </row>
        <row r="1117">
          <cell r="K1117" t="str">
            <v>00111148P.2</v>
          </cell>
        </row>
        <row r="1118">
          <cell r="K1118" t="str">
            <v>00111148P.2</v>
          </cell>
        </row>
        <row r="1119">
          <cell r="K1119" t="str">
            <v>00111148P.2</v>
          </cell>
        </row>
        <row r="1120">
          <cell r="K1120" t="str">
            <v>00111143P.2</v>
          </cell>
        </row>
        <row r="1121">
          <cell r="K1121" t="str">
            <v>00111143P.2</v>
          </cell>
        </row>
        <row r="1122">
          <cell r="K1122" t="str">
            <v>00111143P.2</v>
          </cell>
        </row>
        <row r="1123">
          <cell r="K1123" t="str">
            <v>00111143P.2</v>
          </cell>
        </row>
        <row r="1124">
          <cell r="K1124" t="str">
            <v>00111143P.2</v>
          </cell>
        </row>
        <row r="1125">
          <cell r="K1125" t="str">
            <v>00111143P.2</v>
          </cell>
        </row>
        <row r="1126">
          <cell r="K1126" t="str">
            <v>00111143P.2</v>
          </cell>
        </row>
        <row r="1127">
          <cell r="K1127" t="str">
            <v>00111143P.2</v>
          </cell>
        </row>
        <row r="1128">
          <cell r="K1128" t="str">
            <v>00111143P.2</v>
          </cell>
        </row>
        <row r="1129">
          <cell r="K1129" t="str">
            <v>00111143P.2</v>
          </cell>
        </row>
        <row r="1130">
          <cell r="K1130" t="str">
            <v>00111143P.2</v>
          </cell>
        </row>
        <row r="1131">
          <cell r="K1131" t="str">
            <v>00111143P.2</v>
          </cell>
        </row>
        <row r="1132">
          <cell r="K1132" t="str">
            <v>00111143P.2</v>
          </cell>
        </row>
        <row r="1133">
          <cell r="K1133" t="str">
            <v>00111143P.2</v>
          </cell>
        </row>
        <row r="1134">
          <cell r="K1134" t="str">
            <v>00111143P.2</v>
          </cell>
        </row>
        <row r="1135">
          <cell r="K1135" t="str">
            <v>00111143P.2</v>
          </cell>
        </row>
        <row r="1136">
          <cell r="K1136" t="str">
            <v>00111143P.2</v>
          </cell>
        </row>
        <row r="1137">
          <cell r="K1137" t="str">
            <v>00111143P.2</v>
          </cell>
        </row>
        <row r="1138">
          <cell r="K1138" t="str">
            <v>00111143P.2</v>
          </cell>
        </row>
        <row r="1139">
          <cell r="K1139" t="str">
            <v>00111103P.2</v>
          </cell>
        </row>
        <row r="1140">
          <cell r="K1140" t="str">
            <v>00111103P.2</v>
          </cell>
        </row>
        <row r="1141">
          <cell r="K1141" t="str">
            <v>00111103P.2</v>
          </cell>
        </row>
        <row r="1142">
          <cell r="K1142" t="str">
            <v>00111103P.2</v>
          </cell>
        </row>
        <row r="1143">
          <cell r="K1143" t="str">
            <v>00111103P.2</v>
          </cell>
        </row>
        <row r="1144">
          <cell r="K1144" t="str">
            <v>00111103P.2</v>
          </cell>
        </row>
        <row r="1145">
          <cell r="K1145" t="str">
            <v>00111104P.2</v>
          </cell>
        </row>
        <row r="1146">
          <cell r="K1146" t="str">
            <v>00111104P.2</v>
          </cell>
        </row>
        <row r="1147">
          <cell r="K1147" t="str">
            <v>00111104P.2</v>
          </cell>
        </row>
        <row r="1148">
          <cell r="K1148" t="str">
            <v>00111105P.2</v>
          </cell>
        </row>
        <row r="1149">
          <cell r="K1149" t="str">
            <v>00111105P.2</v>
          </cell>
        </row>
        <row r="1150">
          <cell r="K1150" t="str">
            <v>00111138P.2</v>
          </cell>
        </row>
        <row r="1151">
          <cell r="K1151" t="str">
            <v>00111138P.2</v>
          </cell>
        </row>
        <row r="1152">
          <cell r="K1152" t="str">
            <v>00111138P.2</v>
          </cell>
        </row>
        <row r="1153">
          <cell r="K1153" t="str">
            <v>00111138P.2</v>
          </cell>
        </row>
        <row r="1154">
          <cell r="K1154" t="str">
            <v>00111138P.2</v>
          </cell>
        </row>
        <row r="1155">
          <cell r="K1155" t="str">
            <v>00111138P.2</v>
          </cell>
        </row>
        <row r="1156">
          <cell r="K1156" t="str">
            <v>00111138P.2</v>
          </cell>
        </row>
        <row r="1157">
          <cell r="K1157" t="str">
            <v>00111138P.2</v>
          </cell>
        </row>
        <row r="1158">
          <cell r="K1158" t="str">
            <v>00111138P.2</v>
          </cell>
        </row>
        <row r="1159">
          <cell r="K1159" t="str">
            <v>00111138P.2</v>
          </cell>
        </row>
        <row r="1160">
          <cell r="K1160" t="str">
            <v>00111138P.2</v>
          </cell>
        </row>
        <row r="1161">
          <cell r="K1161" t="str">
            <v>00111138P.2</v>
          </cell>
        </row>
        <row r="1162">
          <cell r="K1162" t="str">
            <v>00111138P.2</v>
          </cell>
        </row>
        <row r="1163">
          <cell r="K1163" t="str">
            <v>00111138P.2</v>
          </cell>
        </row>
        <row r="1164">
          <cell r="K1164" t="str">
            <v>00111138P.2</v>
          </cell>
        </row>
        <row r="1165">
          <cell r="K1165" t="str">
            <v>00111138P.2</v>
          </cell>
        </row>
        <row r="1166">
          <cell r="K1166" t="str">
            <v>00111138P.2</v>
          </cell>
        </row>
        <row r="1167">
          <cell r="K1167" t="str">
            <v>00111139P.2</v>
          </cell>
        </row>
        <row r="1168">
          <cell r="K1168" t="str">
            <v>00111139P.2</v>
          </cell>
        </row>
        <row r="1169">
          <cell r="K1169" t="str">
            <v>00111139P.2</v>
          </cell>
        </row>
        <row r="1170">
          <cell r="K1170" t="str">
            <v>00111158P.2</v>
          </cell>
        </row>
        <row r="1171">
          <cell r="K1171" t="str">
            <v>00111139P.2</v>
          </cell>
        </row>
        <row r="1172">
          <cell r="K1172" t="str">
            <v>00111139P.2</v>
          </cell>
        </row>
        <row r="1173">
          <cell r="K1173" t="str">
            <v>00111139P.2</v>
          </cell>
        </row>
        <row r="1174">
          <cell r="K1174" t="str">
            <v>00111139P.2</v>
          </cell>
        </row>
        <row r="1175">
          <cell r="K1175" t="str">
            <v>00111140P.2</v>
          </cell>
        </row>
        <row r="1176">
          <cell r="K1176" t="str">
            <v>00111140P.2</v>
          </cell>
        </row>
        <row r="1177">
          <cell r="K1177" t="str">
            <v>00111140P.2</v>
          </cell>
        </row>
        <row r="1178">
          <cell r="K1178" t="str">
            <v>00111140P.2</v>
          </cell>
        </row>
        <row r="1179">
          <cell r="K1179" t="str">
            <v>00111140P.2</v>
          </cell>
        </row>
        <row r="1180">
          <cell r="K1180" t="str">
            <v>00111140P.2</v>
          </cell>
        </row>
        <row r="1181">
          <cell r="K1181" t="str">
            <v>00111140P.2</v>
          </cell>
        </row>
        <row r="1182">
          <cell r="K1182" t="str">
            <v>00111140P.2</v>
          </cell>
        </row>
        <row r="1183">
          <cell r="K1183" t="str">
            <v>00111140P.2</v>
          </cell>
        </row>
        <row r="1184">
          <cell r="K1184" t="str">
            <v>00111140P.2</v>
          </cell>
        </row>
        <row r="1185">
          <cell r="K1185" t="str">
            <v>00111140P.2</v>
          </cell>
        </row>
        <row r="1186">
          <cell r="K1186" t="str">
            <v>00111140P.2</v>
          </cell>
        </row>
        <row r="1187">
          <cell r="K1187" t="str">
            <v>00111140P.2</v>
          </cell>
        </row>
        <row r="1188">
          <cell r="K1188" t="str">
            <v>00111140P.2</v>
          </cell>
        </row>
        <row r="1189">
          <cell r="K1189" t="str">
            <v>00111140P.2</v>
          </cell>
        </row>
        <row r="1190">
          <cell r="K1190" t="str">
            <v>00111140P.2</v>
          </cell>
        </row>
        <row r="1191">
          <cell r="K1191" t="str">
            <v>00111140P.2</v>
          </cell>
        </row>
        <row r="1192">
          <cell r="K1192" t="str">
            <v>00111158P.2</v>
          </cell>
        </row>
        <row r="1193">
          <cell r="K1193" t="str">
            <v>00111158P.2</v>
          </cell>
        </row>
        <row r="1194">
          <cell r="K1194" t="str">
            <v>00111158P.2</v>
          </cell>
        </row>
        <row r="1195">
          <cell r="K1195" t="str">
            <v>00111158P.2</v>
          </cell>
        </row>
        <row r="1196">
          <cell r="K1196" t="str">
            <v>00111158P.2</v>
          </cell>
        </row>
        <row r="1197">
          <cell r="K1197" t="str">
            <v>00111158P.2</v>
          </cell>
        </row>
        <row r="1198">
          <cell r="K1198" t="str">
            <v>00111158P.2</v>
          </cell>
        </row>
        <row r="1199">
          <cell r="K1199" t="str">
            <v>00111158P.2</v>
          </cell>
        </row>
        <row r="1200">
          <cell r="K1200" t="str">
            <v>00111158P.2</v>
          </cell>
        </row>
        <row r="1201">
          <cell r="K1201" t="str">
            <v>00111158P.2</v>
          </cell>
        </row>
        <row r="1202">
          <cell r="K1202" t="str">
            <v>00111158P.2</v>
          </cell>
        </row>
        <row r="1203">
          <cell r="K1203" t="str">
            <v>00111150P.2</v>
          </cell>
        </row>
        <row r="1204">
          <cell r="K1204" t="str">
            <v>00111150P.2</v>
          </cell>
        </row>
        <row r="1205">
          <cell r="K1205" t="str">
            <v>00111150P.2</v>
          </cell>
        </row>
        <row r="1206">
          <cell r="K1206" t="str">
            <v>00111150P.2</v>
          </cell>
        </row>
        <row r="1207">
          <cell r="K1207" t="str">
            <v>00111150P.2</v>
          </cell>
        </row>
        <row r="1208">
          <cell r="K1208" t="str">
            <v>00111150P.2</v>
          </cell>
        </row>
        <row r="1209">
          <cell r="K1209" t="str">
            <v>00111150P.2</v>
          </cell>
        </row>
        <row r="1210">
          <cell r="K1210" t="str">
            <v>00111150P.2</v>
          </cell>
        </row>
        <row r="1211">
          <cell r="K1211" t="str">
            <v>00111102P.2</v>
          </cell>
        </row>
        <row r="1212">
          <cell r="K1212" t="str">
            <v>00111102P.2</v>
          </cell>
        </row>
        <row r="1213">
          <cell r="K1213" t="str">
            <v>00111102P.2</v>
          </cell>
        </row>
        <row r="1214">
          <cell r="K1214" t="str">
            <v>00111102P.2</v>
          </cell>
        </row>
        <row r="1215">
          <cell r="K1215" t="str">
            <v>00111102P.2</v>
          </cell>
        </row>
        <row r="1216">
          <cell r="K1216" t="str">
            <v>00111102P.2</v>
          </cell>
        </row>
        <row r="1217">
          <cell r="K1217" t="str">
            <v>00111102P.2</v>
          </cell>
        </row>
        <row r="1218">
          <cell r="K1218" t="str">
            <v>00111102P.2</v>
          </cell>
        </row>
        <row r="1219">
          <cell r="K1219" t="str">
            <v>00111102P.2</v>
          </cell>
        </row>
        <row r="1220">
          <cell r="K1220" t="str">
            <v>00111102P.2</v>
          </cell>
        </row>
        <row r="1221">
          <cell r="K1221" t="str">
            <v>00111102P.2</v>
          </cell>
        </row>
        <row r="1222">
          <cell r="K1222" t="str">
            <v>00111102P.2</v>
          </cell>
        </row>
        <row r="1223">
          <cell r="K1223" t="str">
            <v>00111102P.2</v>
          </cell>
        </row>
        <row r="1224">
          <cell r="K1224" t="str">
            <v>00111102P.2</v>
          </cell>
        </row>
        <row r="1225">
          <cell r="K1225" t="str">
            <v>00111102P.2</v>
          </cell>
        </row>
        <row r="1226">
          <cell r="K1226" t="str">
            <v>00111102P.2</v>
          </cell>
        </row>
        <row r="1227">
          <cell r="K1227" t="str">
            <v>00111102P.2</v>
          </cell>
        </row>
        <row r="1228">
          <cell r="K1228" t="str">
            <v>00111102P.2</v>
          </cell>
        </row>
        <row r="1229">
          <cell r="K1229" t="str">
            <v>00111102P.2</v>
          </cell>
        </row>
        <row r="1230">
          <cell r="K1230" t="str">
            <v>00111102P.2</v>
          </cell>
        </row>
        <row r="1231">
          <cell r="K1231" t="str">
            <v>00111102P.2</v>
          </cell>
        </row>
        <row r="1232">
          <cell r="K1232" t="str">
            <v>00111102P.2</v>
          </cell>
        </row>
        <row r="1233">
          <cell r="K1233" t="str">
            <v>00111102P.2</v>
          </cell>
        </row>
        <row r="1234">
          <cell r="K1234" t="str">
            <v>00111102P.2</v>
          </cell>
        </row>
        <row r="1235">
          <cell r="K1235" t="str">
            <v>00111102P.2</v>
          </cell>
        </row>
        <row r="1236">
          <cell r="K1236" t="str">
            <v>00111102P.2</v>
          </cell>
        </row>
        <row r="1237">
          <cell r="K1237" t="str">
            <v>00111102P.2</v>
          </cell>
        </row>
        <row r="1238">
          <cell r="K1238" t="str">
            <v>00111102P.2</v>
          </cell>
        </row>
        <row r="1239">
          <cell r="K1239" t="str">
            <v>00111102P.2</v>
          </cell>
        </row>
        <row r="1240">
          <cell r="K1240" t="str">
            <v>00111152P.2</v>
          </cell>
        </row>
        <row r="1241">
          <cell r="K1241" t="str">
            <v>00111152P.2</v>
          </cell>
        </row>
        <row r="1242">
          <cell r="K1242" t="str">
            <v>00111152P.2</v>
          </cell>
        </row>
        <row r="1243">
          <cell r="K1243" t="str">
            <v>00111143P.2</v>
          </cell>
        </row>
        <row r="1244">
          <cell r="K1244" t="str">
            <v>00111143P.2</v>
          </cell>
        </row>
        <row r="1245">
          <cell r="K1245" t="str">
            <v>00111123P.2</v>
          </cell>
        </row>
        <row r="1246">
          <cell r="K1246" t="str">
            <v>00111123P.2</v>
          </cell>
        </row>
        <row r="1247">
          <cell r="K1247" t="str">
            <v>00111123P.2</v>
          </cell>
        </row>
        <row r="1248">
          <cell r="K1248" t="str">
            <v>00111123P.2</v>
          </cell>
        </row>
        <row r="1249">
          <cell r="K1249" t="str">
            <v>00111135P.2</v>
          </cell>
        </row>
        <row r="1250">
          <cell r="K1250" t="str">
            <v>00111135P.2</v>
          </cell>
        </row>
        <row r="1251">
          <cell r="K1251" t="str">
            <v>00111135P.2</v>
          </cell>
        </row>
        <row r="1252">
          <cell r="K1252" t="str">
            <v>00111135P.2</v>
          </cell>
        </row>
        <row r="1253">
          <cell r="K1253" t="str">
            <v>00111135P.2</v>
          </cell>
        </row>
        <row r="1254">
          <cell r="K1254" t="str">
            <v>00111136P.2</v>
          </cell>
        </row>
        <row r="1255">
          <cell r="K1255" t="str">
            <v>00111136P.2</v>
          </cell>
        </row>
        <row r="1256">
          <cell r="K1256" t="str">
            <v>00111136P.2</v>
          </cell>
        </row>
        <row r="1257">
          <cell r="K1257" t="str">
            <v>00111128P.2</v>
          </cell>
        </row>
        <row r="1258">
          <cell r="K1258" t="str">
            <v>00111153P.2</v>
          </cell>
        </row>
        <row r="1259">
          <cell r="K1259" t="str">
            <v>00111153P.2</v>
          </cell>
        </row>
        <row r="1260">
          <cell r="K1260" t="str">
            <v>00111153P.2</v>
          </cell>
        </row>
        <row r="1261">
          <cell r="K1261" t="str">
            <v>00111153P.2</v>
          </cell>
        </row>
        <row r="1262">
          <cell r="K1262" t="str">
            <v>00111153P.2</v>
          </cell>
        </row>
        <row r="1263">
          <cell r="K1263" t="str">
            <v>00111153P.2</v>
          </cell>
        </row>
        <row r="1264">
          <cell r="K1264" t="str">
            <v>00111153P.2</v>
          </cell>
        </row>
        <row r="1265">
          <cell r="K1265" t="str">
            <v>00111123P.2</v>
          </cell>
        </row>
        <row r="1266">
          <cell r="K1266" t="str">
            <v>00111110P.2</v>
          </cell>
        </row>
        <row r="1267">
          <cell r="K1267" t="str">
            <v>00111110P.2</v>
          </cell>
        </row>
        <row r="1268">
          <cell r="K1268" t="str">
            <v>00111110P.2</v>
          </cell>
        </row>
        <row r="1269">
          <cell r="K1269" t="str">
            <v>00111110P.2</v>
          </cell>
        </row>
        <row r="1270">
          <cell r="K1270" t="str">
            <v>00111110P.2</v>
          </cell>
        </row>
        <row r="1271">
          <cell r="K1271" t="str">
            <v>00111110P.2</v>
          </cell>
        </row>
        <row r="1272">
          <cell r="K1272" t="str">
            <v>00111110P.2</v>
          </cell>
        </row>
        <row r="1273">
          <cell r="K1273" t="str">
            <v>00111110P.2</v>
          </cell>
        </row>
        <row r="1274">
          <cell r="K1274" t="str">
            <v>00111118P.2</v>
          </cell>
        </row>
        <row r="1275">
          <cell r="K1275" t="str">
            <v>00111118P.2</v>
          </cell>
        </row>
        <row r="1276">
          <cell r="K1276" t="str">
            <v>00111126P.2</v>
          </cell>
        </row>
        <row r="1277">
          <cell r="K1277" t="str">
            <v>00111126P.2</v>
          </cell>
        </row>
        <row r="1278">
          <cell r="K1278" t="str">
            <v>00111126P.2</v>
          </cell>
        </row>
        <row r="1279">
          <cell r="K1279" t="str">
            <v>00111126P.2</v>
          </cell>
        </row>
        <row r="1280">
          <cell r="K1280" t="str">
            <v>00111126P.2</v>
          </cell>
        </row>
        <row r="1281">
          <cell r="K1281" t="str">
            <v>00111126P.2</v>
          </cell>
        </row>
        <row r="1282">
          <cell r="K1282" t="str">
            <v>00111126P.2</v>
          </cell>
        </row>
        <row r="1283">
          <cell r="K1283" t="str">
            <v>00111126P.2</v>
          </cell>
        </row>
        <row r="1284">
          <cell r="K1284" t="str">
            <v>00111134P.2</v>
          </cell>
        </row>
        <row r="1285">
          <cell r="K1285" t="str">
            <v>00111134P.2</v>
          </cell>
        </row>
        <row r="1286">
          <cell r="K1286" t="str">
            <v>00111134P.2</v>
          </cell>
        </row>
        <row r="1287">
          <cell r="K1287" t="str">
            <v>00111134P.2</v>
          </cell>
        </row>
        <row r="1288">
          <cell r="K1288" t="str">
            <v>00111134P.2</v>
          </cell>
        </row>
        <row r="1289">
          <cell r="K1289" t="str">
            <v>00111134P.2</v>
          </cell>
        </row>
        <row r="1290">
          <cell r="K1290" t="str">
            <v>00111134P.2</v>
          </cell>
        </row>
        <row r="1291">
          <cell r="K1291" t="str">
            <v>00111134P.2</v>
          </cell>
        </row>
        <row r="1292">
          <cell r="K1292" t="str">
            <v>00111134P.2</v>
          </cell>
        </row>
        <row r="1293">
          <cell r="K1293" t="str">
            <v>00111134P.2</v>
          </cell>
        </row>
        <row r="1294">
          <cell r="K1294" t="str">
            <v>00111143P.2</v>
          </cell>
        </row>
        <row r="1295">
          <cell r="K1295" t="str">
            <v>00111143P.2</v>
          </cell>
        </row>
        <row r="1296">
          <cell r="K1296" t="str">
            <v>00111143P.2</v>
          </cell>
        </row>
        <row r="1297">
          <cell r="K1297" t="str">
            <v>00111145P.2</v>
          </cell>
        </row>
        <row r="1298">
          <cell r="K1298" t="str">
            <v>00111145P.2</v>
          </cell>
        </row>
        <row r="1299">
          <cell r="K1299" t="str">
            <v>00111145P.2</v>
          </cell>
        </row>
        <row r="1300">
          <cell r="K1300" t="str">
            <v>00111145P.2</v>
          </cell>
        </row>
        <row r="1301">
          <cell r="K1301" t="str">
            <v>00111145P.2</v>
          </cell>
        </row>
        <row r="1302">
          <cell r="K1302" t="str">
            <v>00111145P.2</v>
          </cell>
        </row>
        <row r="1303">
          <cell r="K1303" t="str">
            <v>00111145P.2</v>
          </cell>
        </row>
        <row r="1304">
          <cell r="K1304" t="str">
            <v>00111145P.2</v>
          </cell>
        </row>
        <row r="1305">
          <cell r="K1305" t="str">
            <v>00111145P.2</v>
          </cell>
        </row>
        <row r="1306">
          <cell r="K1306" t="str">
            <v>00111145P.2</v>
          </cell>
        </row>
        <row r="1307">
          <cell r="K1307" t="str">
            <v>00111145P.2</v>
          </cell>
        </row>
        <row r="1308">
          <cell r="K1308" t="str">
            <v>00111145P.2</v>
          </cell>
        </row>
        <row r="1309">
          <cell r="K1309" t="str">
            <v>00111145P.2</v>
          </cell>
        </row>
        <row r="1310">
          <cell r="K1310" t="str">
            <v>00111145P.2</v>
          </cell>
        </row>
        <row r="1311">
          <cell r="K1311" t="str">
            <v>00111145P.2</v>
          </cell>
        </row>
        <row r="1312">
          <cell r="K1312" t="str">
            <v>00111145P.2</v>
          </cell>
        </row>
        <row r="1313">
          <cell r="K1313" t="str">
            <v>00111145P.2</v>
          </cell>
        </row>
        <row r="1314">
          <cell r="K1314" t="str">
            <v>00111145P.2</v>
          </cell>
        </row>
        <row r="1315">
          <cell r="K1315" t="str">
            <v>00111145P.2</v>
          </cell>
        </row>
        <row r="1316">
          <cell r="K1316" t="str">
            <v>00111148P.2</v>
          </cell>
        </row>
        <row r="1317">
          <cell r="K1317" t="str">
            <v>00111148P.2</v>
          </cell>
        </row>
        <row r="1318">
          <cell r="K1318" t="str">
            <v>00111148P.2</v>
          </cell>
        </row>
        <row r="1319">
          <cell r="K1319" t="str">
            <v>00111148P.2</v>
          </cell>
        </row>
        <row r="1320">
          <cell r="K1320" t="str">
            <v>00111149P.2</v>
          </cell>
        </row>
        <row r="1321">
          <cell r="K1321" t="str">
            <v>00111149P.2</v>
          </cell>
        </row>
        <row r="1322">
          <cell r="K1322" t="str">
            <v>00111149P.2</v>
          </cell>
        </row>
        <row r="1323">
          <cell r="K1323" t="str">
            <v>00111150P.2</v>
          </cell>
        </row>
        <row r="1324">
          <cell r="K1324" t="str">
            <v>00111150P.2</v>
          </cell>
        </row>
        <row r="1325">
          <cell r="K1325" t="str">
            <v>00111150P.2</v>
          </cell>
        </row>
        <row r="1326">
          <cell r="K1326" t="str">
            <v>00111150P.2</v>
          </cell>
        </row>
        <row r="1327">
          <cell r="K1327" t="str">
            <v>00111150P.2</v>
          </cell>
        </row>
        <row r="1328">
          <cell r="K1328" t="str">
            <v>00111150P.2</v>
          </cell>
        </row>
        <row r="1329">
          <cell r="K1329" t="str">
            <v>00111150P.2</v>
          </cell>
        </row>
        <row r="1330">
          <cell r="K1330" t="str">
            <v>00111150P.2</v>
          </cell>
        </row>
        <row r="1331">
          <cell r="K1331" t="str">
            <v>00111150P.2</v>
          </cell>
        </row>
        <row r="1332">
          <cell r="K1332" t="str">
            <v>00111150P.2</v>
          </cell>
        </row>
        <row r="1333">
          <cell r="K1333" t="str">
            <v>00111150P.2</v>
          </cell>
        </row>
        <row r="1334">
          <cell r="K1334" t="str">
            <v>00111150P.2</v>
          </cell>
        </row>
        <row r="1335">
          <cell r="K1335" t="str">
            <v>00111157P.2</v>
          </cell>
        </row>
        <row r="1336">
          <cell r="K1336" t="str">
            <v>00111157P.2</v>
          </cell>
        </row>
        <row r="1337">
          <cell r="K1337" t="str">
            <v>00111157P.2</v>
          </cell>
        </row>
        <row r="1338">
          <cell r="K1338" t="str">
            <v>00111157P.2</v>
          </cell>
        </row>
        <row r="1339">
          <cell r="K1339" t="str">
            <v>00111157P.2</v>
          </cell>
        </row>
        <row r="1340">
          <cell r="K1340" t="str">
            <v>00111157P.2</v>
          </cell>
        </row>
        <row r="1341">
          <cell r="K1341" t="str">
            <v>00111157P.2</v>
          </cell>
        </row>
        <row r="1342">
          <cell r="K1342" t="str">
            <v>00111157P.2</v>
          </cell>
        </row>
        <row r="1343">
          <cell r="K1343" t="str">
            <v>00111157P.2</v>
          </cell>
        </row>
        <row r="1344">
          <cell r="K1344" t="str">
            <v>00111157P.2</v>
          </cell>
        </row>
        <row r="1345">
          <cell r="K1345" t="str">
            <v>00111159P.2</v>
          </cell>
        </row>
        <row r="1346">
          <cell r="K1346" t="str">
            <v>00111159P.2</v>
          </cell>
        </row>
        <row r="1347">
          <cell r="K1347" t="str">
            <v>00111159P.2</v>
          </cell>
        </row>
        <row r="1348">
          <cell r="K1348" t="str">
            <v>00111159P.2</v>
          </cell>
        </row>
        <row r="1349">
          <cell r="K1349" t="str">
            <v>00111159P.2</v>
          </cell>
        </row>
        <row r="1350">
          <cell r="K1350" t="str">
            <v>00111159P.2</v>
          </cell>
        </row>
        <row r="1351">
          <cell r="K1351" t="str">
            <v>00111159P.2</v>
          </cell>
        </row>
        <row r="1352">
          <cell r="K1352" t="str">
            <v>00111159P.2</v>
          </cell>
        </row>
        <row r="1353">
          <cell r="K1353" t="str">
            <v>00111159P.2</v>
          </cell>
        </row>
        <row r="1354">
          <cell r="K1354" t="str">
            <v>00111159P.2</v>
          </cell>
        </row>
        <row r="1355">
          <cell r="K1355" t="str">
            <v>00111159P.2</v>
          </cell>
        </row>
        <row r="1356">
          <cell r="K1356" t="str">
            <v>00111159P.2</v>
          </cell>
        </row>
        <row r="1357">
          <cell r="K1357" t="str">
            <v>00111107P.2</v>
          </cell>
        </row>
        <row r="1358">
          <cell r="K1358" t="str">
            <v>00111107P.2</v>
          </cell>
        </row>
        <row r="1359">
          <cell r="K1359" t="str">
            <v>00111107P.2</v>
          </cell>
        </row>
        <row r="1360">
          <cell r="K1360" t="str">
            <v>00111144P.2</v>
          </cell>
        </row>
        <row r="1361">
          <cell r="K1361" t="str">
            <v>00111144P.2</v>
          </cell>
        </row>
        <row r="1362">
          <cell r="K1362" t="str">
            <v>00111144P.2</v>
          </cell>
        </row>
        <row r="1363">
          <cell r="K1363" t="str">
            <v>00111144P.2</v>
          </cell>
        </row>
        <row r="1364">
          <cell r="K1364" t="str">
            <v>00111144P.2</v>
          </cell>
        </row>
        <row r="1365">
          <cell r="K1365" t="str">
            <v>00111144P.2</v>
          </cell>
        </row>
        <row r="1366">
          <cell r="K1366" t="str">
            <v>00111144P.2</v>
          </cell>
        </row>
        <row r="1367">
          <cell r="K1367" t="str">
            <v>00111144P.2</v>
          </cell>
        </row>
        <row r="1368">
          <cell r="K1368" t="str">
            <v>00111126P.2</v>
          </cell>
        </row>
        <row r="1369">
          <cell r="K1369" t="str">
            <v>00111126P.2</v>
          </cell>
        </row>
        <row r="1370">
          <cell r="K1370" t="str">
            <v>00111126P.2</v>
          </cell>
        </row>
        <row r="1371">
          <cell r="K1371" t="str">
            <v>00111126P.2</v>
          </cell>
        </row>
        <row r="1372">
          <cell r="K1372" t="str">
            <v>00111126P.2</v>
          </cell>
        </row>
        <row r="1373">
          <cell r="K1373" t="str">
            <v>00111126P.2</v>
          </cell>
        </row>
        <row r="1374">
          <cell r="K1374" t="str">
            <v>00111160P.2</v>
          </cell>
        </row>
        <row r="1375">
          <cell r="K1375" t="str">
            <v>00111160P.2</v>
          </cell>
        </row>
        <row r="1376">
          <cell r="K1376" t="str">
            <v>00111160P.2</v>
          </cell>
        </row>
        <row r="1377">
          <cell r="K1377" t="str">
            <v>00111160P.2</v>
          </cell>
        </row>
        <row r="1378">
          <cell r="K1378" t="str">
            <v>00111160P.2</v>
          </cell>
        </row>
        <row r="1379">
          <cell r="K1379" t="str">
            <v>00111160P.2</v>
          </cell>
        </row>
        <row r="1380">
          <cell r="K1380" t="str">
            <v>00111160P.2</v>
          </cell>
        </row>
        <row r="1381">
          <cell r="K1381" t="str">
            <v>00111160P.2</v>
          </cell>
        </row>
        <row r="1382">
          <cell r="K1382" t="str">
            <v>00111160P.2</v>
          </cell>
        </row>
        <row r="1383">
          <cell r="K1383" t="str">
            <v>00111160P.2</v>
          </cell>
        </row>
        <row r="1384">
          <cell r="K1384" t="str">
            <v>00111160P.2</v>
          </cell>
        </row>
        <row r="1385">
          <cell r="K1385" t="str">
            <v>00111160P.2</v>
          </cell>
        </row>
        <row r="1386">
          <cell r="K1386" t="str">
            <v>00111160P.2</v>
          </cell>
        </row>
        <row r="1387">
          <cell r="K1387" t="str">
            <v>00111160P.2</v>
          </cell>
        </row>
        <row r="1388">
          <cell r="K1388" t="str">
            <v>00111160P.2</v>
          </cell>
        </row>
        <row r="1389">
          <cell r="K1389" t="str">
            <v>00111160P.2</v>
          </cell>
        </row>
        <row r="1390">
          <cell r="K1390" t="str">
            <v>00111159P.2</v>
          </cell>
        </row>
        <row r="1391">
          <cell r="K1391" t="str">
            <v>00111159P.2</v>
          </cell>
        </row>
        <row r="1392">
          <cell r="K1392" t="str">
            <v>00111159P.2</v>
          </cell>
        </row>
        <row r="1393">
          <cell r="K1393" t="str">
            <v>00111159P.2</v>
          </cell>
        </row>
        <row r="1394">
          <cell r="K1394" t="str">
            <v>00111159P.2</v>
          </cell>
        </row>
        <row r="1395">
          <cell r="K1395" t="str">
            <v>00111111P.2</v>
          </cell>
        </row>
        <row r="1396">
          <cell r="K1396" t="str">
            <v>00111120P.2</v>
          </cell>
        </row>
        <row r="1397">
          <cell r="K1397" t="str">
            <v>00111123P.2</v>
          </cell>
        </row>
        <row r="1398">
          <cell r="K1398" t="str">
            <v>00111125P.2</v>
          </cell>
        </row>
        <row r="1399">
          <cell r="K1399" t="str">
            <v>00111111P.2</v>
          </cell>
        </row>
        <row r="1400">
          <cell r="K1400" t="str">
            <v>00111111P.2</v>
          </cell>
        </row>
        <row r="1401">
          <cell r="K1401" t="str">
            <v>00111111P.2</v>
          </cell>
        </row>
        <row r="1402">
          <cell r="K1402" t="str">
            <v>00111113P.2</v>
          </cell>
        </row>
        <row r="1403">
          <cell r="K1403" t="str">
            <v>00111114P.2</v>
          </cell>
        </row>
        <row r="1404">
          <cell r="K1404" t="str">
            <v>00111116P.2</v>
          </cell>
        </row>
        <row r="1405">
          <cell r="K1405" t="str">
            <v>00111118P.2</v>
          </cell>
        </row>
        <row r="1406">
          <cell r="K1406" t="str">
            <v>00111118P.2</v>
          </cell>
        </row>
        <row r="1407">
          <cell r="K1407" t="str">
            <v>00111118P.2</v>
          </cell>
        </row>
        <row r="1408">
          <cell r="K1408" t="str">
            <v>00111119P.2</v>
          </cell>
        </row>
        <row r="1409">
          <cell r="K1409" t="str">
            <v>00111119P.2</v>
          </cell>
        </row>
        <row r="1410">
          <cell r="K1410" t="str">
            <v>00111119P.2</v>
          </cell>
        </row>
        <row r="1411">
          <cell r="K1411" t="str">
            <v>00111119P.2</v>
          </cell>
        </row>
        <row r="1412">
          <cell r="K1412" t="str">
            <v>00111129P.2</v>
          </cell>
        </row>
        <row r="1413">
          <cell r="K1413" t="str">
            <v>00111130P.2</v>
          </cell>
        </row>
        <row r="1414">
          <cell r="K1414" t="str">
            <v>00111134P.2</v>
          </cell>
        </row>
        <row r="1415">
          <cell r="K1415" t="str">
            <v>00111136P.2</v>
          </cell>
        </row>
        <row r="1416">
          <cell r="K1416" t="str">
            <v>00111110P.2</v>
          </cell>
        </row>
        <row r="1417">
          <cell r="K1417" t="str">
            <v>00111110P.2</v>
          </cell>
        </row>
        <row r="1418">
          <cell r="K1418" t="str">
            <v>00111113P.2</v>
          </cell>
        </row>
        <row r="1419">
          <cell r="K1419" t="str">
            <v>00111118P.2</v>
          </cell>
        </row>
        <row r="1420">
          <cell r="K1420" t="str">
            <v>00111124P.2</v>
          </cell>
        </row>
        <row r="1421">
          <cell r="K1421" t="str">
            <v>00111127P.2</v>
          </cell>
        </row>
        <row r="1422">
          <cell r="K1422" t="str">
            <v>00111110P.2</v>
          </cell>
        </row>
        <row r="1423">
          <cell r="K1423" t="str">
            <v>00111111P.2</v>
          </cell>
        </row>
        <row r="1424">
          <cell r="K1424" t="str">
            <v>00111115P.2</v>
          </cell>
        </row>
        <row r="1425">
          <cell r="K1425" t="str">
            <v>00111116P.2</v>
          </cell>
        </row>
        <row r="1426">
          <cell r="K1426" t="str">
            <v>00111116P.2</v>
          </cell>
        </row>
        <row r="1427">
          <cell r="K1427" t="str">
            <v>00111116P.2</v>
          </cell>
        </row>
        <row r="1428">
          <cell r="K1428" t="str">
            <v>00111119P.2</v>
          </cell>
        </row>
        <row r="1429">
          <cell r="K1429" t="str">
            <v>00111120P.2</v>
          </cell>
        </row>
        <row r="1430">
          <cell r="K1430" t="str">
            <v>00111120P.2</v>
          </cell>
        </row>
        <row r="1431">
          <cell r="K1431" t="str">
            <v>00111124P.2</v>
          </cell>
        </row>
        <row r="1432">
          <cell r="K1432" t="str">
            <v>00111125P.2</v>
          </cell>
        </row>
        <row r="1433">
          <cell r="K1433" t="str">
            <v>00111126P.2</v>
          </cell>
        </row>
        <row r="1434">
          <cell r="K1434" t="str">
            <v>00111126P.2</v>
          </cell>
        </row>
        <row r="1435">
          <cell r="K1435" t="str">
            <v>00111127P.2</v>
          </cell>
        </row>
        <row r="1436">
          <cell r="K1436" t="str">
            <v>00111127P.2</v>
          </cell>
        </row>
        <row r="1437">
          <cell r="K1437" t="str">
            <v>00111129P.2</v>
          </cell>
        </row>
        <row r="1438">
          <cell r="K1438" t="str">
            <v>00111129P.2</v>
          </cell>
        </row>
        <row r="1439">
          <cell r="K1439" t="str">
            <v>00111129P.2</v>
          </cell>
        </row>
        <row r="1440">
          <cell r="K1440" t="str">
            <v>00111131P.2</v>
          </cell>
        </row>
        <row r="1441">
          <cell r="K1441" t="str">
            <v>00111132P.2</v>
          </cell>
        </row>
        <row r="1442">
          <cell r="K1442" t="str">
            <v>00111133P.2</v>
          </cell>
        </row>
        <row r="1443">
          <cell r="K1443" t="str">
            <v>00111136P.2</v>
          </cell>
        </row>
        <row r="1444">
          <cell r="K1444" t="str">
            <v>00111121P.2</v>
          </cell>
        </row>
        <row r="1445">
          <cell r="K1445" t="str">
            <v>00111121P.2</v>
          </cell>
        </row>
        <row r="1446">
          <cell r="K1446" t="str">
            <v>00111133P.2</v>
          </cell>
        </row>
        <row r="1447">
          <cell r="K1447" t="str">
            <v>00111133P.2</v>
          </cell>
        </row>
        <row r="1448">
          <cell r="K1448" t="str">
            <v>00111110P.2</v>
          </cell>
        </row>
        <row r="1449">
          <cell r="K1449" t="str">
            <v>00111112P.2</v>
          </cell>
        </row>
        <row r="1450">
          <cell r="K1450" t="str">
            <v>00111113P.2</v>
          </cell>
        </row>
        <row r="1451">
          <cell r="K1451" t="str">
            <v>00111115P.2</v>
          </cell>
        </row>
        <row r="1452">
          <cell r="K1452" t="str">
            <v>00111115P.2</v>
          </cell>
        </row>
        <row r="1453">
          <cell r="K1453" t="str">
            <v>00111119P.2</v>
          </cell>
        </row>
        <row r="1454">
          <cell r="K1454" t="str">
            <v>00111122P.2</v>
          </cell>
        </row>
        <row r="1455">
          <cell r="K1455" t="str">
            <v>00111122P.2</v>
          </cell>
        </row>
        <row r="1456">
          <cell r="K1456" t="str">
            <v>00111128P.2</v>
          </cell>
        </row>
        <row r="1457">
          <cell r="K1457" t="str">
            <v>00111136P.2</v>
          </cell>
        </row>
        <row r="1458">
          <cell r="K1458" t="str">
            <v>00111130P.2</v>
          </cell>
        </row>
        <row r="1459">
          <cell r="K1459" t="str">
            <v>00111131P.2</v>
          </cell>
        </row>
        <row r="1460">
          <cell r="K1460" t="str">
            <v>00111135P.2</v>
          </cell>
        </row>
        <row r="1461">
          <cell r="K1461" t="str">
            <v>00111111P.2</v>
          </cell>
        </row>
        <row r="1462">
          <cell r="K1462" t="str">
            <v>00111112P.2</v>
          </cell>
        </row>
        <row r="1463">
          <cell r="K1463" t="str">
            <v>00111112P.2</v>
          </cell>
        </row>
        <row r="1464">
          <cell r="K1464" t="str">
            <v>00111115P.2</v>
          </cell>
        </row>
        <row r="1465">
          <cell r="K1465" t="str">
            <v>00111119P.2</v>
          </cell>
        </row>
        <row r="1466">
          <cell r="K1466" t="str">
            <v>00111120P.2</v>
          </cell>
        </row>
        <row r="1467">
          <cell r="K1467" t="str">
            <v>00111124P.2</v>
          </cell>
        </row>
        <row r="1468">
          <cell r="K1468" t="str">
            <v>00111124P.2</v>
          </cell>
        </row>
        <row r="1469">
          <cell r="K1469" t="str">
            <v>00111124P.2</v>
          </cell>
        </row>
        <row r="1470">
          <cell r="K1470" t="str">
            <v>00111129P.2</v>
          </cell>
        </row>
        <row r="1471">
          <cell r="K1471" t="str">
            <v>00111133P.2</v>
          </cell>
        </row>
        <row r="1472">
          <cell r="K1472" t="str">
            <v>00111134P.2</v>
          </cell>
        </row>
        <row r="1473">
          <cell r="K1473" t="str">
            <v>00111134P.2</v>
          </cell>
        </row>
        <row r="1474">
          <cell r="K1474" t="str">
            <v>00111121P.2</v>
          </cell>
        </row>
        <row r="1475">
          <cell r="K1475" t="str">
            <v>00111123P.2</v>
          </cell>
        </row>
        <row r="1476">
          <cell r="K1476" t="str">
            <v>00111123P.2</v>
          </cell>
        </row>
        <row r="1477">
          <cell r="K1477" t="str">
            <v>00111128P.2</v>
          </cell>
        </row>
        <row r="1478">
          <cell r="K1478" t="str">
            <v>00111131P.2</v>
          </cell>
        </row>
        <row r="1479">
          <cell r="K1479" t="str">
            <v>00111120P.2</v>
          </cell>
        </row>
        <row r="1480">
          <cell r="K1480" t="str">
            <v>00111120P.2</v>
          </cell>
        </row>
        <row r="1481">
          <cell r="K1481" t="str">
            <v>00111121P.2</v>
          </cell>
        </row>
        <row r="1482">
          <cell r="K1482" t="str">
            <v>00111124P.2</v>
          </cell>
        </row>
        <row r="1483">
          <cell r="K1483" t="str">
            <v>00111125P.2</v>
          </cell>
        </row>
        <row r="1484">
          <cell r="K1484" t="str">
            <v>00111128P.2</v>
          </cell>
        </row>
        <row r="1485">
          <cell r="K1485" t="str">
            <v>00111128P.2</v>
          </cell>
        </row>
        <row r="1486">
          <cell r="K1486" t="str">
            <v>00111129P.2</v>
          </cell>
        </row>
        <row r="1487">
          <cell r="K1487" t="str">
            <v>00111129P.2</v>
          </cell>
        </row>
        <row r="1488">
          <cell r="K1488" t="str">
            <v>00111134P.2</v>
          </cell>
        </row>
        <row r="1489">
          <cell r="K1489" t="str">
            <v>00111111P.2</v>
          </cell>
        </row>
        <row r="1490">
          <cell r="K1490" t="str">
            <v>00111113P.2</v>
          </cell>
        </row>
        <row r="1491">
          <cell r="K1491" t="str">
            <v>00111113P.2</v>
          </cell>
        </row>
        <row r="1492">
          <cell r="K1492" t="str">
            <v>00111120P.2</v>
          </cell>
        </row>
        <row r="1493">
          <cell r="K1493" t="str">
            <v>00111122P.2</v>
          </cell>
        </row>
        <row r="1494">
          <cell r="K1494" t="str">
            <v>00111128P.2</v>
          </cell>
        </row>
        <row r="1495">
          <cell r="K1495" t="str">
            <v>00111129P.2</v>
          </cell>
        </row>
        <row r="1496">
          <cell r="K1496" t="str">
            <v>00111130P.2</v>
          </cell>
        </row>
        <row r="1497">
          <cell r="K1497" t="str">
            <v>00111136P.2</v>
          </cell>
        </row>
        <row r="1498">
          <cell r="K1498" t="str">
            <v>00111118P.2</v>
          </cell>
        </row>
        <row r="1499">
          <cell r="K1499" t="str">
            <v>00111114P.2</v>
          </cell>
        </row>
        <row r="1500">
          <cell r="K1500" t="str">
            <v>00111115P.2</v>
          </cell>
        </row>
        <row r="1501">
          <cell r="K1501" t="str">
            <v>00111124P.2</v>
          </cell>
        </row>
        <row r="1502">
          <cell r="K1502" t="str">
            <v>00111126P.2</v>
          </cell>
        </row>
        <row r="1503">
          <cell r="K1503" t="str">
            <v>00111131P.2</v>
          </cell>
        </row>
        <row r="1504">
          <cell r="K1504" t="str">
            <v>00111110P.2</v>
          </cell>
        </row>
        <row r="1505">
          <cell r="K1505" t="str">
            <v>00111114P.2</v>
          </cell>
        </row>
        <row r="1506">
          <cell r="K1506" t="str">
            <v>00111115P.2</v>
          </cell>
        </row>
        <row r="1507">
          <cell r="K1507" t="str">
            <v>00111118P.2</v>
          </cell>
        </row>
        <row r="1508">
          <cell r="K1508" t="str">
            <v>00111119P.2</v>
          </cell>
        </row>
        <row r="1509">
          <cell r="K1509" t="str">
            <v>00111125P.2</v>
          </cell>
        </row>
        <row r="1510">
          <cell r="K1510" t="str">
            <v>00111126P.2</v>
          </cell>
        </row>
        <row r="1511">
          <cell r="K1511" t="str">
            <v>00111133P.2</v>
          </cell>
        </row>
        <row r="1512">
          <cell r="K1512" t="str">
            <v>00111135P.2</v>
          </cell>
        </row>
        <row r="1513">
          <cell r="K1513" t="str">
            <v>00111114P.2</v>
          </cell>
        </row>
        <row r="1514">
          <cell r="K1514" t="str">
            <v>00111116P.2</v>
          </cell>
        </row>
        <row r="1515">
          <cell r="K1515" t="str">
            <v>00111117P.2</v>
          </cell>
        </row>
        <row r="1516">
          <cell r="K1516" t="str">
            <v>00111123P.2</v>
          </cell>
        </row>
        <row r="1517">
          <cell r="K1517" t="str">
            <v>00111129P.2</v>
          </cell>
        </row>
        <row r="1518">
          <cell r="K1518" t="str">
            <v>00111110P.2</v>
          </cell>
        </row>
        <row r="1519">
          <cell r="K1519" t="str">
            <v>00111110P.2</v>
          </cell>
        </row>
        <row r="1520">
          <cell r="K1520" t="str">
            <v>00111116P.2</v>
          </cell>
        </row>
        <row r="1521">
          <cell r="K1521" t="str">
            <v>00111127P.2</v>
          </cell>
        </row>
        <row r="1522">
          <cell r="K1522" t="str">
            <v>00111121P.2</v>
          </cell>
        </row>
        <row r="1523">
          <cell r="K1523" t="str">
            <v>00111128P.2</v>
          </cell>
        </row>
        <row r="1524">
          <cell r="K1524" t="str">
            <v>00111129P.2</v>
          </cell>
        </row>
        <row r="1525">
          <cell r="K1525" t="str">
            <v>00111132P.2</v>
          </cell>
        </row>
        <row r="1526">
          <cell r="K1526" t="str">
            <v>00111136P.2</v>
          </cell>
        </row>
        <row r="1527">
          <cell r="K1527" t="str">
            <v>00111114P.2</v>
          </cell>
        </row>
        <row r="1528">
          <cell r="K1528" t="str">
            <v>00111121P.2</v>
          </cell>
        </row>
        <row r="1529">
          <cell r="K1529" t="str">
            <v>00111124P.2</v>
          </cell>
        </row>
        <row r="1530">
          <cell r="K1530" t="str">
            <v>00111126P.2</v>
          </cell>
        </row>
        <row r="1531">
          <cell r="K1531" t="str">
            <v>00111126P.2</v>
          </cell>
        </row>
        <row r="1532">
          <cell r="K1532" t="str">
            <v>00111129P.2</v>
          </cell>
        </row>
        <row r="1533">
          <cell r="K1533" t="str">
            <v>00111131P.2</v>
          </cell>
        </row>
        <row r="1534">
          <cell r="K1534" t="str">
            <v>00111134P.2</v>
          </cell>
        </row>
        <row r="1535">
          <cell r="K1535" t="str">
            <v>00111130P.2</v>
          </cell>
        </row>
        <row r="1536">
          <cell r="K1536" t="str">
            <v>00111114P.2</v>
          </cell>
        </row>
        <row r="1537">
          <cell r="K1537" t="str">
            <v>00111115P.2</v>
          </cell>
        </row>
        <row r="1538">
          <cell r="K1538" t="str">
            <v>00111119P.2</v>
          </cell>
        </row>
        <row r="1539">
          <cell r="K1539" t="str">
            <v>00111130P.2</v>
          </cell>
        </row>
        <row r="1540">
          <cell r="K1540" t="str">
            <v>00111134P.2</v>
          </cell>
        </row>
        <row r="1541">
          <cell r="K1541" t="str">
            <v>00111120P.2</v>
          </cell>
        </row>
        <row r="1542">
          <cell r="K1542" t="str">
            <v>00111126P.2</v>
          </cell>
        </row>
        <row r="1543">
          <cell r="K1543" t="str">
            <v>00111131P.2</v>
          </cell>
        </row>
        <row r="1544">
          <cell r="K1544" t="str">
            <v>00111117P.2</v>
          </cell>
        </row>
        <row r="1545">
          <cell r="K1545" t="str">
            <v>00111117P.2</v>
          </cell>
        </row>
        <row r="1546">
          <cell r="K1546" t="str">
            <v>00111124P.2</v>
          </cell>
        </row>
        <row r="1547">
          <cell r="K1547" t="str">
            <v>00111126P.2</v>
          </cell>
        </row>
        <row r="1548">
          <cell r="K1548" t="str">
            <v>00111128P.2</v>
          </cell>
        </row>
        <row r="1549">
          <cell r="K1549" t="str">
            <v>00111133P.2</v>
          </cell>
        </row>
        <row r="1550">
          <cell r="K1550" t="str">
            <v>00111114P.2</v>
          </cell>
        </row>
        <row r="1551">
          <cell r="K1551" t="str">
            <v>00111117P.2</v>
          </cell>
        </row>
        <row r="1552">
          <cell r="K1552" t="str">
            <v>00111126P.2</v>
          </cell>
        </row>
        <row r="1553">
          <cell r="K1553" t="str">
            <v>00111128P.2</v>
          </cell>
        </row>
        <row r="1554">
          <cell r="K1554" t="str">
            <v>00111131P.2</v>
          </cell>
        </row>
        <row r="1555">
          <cell r="K1555" t="str">
            <v>00111133P.2</v>
          </cell>
        </row>
        <row r="1556">
          <cell r="K1556" t="str">
            <v>00111118P.2</v>
          </cell>
        </row>
        <row r="1557">
          <cell r="K1557" t="str">
            <v>00111125P.2</v>
          </cell>
        </row>
        <row r="1558">
          <cell r="K1558" t="str">
            <v>00111127P.2</v>
          </cell>
        </row>
        <row r="1559">
          <cell r="K1559" t="str">
            <v>00111128P.2</v>
          </cell>
        </row>
        <row r="1560">
          <cell r="K1560" t="str">
            <v>00111134P.2</v>
          </cell>
        </row>
        <row r="1561">
          <cell r="K1561" t="str">
            <v>00111112P.2</v>
          </cell>
        </row>
        <row r="1562">
          <cell r="K1562" t="str">
            <v>00111125P.2</v>
          </cell>
        </row>
        <row r="1563">
          <cell r="K1563" t="str">
            <v>00111126P.2</v>
          </cell>
        </row>
        <row r="1564">
          <cell r="K1564" t="str">
            <v>00111126P.2</v>
          </cell>
        </row>
        <row r="1565">
          <cell r="K1565" t="str">
            <v>00111110P.2</v>
          </cell>
        </row>
        <row r="1566">
          <cell r="K1566" t="str">
            <v>00111133P.2</v>
          </cell>
        </row>
        <row r="1567">
          <cell r="K1567" t="str">
            <v>00111115P.2</v>
          </cell>
        </row>
        <row r="1568">
          <cell r="K1568" t="str">
            <v>00111116P.2</v>
          </cell>
        </row>
        <row r="1569">
          <cell r="K1569" t="str">
            <v>00111126P.2</v>
          </cell>
        </row>
        <row r="1570">
          <cell r="K1570" t="str">
            <v>00111129P.2</v>
          </cell>
        </row>
        <row r="1571">
          <cell r="K1571" t="str">
            <v>00111134P.2</v>
          </cell>
        </row>
        <row r="1572">
          <cell r="K1572" t="str">
            <v>00111123P.2</v>
          </cell>
        </row>
        <row r="1573">
          <cell r="K1573" t="str">
            <v>00111115P.2</v>
          </cell>
        </row>
        <row r="1574">
          <cell r="K1574" t="str">
            <v>00111124P.2</v>
          </cell>
        </row>
        <row r="1575">
          <cell r="K1575" t="str">
            <v>00111127P.2</v>
          </cell>
        </row>
        <row r="1576">
          <cell r="K1576" t="str">
            <v>00111134P.2</v>
          </cell>
        </row>
        <row r="1577">
          <cell r="K1577" t="str">
            <v>00111125P.2</v>
          </cell>
        </row>
        <row r="1578">
          <cell r="K1578" t="str">
            <v>00111115P.2</v>
          </cell>
        </row>
        <row r="1579">
          <cell r="K1579" t="str">
            <v>00111128P.2</v>
          </cell>
        </row>
        <row r="1580">
          <cell r="K1580" t="str">
            <v>00111114P.2</v>
          </cell>
        </row>
        <row r="1581">
          <cell r="K1581" t="str">
            <v>00111127P.2</v>
          </cell>
        </row>
        <row r="1582">
          <cell r="K1582" t="str">
            <v>00111129P.2</v>
          </cell>
        </row>
        <row r="1583">
          <cell r="K1583" t="str">
            <v>00111134P.2</v>
          </cell>
        </row>
        <row r="1584">
          <cell r="K1584" t="str">
            <v>00111126P.2</v>
          </cell>
        </row>
        <row r="1585">
          <cell r="K1585" t="str">
            <v>00111116P.2</v>
          </cell>
        </row>
        <row r="1586">
          <cell r="K1586" t="str">
            <v>00111126P.2</v>
          </cell>
        </row>
        <row r="1587">
          <cell r="K1587" t="str">
            <v>00111127P.2</v>
          </cell>
        </row>
        <row r="1588">
          <cell r="K1588" t="str">
            <v>00111133P.2</v>
          </cell>
        </row>
        <row r="1589">
          <cell r="K1589" t="str">
            <v>00111113P.2</v>
          </cell>
        </row>
        <row r="1590">
          <cell r="K1590" t="str">
            <v>00111110P.2</v>
          </cell>
        </row>
        <row r="1591">
          <cell r="K1591" t="str">
            <v>00111111P.2</v>
          </cell>
        </row>
        <row r="1592">
          <cell r="K1592" t="str">
            <v>00111116P.2</v>
          </cell>
        </row>
        <row r="1593">
          <cell r="K1593" t="str">
            <v>00111121P.2</v>
          </cell>
        </row>
        <row r="1594">
          <cell r="K1594" t="str">
            <v>00111131P.2</v>
          </cell>
        </row>
        <row r="1595">
          <cell r="K1595" t="str">
            <v>00111114P.2</v>
          </cell>
        </row>
        <row r="1596">
          <cell r="K1596" t="str">
            <v>00111110P.2</v>
          </cell>
        </row>
        <row r="1597">
          <cell r="K1597" t="str">
            <v>00111117P.2</v>
          </cell>
        </row>
        <row r="1598">
          <cell r="K1598" t="str">
            <v>00111110P.2</v>
          </cell>
        </row>
        <row r="1599">
          <cell r="K1599" t="str">
            <v>00111114P.2</v>
          </cell>
        </row>
        <row r="1600">
          <cell r="K1600" t="str">
            <v>00111115P.2</v>
          </cell>
        </row>
        <row r="1601">
          <cell r="K1601" t="str">
            <v>00111130P.2</v>
          </cell>
        </row>
        <row r="1602">
          <cell r="K1602" t="str">
            <v>00111122P.2</v>
          </cell>
        </row>
        <row r="1603">
          <cell r="K1603" t="str">
            <v>00111130P.2</v>
          </cell>
        </row>
        <row r="1604">
          <cell r="K1604" t="str">
            <v>00111131P.2</v>
          </cell>
        </row>
        <row r="1605">
          <cell r="K1605" t="str">
            <v>00111113P.2</v>
          </cell>
        </row>
        <row r="1606">
          <cell r="K1606" t="str">
            <v>00111120P.2</v>
          </cell>
        </row>
        <row r="1607">
          <cell r="K1607" t="str">
            <v>00111124P.2</v>
          </cell>
        </row>
        <row r="1608">
          <cell r="K1608" t="str">
            <v>00111126P.2</v>
          </cell>
        </row>
        <row r="1609">
          <cell r="K1609" t="str">
            <v>00111130P.2</v>
          </cell>
        </row>
        <row r="1610">
          <cell r="K1610" t="str">
            <v>00111133P.2</v>
          </cell>
        </row>
        <row r="1611">
          <cell r="K1611" t="str">
            <v>00111135P.2</v>
          </cell>
        </row>
        <row r="1612">
          <cell r="K1612" t="str">
            <v>00111126P.2</v>
          </cell>
        </row>
        <row r="1613">
          <cell r="K1613" t="str">
            <v>00111132P.2</v>
          </cell>
        </row>
        <row r="1614">
          <cell r="K1614" t="str">
            <v>00111116P.2</v>
          </cell>
        </row>
        <row r="1615">
          <cell r="K1615" t="str">
            <v>00111114P.2</v>
          </cell>
        </row>
        <row r="1616">
          <cell r="K1616" t="str">
            <v>00111130P.2</v>
          </cell>
        </row>
        <row r="1617">
          <cell r="K1617" t="str">
            <v>00111133P.2</v>
          </cell>
        </row>
        <row r="1618">
          <cell r="K1618" t="str">
            <v>00111136P.2</v>
          </cell>
        </row>
        <row r="1619">
          <cell r="K1619" t="str">
            <v>00111117P.2</v>
          </cell>
        </row>
        <row r="1620">
          <cell r="K1620" t="str">
            <v>00111123P.2</v>
          </cell>
        </row>
        <row r="1621">
          <cell r="K1621" t="str">
            <v>00111126P.2</v>
          </cell>
        </row>
        <row r="1622">
          <cell r="K1622" t="str">
            <v>00111131P.2</v>
          </cell>
        </row>
        <row r="1623">
          <cell r="K1623" t="str">
            <v>00111115P.2</v>
          </cell>
        </row>
        <row r="1624">
          <cell r="K1624" t="str">
            <v>00111110P.2</v>
          </cell>
        </row>
        <row r="1625">
          <cell r="K1625" t="str">
            <v>00111125P.2</v>
          </cell>
        </row>
        <row r="1626">
          <cell r="K1626" t="str">
            <v>00111132P.2</v>
          </cell>
        </row>
        <row r="1627">
          <cell r="K1627" t="str">
            <v>00111129P.2</v>
          </cell>
        </row>
        <row r="1628">
          <cell r="K1628" t="str">
            <v>00111133P.2</v>
          </cell>
        </row>
        <row r="1629">
          <cell r="K1629" t="str">
            <v>00111131P.2</v>
          </cell>
        </row>
        <row r="1630">
          <cell r="K1630" t="str">
            <v>00111125P.2</v>
          </cell>
        </row>
        <row r="1631">
          <cell r="K1631" t="str">
            <v>00111112P.2</v>
          </cell>
        </row>
        <row r="1632">
          <cell r="K1632" t="str">
            <v>00111123P.2</v>
          </cell>
        </row>
        <row r="1633">
          <cell r="K1633" t="str">
            <v>00111131P.2</v>
          </cell>
        </row>
        <row r="1634">
          <cell r="K1634" t="str">
            <v>00111135P.2</v>
          </cell>
        </row>
        <row r="1635">
          <cell r="K1635" t="str">
            <v>00111118P.2</v>
          </cell>
        </row>
        <row r="1636">
          <cell r="K1636" t="str">
            <v>00111136P.2</v>
          </cell>
        </row>
        <row r="1637">
          <cell r="K1637" t="str">
            <v>00111135P.2</v>
          </cell>
        </row>
        <row r="1638">
          <cell r="K1638" t="str">
            <v>00111127P.2</v>
          </cell>
        </row>
        <row r="1639">
          <cell r="K1639" t="str">
            <v>00111128P.2</v>
          </cell>
        </row>
        <row r="1640">
          <cell r="K1640" t="str">
            <v>00111117P.2</v>
          </cell>
        </row>
        <row r="1641">
          <cell r="K1641" t="str">
            <v>00111124P.2</v>
          </cell>
        </row>
        <row r="1642">
          <cell r="K1642" t="str">
            <v>00111128P.2</v>
          </cell>
        </row>
        <row r="1643">
          <cell r="K1643" t="str">
            <v>00111121P.2</v>
          </cell>
        </row>
        <row r="1644">
          <cell r="K1644" t="str">
            <v>00111135P.2</v>
          </cell>
        </row>
        <row r="1645">
          <cell r="K1645" t="str">
            <v>00111126P.2</v>
          </cell>
        </row>
        <row r="1646">
          <cell r="K1646" t="str">
            <v>00111135P.2</v>
          </cell>
        </row>
        <row r="1647">
          <cell r="K1647" t="str">
            <v>00111128P.2</v>
          </cell>
        </row>
        <row r="1648">
          <cell r="K1648" t="str">
            <v>00111113P.2</v>
          </cell>
        </row>
        <row r="1649">
          <cell r="K1649" t="str">
            <v>00111123P.2</v>
          </cell>
        </row>
        <row r="1650">
          <cell r="K1650" t="str">
            <v>00111127P.2</v>
          </cell>
        </row>
        <row r="1651">
          <cell r="K1651" t="str">
            <v>00111128P.2</v>
          </cell>
        </row>
        <row r="1652">
          <cell r="K1652" t="str">
            <v>00111132P.2</v>
          </cell>
        </row>
        <row r="1653">
          <cell r="K1653" t="str">
            <v>00111136P.2</v>
          </cell>
        </row>
        <row r="1654">
          <cell r="K1654" t="str">
            <v>00111112P.2</v>
          </cell>
        </row>
        <row r="1655">
          <cell r="K1655" t="str">
            <v>00111134P.2</v>
          </cell>
        </row>
        <row r="1656">
          <cell r="K1656" t="str">
            <v>00111135P.2</v>
          </cell>
        </row>
        <row r="1657">
          <cell r="K1657" t="str">
            <v>00111114P.2</v>
          </cell>
        </row>
        <row r="1658">
          <cell r="K1658" t="str">
            <v>00111114P.2</v>
          </cell>
        </row>
        <row r="1659">
          <cell r="K1659" t="str">
            <v>00111119P.2</v>
          </cell>
        </row>
        <row r="1660">
          <cell r="K1660" t="str">
            <v>00111110P.2</v>
          </cell>
        </row>
        <row r="1661">
          <cell r="K1661" t="str">
            <v>00111121P.2</v>
          </cell>
        </row>
        <row r="1662">
          <cell r="K1662" t="str">
            <v>00111110P.2</v>
          </cell>
        </row>
        <row r="1663">
          <cell r="K1663" t="str">
            <v>00111123P.2</v>
          </cell>
        </row>
        <row r="1664">
          <cell r="K1664" t="str">
            <v>00111127P.2</v>
          </cell>
        </row>
        <row r="1665">
          <cell r="K1665" t="str">
            <v>00111124P.2</v>
          </cell>
        </row>
        <row r="1666">
          <cell r="K1666" t="str">
            <v>00111128P.2</v>
          </cell>
        </row>
        <row r="1667">
          <cell r="K1667" t="str">
            <v>00111114P.2</v>
          </cell>
        </row>
        <row r="1668">
          <cell r="K1668" t="str">
            <v>00111122P.2</v>
          </cell>
        </row>
        <row r="1669">
          <cell r="K1669" t="str">
            <v>00111129P.2</v>
          </cell>
        </row>
        <row r="1670">
          <cell r="K1670" t="str">
            <v>00111134P.2</v>
          </cell>
        </row>
        <row r="1671">
          <cell r="K1671" t="str">
            <v>00111136P.2</v>
          </cell>
        </row>
        <row r="1672">
          <cell r="K1672" t="str">
            <v>00111112P.2</v>
          </cell>
        </row>
        <row r="1673">
          <cell r="K1673" t="str">
            <v>00111117P.2</v>
          </cell>
        </row>
        <row r="1674">
          <cell r="K1674" t="str">
            <v>00111115P.2</v>
          </cell>
        </row>
        <row r="1675">
          <cell r="K1675" t="str">
            <v>00111130P.2</v>
          </cell>
        </row>
        <row r="1676">
          <cell r="K1676" t="str">
            <v>00111123P.2</v>
          </cell>
        </row>
        <row r="1677">
          <cell r="K1677" t="str">
            <v>00111117P.2</v>
          </cell>
        </row>
        <row r="1678">
          <cell r="K1678" t="str">
            <v>00111122P.2</v>
          </cell>
        </row>
        <row r="1679">
          <cell r="K1679" t="str">
            <v>00111117P.2</v>
          </cell>
        </row>
        <row r="1680">
          <cell r="K1680" t="str">
            <v>00111130P.2</v>
          </cell>
        </row>
        <row r="1681">
          <cell r="K1681" t="str">
            <v>00111110P.2</v>
          </cell>
        </row>
        <row r="1682">
          <cell r="K1682" t="str">
            <v>00111136P.2</v>
          </cell>
        </row>
        <row r="1683">
          <cell r="K1683" t="str">
            <v>00111113P.2</v>
          </cell>
        </row>
        <row r="1684">
          <cell r="K1684" t="str">
            <v>00111110P.2</v>
          </cell>
        </row>
        <row r="1685">
          <cell r="K1685" t="str">
            <v>00111110P.2</v>
          </cell>
        </row>
        <row r="1686">
          <cell r="K1686" t="str">
            <v>00111111P.2</v>
          </cell>
        </row>
        <row r="1687">
          <cell r="K1687" t="str">
            <v>00111111P.2</v>
          </cell>
        </row>
        <row r="1688">
          <cell r="K1688" t="str">
            <v>00111113P.2</v>
          </cell>
        </row>
        <row r="1689">
          <cell r="K1689" t="str">
            <v>00111125P.2</v>
          </cell>
        </row>
        <row r="1690">
          <cell r="K1690" t="str">
            <v>00111115P.2</v>
          </cell>
        </row>
        <row r="1691">
          <cell r="K1691" t="str">
            <v>00111122P.2</v>
          </cell>
        </row>
        <row r="1692">
          <cell r="K1692" t="str">
            <v>00111125P.2</v>
          </cell>
        </row>
        <row r="1693">
          <cell r="K1693" t="str">
            <v>00111129P.2</v>
          </cell>
        </row>
        <row r="1694">
          <cell r="K1694" t="str">
            <v>00111136P.2</v>
          </cell>
        </row>
        <row r="1695">
          <cell r="K1695" t="str">
            <v>00111133P.2</v>
          </cell>
        </row>
        <row r="1696">
          <cell r="K1696" t="str">
            <v>00111118P.2</v>
          </cell>
        </row>
        <row r="1697">
          <cell r="K1697" t="str">
            <v>00111110P.2</v>
          </cell>
        </row>
        <row r="1698">
          <cell r="K1698" t="str">
            <v>00111131P.2</v>
          </cell>
        </row>
        <row r="1699">
          <cell r="K1699" t="str">
            <v>00111113P.2</v>
          </cell>
        </row>
        <row r="1700">
          <cell r="K1700" t="str">
            <v>00111122P.2</v>
          </cell>
        </row>
        <row r="1701">
          <cell r="K1701" t="str">
            <v>00111132P.2</v>
          </cell>
        </row>
        <row r="1702">
          <cell r="K1702" t="str">
            <v>00111131P.2</v>
          </cell>
        </row>
        <row r="1703">
          <cell r="K1703" t="str">
            <v>00111127P.2</v>
          </cell>
        </row>
        <row r="1704">
          <cell r="K1704" t="str">
            <v>00111127P.2</v>
          </cell>
        </row>
        <row r="1705">
          <cell r="K1705" t="str">
            <v>00111129P.2</v>
          </cell>
        </row>
        <row r="1706">
          <cell r="K1706" t="str">
            <v>00111112P.2</v>
          </cell>
        </row>
        <row r="1707">
          <cell r="K1707" t="str">
            <v>00111115P.2</v>
          </cell>
        </row>
        <row r="1708">
          <cell r="K1708" t="str">
            <v>00111133P.2</v>
          </cell>
        </row>
        <row r="1709">
          <cell r="K1709" t="str">
            <v>00111134P.2</v>
          </cell>
        </row>
        <row r="1710">
          <cell r="K1710" t="str">
            <v>00111110P.2</v>
          </cell>
        </row>
        <row r="1711">
          <cell r="K1711" t="str">
            <v>00111110P.2</v>
          </cell>
        </row>
        <row r="1712">
          <cell r="K1712" t="str">
            <v>00111118P.2</v>
          </cell>
        </row>
        <row r="1713">
          <cell r="K1713" t="str">
            <v>00111134P.2</v>
          </cell>
        </row>
        <row r="1714">
          <cell r="K1714" t="str">
            <v>00111134P.2</v>
          </cell>
        </row>
        <row r="1715">
          <cell r="K1715" t="str">
            <v>00111116P.2</v>
          </cell>
        </row>
        <row r="1716">
          <cell r="K1716" t="str">
            <v>00111111P.2</v>
          </cell>
        </row>
        <row r="1717">
          <cell r="K1717" t="str">
            <v>00111115P.2</v>
          </cell>
        </row>
        <row r="1718">
          <cell r="K1718" t="str">
            <v>00111129P.2</v>
          </cell>
        </row>
        <row r="1719">
          <cell r="K1719" t="str">
            <v>00111136P.2</v>
          </cell>
        </row>
        <row r="1720">
          <cell r="K1720" t="str">
            <v>00111133P.2</v>
          </cell>
        </row>
        <row r="1721">
          <cell r="K1721" t="str">
            <v>00111136P.2</v>
          </cell>
        </row>
        <row r="1722">
          <cell r="K1722" t="str">
            <v>00111123P.2</v>
          </cell>
        </row>
        <row r="1723">
          <cell r="K1723" t="str">
            <v>00111120P.2</v>
          </cell>
        </row>
        <row r="1724">
          <cell r="K1724" t="str">
            <v>00111134P.2</v>
          </cell>
        </row>
        <row r="1725">
          <cell r="K1725" t="str">
            <v>00111124P.2</v>
          </cell>
        </row>
        <row r="1726">
          <cell r="K1726" t="str">
            <v>00111129P.2</v>
          </cell>
        </row>
        <row r="1727">
          <cell r="K1727" t="str">
            <v>00111123P.2</v>
          </cell>
        </row>
        <row r="1728">
          <cell r="K1728" t="str">
            <v>00111130P.2</v>
          </cell>
        </row>
        <row r="1729">
          <cell r="K1729" t="str">
            <v>00111133P.2</v>
          </cell>
        </row>
        <row r="1730">
          <cell r="K1730" t="str">
            <v>00111125P.2</v>
          </cell>
        </row>
        <row r="1731">
          <cell r="K1731" t="str">
            <v>00111114P.2</v>
          </cell>
        </row>
        <row r="1732">
          <cell r="K1732" t="str">
            <v>00111128P.2</v>
          </cell>
        </row>
        <row r="1733">
          <cell r="K1733" t="str">
            <v>00111129P.2</v>
          </cell>
        </row>
        <row r="1734">
          <cell r="K1734" t="str">
            <v>00111129P.2</v>
          </cell>
        </row>
        <row r="1735">
          <cell r="K1735" t="str">
            <v>00111126P.2</v>
          </cell>
        </row>
        <row r="1736">
          <cell r="K1736" t="str">
            <v>00111131P.2</v>
          </cell>
        </row>
        <row r="1737">
          <cell r="K1737" t="str">
            <v>00111132P.2</v>
          </cell>
        </row>
        <row r="1738">
          <cell r="K1738" t="str">
            <v>00111110P.2</v>
          </cell>
        </row>
        <row r="1739">
          <cell r="K1739" t="str">
            <v>00111124P.2</v>
          </cell>
        </row>
        <row r="1740">
          <cell r="K1740" t="str">
            <v>00111132P.2</v>
          </cell>
        </row>
        <row r="1741">
          <cell r="K1741" t="str">
            <v>00111111P.2</v>
          </cell>
        </row>
        <row r="1742">
          <cell r="K1742" t="str">
            <v>00111119P.2</v>
          </cell>
        </row>
        <row r="1743">
          <cell r="K1743" t="str">
            <v>00111114P.2</v>
          </cell>
        </row>
        <row r="1744">
          <cell r="K1744" t="str">
            <v>00111136P.2</v>
          </cell>
        </row>
        <row r="1745">
          <cell r="K1745" t="str">
            <v>00111113P.2</v>
          </cell>
        </row>
        <row r="1746">
          <cell r="K1746" t="str">
            <v>00111123P.2</v>
          </cell>
        </row>
        <row r="1747">
          <cell r="K1747" t="str">
            <v>00111132P.2</v>
          </cell>
        </row>
        <row r="1748">
          <cell r="K1748" t="str">
            <v>00111134P.2</v>
          </cell>
        </row>
        <row r="1749">
          <cell r="K1749" t="str">
            <v>00111118P.2</v>
          </cell>
        </row>
        <row r="1750">
          <cell r="K1750" t="str">
            <v>00111110P.2</v>
          </cell>
        </row>
        <row r="1751">
          <cell r="K1751" t="str">
            <v>00111118P.2</v>
          </cell>
        </row>
        <row r="1752">
          <cell r="K1752" t="str">
            <v>00111128P.2</v>
          </cell>
        </row>
        <row r="1753">
          <cell r="K1753" t="str">
            <v>00111110P.2</v>
          </cell>
        </row>
        <row r="1754">
          <cell r="K1754" t="str">
            <v>00111117P.2</v>
          </cell>
        </row>
        <row r="1755">
          <cell r="K1755" t="str">
            <v>00111125P.2</v>
          </cell>
        </row>
        <row r="1756">
          <cell r="K1756" t="str">
            <v>00111112P.2</v>
          </cell>
        </row>
        <row r="1757">
          <cell r="K1757" t="str">
            <v>00111115P.2</v>
          </cell>
        </row>
        <row r="1758">
          <cell r="K1758" t="str">
            <v>00111117P.2</v>
          </cell>
        </row>
        <row r="1759">
          <cell r="K1759" t="str">
            <v>00111110P.2</v>
          </cell>
        </row>
        <row r="1760">
          <cell r="K1760" t="str">
            <v>00111122P.2</v>
          </cell>
        </row>
        <row r="1761">
          <cell r="K1761" t="str">
            <v>00111133P.2</v>
          </cell>
        </row>
        <row r="1762">
          <cell r="K1762" t="str">
            <v>00111114P.2</v>
          </cell>
        </row>
        <row r="1763">
          <cell r="K1763" t="str">
            <v>00111123P.2</v>
          </cell>
        </row>
        <row r="1764">
          <cell r="K1764" t="str">
            <v>00111136P.2</v>
          </cell>
        </row>
        <row r="1765">
          <cell r="K1765" t="str">
            <v>00111121P.2</v>
          </cell>
        </row>
        <row r="1766">
          <cell r="K1766" t="str">
            <v>00111122P.2</v>
          </cell>
        </row>
        <row r="1767">
          <cell r="K1767" t="str">
            <v>00111123P.2</v>
          </cell>
        </row>
        <row r="1768">
          <cell r="K1768" t="str">
            <v>00111112P.2</v>
          </cell>
        </row>
        <row r="1769">
          <cell r="K1769" t="str">
            <v>00111110P.2</v>
          </cell>
        </row>
        <row r="1770">
          <cell r="K1770" t="str">
            <v>00111116P.2</v>
          </cell>
        </row>
        <row r="1771">
          <cell r="K1771" t="str">
            <v>00111110P.2</v>
          </cell>
        </row>
        <row r="1772">
          <cell r="K1772" t="str">
            <v>00111125P.2</v>
          </cell>
        </row>
        <row r="1773">
          <cell r="K1773" t="str">
            <v>00111124P.2</v>
          </cell>
        </row>
        <row r="1774">
          <cell r="K1774" t="str">
            <v>00111122P.2</v>
          </cell>
        </row>
        <row r="1775">
          <cell r="K1775" t="str">
            <v>00111112P.2</v>
          </cell>
        </row>
        <row r="1776">
          <cell r="K1776" t="str">
            <v>00111136P.2</v>
          </cell>
        </row>
        <row r="1777">
          <cell r="K1777" t="str">
            <v>00111110P.2</v>
          </cell>
        </row>
        <row r="1778">
          <cell r="K1778" t="str">
            <v>00111118P.2</v>
          </cell>
        </row>
        <row r="1779">
          <cell r="K1779" t="str">
            <v>00111118P.2</v>
          </cell>
        </row>
        <row r="1780">
          <cell r="K1780" t="str">
            <v>00111131P.2</v>
          </cell>
        </row>
        <row r="1781">
          <cell r="K1781" t="str">
            <v>00111113P.2</v>
          </cell>
        </row>
        <row r="1782">
          <cell r="K1782" t="str">
            <v>00111117P.2</v>
          </cell>
        </row>
        <row r="1783">
          <cell r="K1783" t="str">
            <v>00111124P.2</v>
          </cell>
        </row>
        <row r="1784">
          <cell r="K1784" t="str">
            <v>00111116P.2</v>
          </cell>
        </row>
        <row r="1785">
          <cell r="K1785" t="str">
            <v>00111111P.2</v>
          </cell>
        </row>
        <row r="1786">
          <cell r="K1786" t="str">
            <v>00111133P.2</v>
          </cell>
        </row>
        <row r="1787">
          <cell r="K1787" t="str">
            <v>00111129P.2</v>
          </cell>
        </row>
        <row r="1788">
          <cell r="K1788" t="str">
            <v>00111113P.2</v>
          </cell>
        </row>
        <row r="1789">
          <cell r="K1789" t="str">
            <v>00111123P.2</v>
          </cell>
        </row>
        <row r="1790">
          <cell r="K1790" t="str">
            <v>00111127P.2</v>
          </cell>
        </row>
        <row r="1791">
          <cell r="K1791" t="str">
            <v>00111126P.2</v>
          </cell>
        </row>
        <row r="1792">
          <cell r="K1792" t="str">
            <v>00111132P.2</v>
          </cell>
        </row>
        <row r="1793">
          <cell r="K1793" t="str">
            <v>00111128P.2</v>
          </cell>
        </row>
        <row r="1794">
          <cell r="K1794" t="str">
            <v>00111128P.2</v>
          </cell>
        </row>
        <row r="1795">
          <cell r="K1795" t="str">
            <v>00111130P.2</v>
          </cell>
        </row>
        <row r="1796">
          <cell r="K1796" t="str">
            <v>00111133P.2</v>
          </cell>
        </row>
        <row r="1797">
          <cell r="K1797" t="str">
            <v>00111123P.2</v>
          </cell>
        </row>
        <row r="1798">
          <cell r="K1798" t="str">
            <v>00111114P.2</v>
          </cell>
        </row>
        <row r="1799">
          <cell r="K1799" t="str">
            <v>00111128P.2</v>
          </cell>
        </row>
        <row r="1800">
          <cell r="K1800" t="str">
            <v>00111123P.2</v>
          </cell>
        </row>
        <row r="1801">
          <cell r="K1801" t="str">
            <v>00111113P.2</v>
          </cell>
        </row>
        <row r="1802">
          <cell r="K1802" t="str">
            <v>00111121P.2</v>
          </cell>
        </row>
        <row r="1803">
          <cell r="K1803" t="str">
            <v>00111112P.2</v>
          </cell>
        </row>
        <row r="1804">
          <cell r="K1804" t="str">
            <v>00111134P.2</v>
          </cell>
        </row>
        <row r="1805">
          <cell r="K1805" t="str">
            <v>00111117P.2</v>
          </cell>
        </row>
        <row r="1806">
          <cell r="K1806" t="str">
            <v>00111133P.2</v>
          </cell>
        </row>
        <row r="1807">
          <cell r="K1807" t="str">
            <v>00111132P.2</v>
          </cell>
        </row>
        <row r="1808">
          <cell r="K1808" t="str">
            <v>00111122P.2</v>
          </cell>
        </row>
        <row r="1809">
          <cell r="K1809" t="str">
            <v>00111136P.2</v>
          </cell>
        </row>
        <row r="1810">
          <cell r="K1810" t="str">
            <v>00111128P.2</v>
          </cell>
        </row>
        <row r="1811">
          <cell r="K1811" t="str">
            <v>00111129P.2</v>
          </cell>
        </row>
        <row r="1812">
          <cell r="K1812" t="str">
            <v>00111130P.2</v>
          </cell>
        </row>
        <row r="1813">
          <cell r="K1813" t="str">
            <v>00111112P.2</v>
          </cell>
        </row>
        <row r="1814">
          <cell r="K1814" t="str">
            <v>00111110P.2</v>
          </cell>
        </row>
        <row r="1815">
          <cell r="K1815" t="str">
            <v>00111113P.2</v>
          </cell>
        </row>
        <row r="1816">
          <cell r="K1816" t="str">
            <v>00111117P.2</v>
          </cell>
        </row>
        <row r="1817">
          <cell r="K1817" t="str">
            <v>00111129P.2</v>
          </cell>
        </row>
        <row r="1818">
          <cell r="K1818" t="str">
            <v>00111130P.2</v>
          </cell>
        </row>
        <row r="1819">
          <cell r="K1819" t="str">
            <v>00111118P.2</v>
          </cell>
        </row>
        <row r="1820">
          <cell r="K1820" t="str">
            <v>00111133P.2</v>
          </cell>
        </row>
        <row r="1821">
          <cell r="K1821" t="str">
            <v>00111118P.2</v>
          </cell>
        </row>
        <row r="1822">
          <cell r="K1822" t="str">
            <v>00111112P.2</v>
          </cell>
        </row>
        <row r="1823">
          <cell r="K1823" t="str">
            <v>00111120P.2</v>
          </cell>
        </row>
        <row r="1824">
          <cell r="K1824" t="str">
            <v>00111136P.2</v>
          </cell>
        </row>
        <row r="1825">
          <cell r="K1825" t="str">
            <v>00111134P.2</v>
          </cell>
        </row>
        <row r="1826">
          <cell r="K1826" t="str">
            <v>00111131P.2</v>
          </cell>
        </row>
        <row r="1827">
          <cell r="K1827" t="str">
            <v>00111111P.2</v>
          </cell>
        </row>
        <row r="1828">
          <cell r="K1828" t="str">
            <v>00111136P.2</v>
          </cell>
        </row>
        <row r="1829">
          <cell r="K1829" t="str">
            <v>00111110P.2</v>
          </cell>
        </row>
        <row r="1830">
          <cell r="K1830" t="str">
            <v>00111112P.2</v>
          </cell>
        </row>
        <row r="1831">
          <cell r="K1831" t="str">
            <v>00111136P.2</v>
          </cell>
        </row>
        <row r="1832">
          <cell r="K1832" t="str">
            <v>00111110P.2</v>
          </cell>
        </row>
        <row r="1833">
          <cell r="K1833" t="str">
            <v>00111131P.2</v>
          </cell>
        </row>
        <row r="1834">
          <cell r="K1834" t="str">
            <v>00111128P.2</v>
          </cell>
        </row>
        <row r="1835">
          <cell r="K1835" t="str">
            <v>00111129P.2</v>
          </cell>
        </row>
        <row r="1836">
          <cell r="K1836" t="str">
            <v>00111136P.2</v>
          </cell>
        </row>
        <row r="1837">
          <cell r="K1837" t="str">
            <v>00111121P.2</v>
          </cell>
        </row>
        <row r="1838">
          <cell r="K1838" t="str">
            <v>00111114P.2</v>
          </cell>
        </row>
        <row r="1839">
          <cell r="K1839" t="str">
            <v>00111116P.2</v>
          </cell>
        </row>
        <row r="1840">
          <cell r="K1840" t="str">
            <v>00111118P.2</v>
          </cell>
        </row>
        <row r="1841">
          <cell r="K1841" t="str">
            <v>00111134P.2</v>
          </cell>
        </row>
        <row r="1842">
          <cell r="K1842" t="str">
            <v>00111134P.2</v>
          </cell>
        </row>
        <row r="1843">
          <cell r="K1843" t="str">
            <v>00111122P.2</v>
          </cell>
        </row>
        <row r="1844">
          <cell r="K1844" t="str">
            <v>00111116P.2</v>
          </cell>
        </row>
        <row r="1845">
          <cell r="K1845" t="str">
            <v>00111134P.2</v>
          </cell>
        </row>
        <row r="1846">
          <cell r="K1846" t="str">
            <v>00111110P.2</v>
          </cell>
        </row>
        <row r="1847">
          <cell r="K1847" t="str">
            <v>00111113P.2</v>
          </cell>
        </row>
        <row r="1848">
          <cell r="K1848" t="str">
            <v>00111115P.2</v>
          </cell>
        </row>
        <row r="1849">
          <cell r="K1849" t="str">
            <v>00111133P.2</v>
          </cell>
        </row>
        <row r="1850">
          <cell r="K1850" t="str">
            <v>00111135P.2</v>
          </cell>
        </row>
        <row r="1851">
          <cell r="K1851" t="str">
            <v>00111117P.2</v>
          </cell>
        </row>
        <row r="1852">
          <cell r="K1852" t="str">
            <v>00111123P.2</v>
          </cell>
        </row>
        <row r="1853">
          <cell r="K1853" t="str">
            <v>00111120P.2</v>
          </cell>
        </row>
        <row r="1854">
          <cell r="K1854" t="str">
            <v>00111129P.2</v>
          </cell>
        </row>
        <row r="1855">
          <cell r="K1855" t="str">
            <v>00111136P.2</v>
          </cell>
        </row>
        <row r="1856">
          <cell r="K1856" t="str">
            <v>00111113P.2</v>
          </cell>
        </row>
        <row r="1857">
          <cell r="K1857" t="str">
            <v>00111114P.2</v>
          </cell>
        </row>
        <row r="1858">
          <cell r="K1858" t="str">
            <v>00111131P.2</v>
          </cell>
        </row>
        <row r="1859">
          <cell r="K1859" t="str">
            <v>00111131P.2</v>
          </cell>
        </row>
        <row r="1860">
          <cell r="K1860" t="str">
            <v>00111122P.2</v>
          </cell>
        </row>
        <row r="1861">
          <cell r="K1861" t="str">
            <v>00111123P.2</v>
          </cell>
        </row>
        <row r="1862">
          <cell r="K1862" t="str">
            <v>00111133P.2</v>
          </cell>
        </row>
        <row r="1863">
          <cell r="K1863" t="str">
            <v>00111121P.2</v>
          </cell>
        </row>
        <row r="1864">
          <cell r="K1864" t="str">
            <v>00111111P.2</v>
          </cell>
        </row>
        <row r="1865">
          <cell r="K1865" t="str">
            <v>00111114P.2</v>
          </cell>
        </row>
        <row r="1866">
          <cell r="K1866" t="str">
            <v>00111131P.2</v>
          </cell>
        </row>
        <row r="1867">
          <cell r="K1867" t="str">
            <v>00111129P.2</v>
          </cell>
        </row>
        <row r="1868">
          <cell r="K1868" t="str">
            <v>00111131P.2</v>
          </cell>
        </row>
        <row r="1869">
          <cell r="K1869" t="str">
            <v>00111124P.2</v>
          </cell>
        </row>
        <row r="1870">
          <cell r="K1870" t="str">
            <v>00111125P.2</v>
          </cell>
        </row>
        <row r="1871">
          <cell r="K1871" t="str">
            <v>00111120P.2</v>
          </cell>
        </row>
        <row r="1872">
          <cell r="K1872" t="str">
            <v>00111117P.2</v>
          </cell>
        </row>
        <row r="1873">
          <cell r="K1873" t="str">
            <v>00111114P.2</v>
          </cell>
        </row>
        <row r="1874">
          <cell r="K1874" t="str">
            <v>00111123P.2</v>
          </cell>
        </row>
        <row r="1875">
          <cell r="K1875" t="str">
            <v>00111127P.2</v>
          </cell>
        </row>
        <row r="1876">
          <cell r="K1876" t="str">
            <v>00111136P.2</v>
          </cell>
        </row>
        <row r="1877">
          <cell r="K1877" t="str">
            <v>00111135P.2</v>
          </cell>
        </row>
        <row r="1878">
          <cell r="K1878" t="str">
            <v>00111110P.2</v>
          </cell>
        </row>
        <row r="1879">
          <cell r="K1879" t="str">
            <v>00111114P.2</v>
          </cell>
        </row>
        <row r="1880">
          <cell r="K1880" t="str">
            <v>00111127P.2</v>
          </cell>
        </row>
        <row r="1881">
          <cell r="K1881" t="str">
            <v>00111120P.2</v>
          </cell>
        </row>
        <row r="1882">
          <cell r="K1882" t="str">
            <v>00111129P.2</v>
          </cell>
        </row>
        <row r="1883">
          <cell r="K1883" t="str">
            <v>00111136P.2</v>
          </cell>
        </row>
        <row r="1884">
          <cell r="K1884" t="str">
            <v>00111110P.2</v>
          </cell>
        </row>
        <row r="1885">
          <cell r="K1885" t="str">
            <v>00111136P.2</v>
          </cell>
        </row>
        <row r="1886">
          <cell r="K1886" t="str">
            <v>00111110P.2</v>
          </cell>
        </row>
        <row r="1887">
          <cell r="K1887" t="str">
            <v>00111125P.2</v>
          </cell>
        </row>
        <row r="1888">
          <cell r="K1888" t="str">
            <v>00111127P.2</v>
          </cell>
        </row>
        <row r="1889">
          <cell r="K1889" t="str">
            <v>00111127P.2</v>
          </cell>
        </row>
        <row r="1890">
          <cell r="K1890" t="str">
            <v>00111135P.2</v>
          </cell>
        </row>
        <row r="1891">
          <cell r="K1891" t="str">
            <v>00111135P.2</v>
          </cell>
        </row>
        <row r="1892">
          <cell r="K1892" t="str">
            <v>00111134P.2</v>
          </cell>
        </row>
        <row r="1893">
          <cell r="K1893" t="str">
            <v>00111120P.2</v>
          </cell>
        </row>
        <row r="1894">
          <cell r="K1894" t="str">
            <v>00111121P.2</v>
          </cell>
        </row>
        <row r="1895">
          <cell r="K1895" t="str">
            <v>00111116P.2</v>
          </cell>
        </row>
        <row r="1896">
          <cell r="K1896" t="str">
            <v>00111124P.2</v>
          </cell>
        </row>
        <row r="1897">
          <cell r="K1897" t="str">
            <v>00111133P.2</v>
          </cell>
        </row>
        <row r="1898">
          <cell r="K1898" t="str">
            <v>00111127P.2</v>
          </cell>
        </row>
        <row r="1899">
          <cell r="K1899" t="str">
            <v>00111115P.2</v>
          </cell>
        </row>
        <row r="1900">
          <cell r="K1900" t="str">
            <v>00111117P.2</v>
          </cell>
        </row>
        <row r="1901">
          <cell r="K1901" t="str">
            <v>00111113P.2</v>
          </cell>
        </row>
        <row r="1902">
          <cell r="K1902" t="str">
            <v>00111122P.2</v>
          </cell>
        </row>
        <row r="1903">
          <cell r="K1903" t="str">
            <v>00111117P.2</v>
          </cell>
        </row>
        <row r="1904">
          <cell r="K1904" t="str">
            <v>00111127P.2</v>
          </cell>
        </row>
        <row r="1905">
          <cell r="K1905" t="str">
            <v>00111129P.2</v>
          </cell>
        </row>
        <row r="1906">
          <cell r="K1906" t="str">
            <v>00111130P.2</v>
          </cell>
        </row>
        <row r="1907">
          <cell r="K1907" t="str">
            <v>00111132P.2</v>
          </cell>
        </row>
        <row r="1908">
          <cell r="K1908" t="str">
            <v>00111136P.2</v>
          </cell>
        </row>
        <row r="1909">
          <cell r="K1909" t="str">
            <v>00111129P.2</v>
          </cell>
        </row>
        <row r="1910">
          <cell r="K1910" t="str">
            <v>00111133P.2</v>
          </cell>
        </row>
        <row r="1911">
          <cell r="K1911" t="str">
            <v>00111135P.2</v>
          </cell>
        </row>
        <row r="1912">
          <cell r="K1912" t="str">
            <v>00111128P.2</v>
          </cell>
        </row>
        <row r="1913">
          <cell r="K1913" t="str">
            <v>00111123P.2</v>
          </cell>
        </row>
        <row r="1914">
          <cell r="K1914" t="str">
            <v>00111135P.2</v>
          </cell>
        </row>
        <row r="1915">
          <cell r="K1915" t="str">
            <v>00111113P.2</v>
          </cell>
        </row>
        <row r="1916">
          <cell r="K1916" t="str">
            <v>00111125P.2</v>
          </cell>
        </row>
        <row r="1917">
          <cell r="K1917" t="str">
            <v>00111135P.2</v>
          </cell>
        </row>
        <row r="1918">
          <cell r="K1918" t="str">
            <v>00111113P.2</v>
          </cell>
        </row>
        <row r="1919">
          <cell r="K1919" t="str">
            <v>00111126P.2</v>
          </cell>
        </row>
        <row r="1920">
          <cell r="K1920" t="str">
            <v>00111136P.2</v>
          </cell>
        </row>
        <row r="1921">
          <cell r="K1921" t="str">
            <v>00111115P.2</v>
          </cell>
        </row>
        <row r="1922">
          <cell r="K1922" t="str">
            <v>00111110P.2</v>
          </cell>
        </row>
        <row r="1923">
          <cell r="K1923" t="str">
            <v>00111132P.2</v>
          </cell>
        </row>
        <row r="1924">
          <cell r="K1924" t="str">
            <v>00111136P.2</v>
          </cell>
        </row>
        <row r="1925">
          <cell r="K1925" t="str">
            <v>00111136P.2</v>
          </cell>
        </row>
        <row r="1926">
          <cell r="K1926" t="str">
            <v>00111118P.2</v>
          </cell>
        </row>
        <row r="1927">
          <cell r="K1927" t="str">
            <v>00111131P.2</v>
          </cell>
        </row>
        <row r="1928">
          <cell r="K1928" t="str">
            <v>00111130P.2</v>
          </cell>
        </row>
        <row r="1929">
          <cell r="K1929" t="str">
            <v>00111123P.2</v>
          </cell>
        </row>
        <row r="1930">
          <cell r="K1930" t="str">
            <v>00111122P.2</v>
          </cell>
        </row>
        <row r="1931">
          <cell r="K1931" t="str">
            <v>00111121P.2</v>
          </cell>
        </row>
        <row r="1932">
          <cell r="K1932" t="str">
            <v>00111121P.2</v>
          </cell>
        </row>
        <row r="1933">
          <cell r="K1933" t="str">
            <v>00111122P.2</v>
          </cell>
        </row>
        <row r="1934">
          <cell r="K1934" t="str">
            <v>00111129P.2</v>
          </cell>
        </row>
        <row r="1935">
          <cell r="K1935" t="str">
            <v>00111110P.2</v>
          </cell>
        </row>
        <row r="1936">
          <cell r="K1936" t="str">
            <v>00111121P.2</v>
          </cell>
        </row>
        <row r="1937">
          <cell r="K1937" t="str">
            <v>00111114P.2</v>
          </cell>
        </row>
        <row r="1938">
          <cell r="K1938" t="str">
            <v>00111134P.2</v>
          </cell>
        </row>
        <row r="1939">
          <cell r="K1939" t="str">
            <v>00111136P.2</v>
          </cell>
        </row>
        <row r="1940">
          <cell r="K1940" t="str">
            <v>00111115P.2</v>
          </cell>
        </row>
        <row r="1941">
          <cell r="K1941" t="str">
            <v>00111132P.2</v>
          </cell>
        </row>
        <row r="1942">
          <cell r="K1942" t="str">
            <v>00111128P.2</v>
          </cell>
        </row>
        <row r="1943">
          <cell r="K1943" t="str">
            <v>00111125P.2</v>
          </cell>
        </row>
        <row r="1944">
          <cell r="K1944" t="str">
            <v>00111135P.2</v>
          </cell>
        </row>
        <row r="1945">
          <cell r="K1945" t="str">
            <v>00111120P.2</v>
          </cell>
        </row>
        <row r="1946">
          <cell r="K1946" t="str">
            <v>00111117P.2</v>
          </cell>
        </row>
        <row r="1947">
          <cell r="K1947" t="str">
            <v>00111124P.2</v>
          </cell>
        </row>
        <row r="1948">
          <cell r="K1948" t="str">
            <v>00111135P.2</v>
          </cell>
        </row>
        <row r="1949">
          <cell r="K1949" t="str">
            <v>00111128P.2</v>
          </cell>
        </row>
        <row r="1950">
          <cell r="K1950" t="str">
            <v>00111112P.2</v>
          </cell>
        </row>
        <row r="1951">
          <cell r="K1951" t="str">
            <v>00111113P.2</v>
          </cell>
        </row>
        <row r="1952">
          <cell r="K1952" t="str">
            <v>00111134P.2</v>
          </cell>
        </row>
        <row r="1953">
          <cell r="K1953" t="str">
            <v>00111134P.2</v>
          </cell>
        </row>
        <row r="1954">
          <cell r="K1954" t="str">
            <v>00111118P.2</v>
          </cell>
        </row>
        <row r="1955">
          <cell r="K1955" t="str">
            <v>00111126P.2</v>
          </cell>
        </row>
        <row r="1956">
          <cell r="K1956" t="str">
            <v>00111112P.2</v>
          </cell>
        </row>
        <row r="1957">
          <cell r="K1957" t="str">
            <v>00111114P.2</v>
          </cell>
        </row>
        <row r="1958">
          <cell r="K1958" t="str">
            <v>00111135P.2</v>
          </cell>
        </row>
        <row r="1959">
          <cell r="K1959" t="str">
            <v>00111133P.2</v>
          </cell>
        </row>
        <row r="1960">
          <cell r="K1960" t="str">
            <v>00111133P.2</v>
          </cell>
        </row>
        <row r="1961">
          <cell r="K1961" t="str">
            <v>00111114P.2</v>
          </cell>
        </row>
        <row r="1962">
          <cell r="K1962" t="str">
            <v>00111129P.2</v>
          </cell>
        </row>
        <row r="1963">
          <cell r="K1963" t="str">
            <v>00111127P.2</v>
          </cell>
        </row>
        <row r="1964">
          <cell r="K1964" t="str">
            <v>00111122P.2</v>
          </cell>
        </row>
        <row r="1965">
          <cell r="K1965" t="str">
            <v>00111132P.2</v>
          </cell>
        </row>
        <row r="1966">
          <cell r="K1966" t="str">
            <v>00111121P.2</v>
          </cell>
        </row>
        <row r="1967">
          <cell r="K1967" t="str">
            <v>00111113P.2</v>
          </cell>
        </row>
        <row r="1968">
          <cell r="K1968" t="str">
            <v>00111135P.2</v>
          </cell>
        </row>
        <row r="1969">
          <cell r="K1969" t="str">
            <v>00111121P.2</v>
          </cell>
        </row>
        <row r="1970">
          <cell r="K1970" t="str">
            <v>00111121P.2</v>
          </cell>
        </row>
        <row r="1971">
          <cell r="K1971" t="str">
            <v>00111123P.2</v>
          </cell>
        </row>
        <row r="1972">
          <cell r="K1972" t="str">
            <v>00111136P.2</v>
          </cell>
        </row>
        <row r="1973">
          <cell r="K1973" t="str">
            <v>00111129P.2</v>
          </cell>
        </row>
        <row r="1974">
          <cell r="K1974" t="str">
            <v>00111113P.2</v>
          </cell>
        </row>
        <row r="1975">
          <cell r="K1975" t="str">
            <v>00111117P.2</v>
          </cell>
        </row>
        <row r="1976">
          <cell r="K1976" t="str">
            <v>00111113P.2</v>
          </cell>
        </row>
        <row r="1977">
          <cell r="K1977" t="str">
            <v>00111123P.2</v>
          </cell>
        </row>
        <row r="1978">
          <cell r="K1978" t="str">
            <v>00111118P.2</v>
          </cell>
        </row>
        <row r="1979">
          <cell r="K1979" t="str">
            <v>00111132P.2</v>
          </cell>
        </row>
        <row r="1980">
          <cell r="K1980" t="str">
            <v>00111124P.2</v>
          </cell>
        </row>
        <row r="1981">
          <cell r="K1981" t="str">
            <v>00111131P.2</v>
          </cell>
        </row>
        <row r="1982">
          <cell r="K1982" t="str">
            <v>00111120P.2</v>
          </cell>
        </row>
        <row r="1983">
          <cell r="K1983" t="str">
            <v>00111119P.2</v>
          </cell>
        </row>
        <row r="1984">
          <cell r="K1984" t="str">
            <v>00111114P.2</v>
          </cell>
        </row>
        <row r="1985">
          <cell r="K1985" t="str">
            <v>00111113P.2</v>
          </cell>
        </row>
        <row r="1986">
          <cell r="K1986" t="str">
            <v>00111118P.2</v>
          </cell>
        </row>
        <row r="1987">
          <cell r="K1987" t="str">
            <v>00111135P.2</v>
          </cell>
        </row>
        <row r="1988">
          <cell r="K1988" t="str">
            <v>00111123P.2</v>
          </cell>
        </row>
        <row r="1989">
          <cell r="K1989" t="str">
            <v>00111117P.2</v>
          </cell>
        </row>
        <row r="1990">
          <cell r="K1990" t="str">
            <v>00111129P.2</v>
          </cell>
        </row>
        <row r="1991">
          <cell r="K1991" t="str">
            <v>00111116P.2</v>
          </cell>
        </row>
        <row r="1992">
          <cell r="K1992" t="str">
            <v>00111117P.2</v>
          </cell>
        </row>
        <row r="1993">
          <cell r="K1993" t="str">
            <v>00111136P.2</v>
          </cell>
        </row>
        <row r="1994">
          <cell r="K1994" t="str">
            <v>00111112P.2</v>
          </cell>
        </row>
        <row r="1995">
          <cell r="K1995" t="str">
            <v>00111112P.2</v>
          </cell>
        </row>
        <row r="1996">
          <cell r="K1996" t="str">
            <v>00111131P.2</v>
          </cell>
        </row>
        <row r="1997">
          <cell r="K1997" t="str">
            <v>00111126P.2</v>
          </cell>
        </row>
        <row r="1998">
          <cell r="K1998" t="str">
            <v>00111117P.2</v>
          </cell>
        </row>
        <row r="1999">
          <cell r="K1999" t="str">
            <v>00111126P.2</v>
          </cell>
        </row>
        <row r="2000">
          <cell r="K2000" t="str">
            <v>00111133P.2</v>
          </cell>
        </row>
        <row r="2001">
          <cell r="K2001" t="str">
            <v>00111123P.2</v>
          </cell>
        </row>
        <row r="2002">
          <cell r="K2002" t="str">
            <v>00111120P.2</v>
          </cell>
        </row>
        <row r="2003">
          <cell r="K2003" t="str">
            <v>00111135P.2</v>
          </cell>
        </row>
        <row r="2004">
          <cell r="K2004" t="str">
            <v>00111136P.2</v>
          </cell>
        </row>
        <row r="2005">
          <cell r="K2005" t="str">
            <v>00111121P.2</v>
          </cell>
        </row>
        <row r="2006">
          <cell r="K2006" t="str">
            <v>00111132P.2</v>
          </cell>
        </row>
        <row r="2007">
          <cell r="K2007" t="str">
            <v>00111111P.2</v>
          </cell>
        </row>
        <row r="2008">
          <cell r="K2008" t="str">
            <v>00111132P.2</v>
          </cell>
        </row>
        <row r="2009">
          <cell r="K2009" t="str">
            <v>00111126P.2</v>
          </cell>
        </row>
        <row r="2010">
          <cell r="K2010" t="str">
            <v>00111136P.2</v>
          </cell>
        </row>
        <row r="2011">
          <cell r="K2011" t="str">
            <v>00111136P.2</v>
          </cell>
        </row>
        <row r="2012">
          <cell r="K2012" t="str">
            <v>00111131P.2</v>
          </cell>
        </row>
        <row r="2013">
          <cell r="K2013" t="str">
            <v>00111125P.2</v>
          </cell>
        </row>
        <row r="2014">
          <cell r="K2014" t="str">
            <v>00111112P.2</v>
          </cell>
        </row>
        <row r="2015">
          <cell r="K2015" t="str">
            <v>00111125P.2</v>
          </cell>
        </row>
        <row r="2016">
          <cell r="K2016" t="str">
            <v>00111118P.2</v>
          </cell>
        </row>
        <row r="2017">
          <cell r="K2017" t="str">
            <v>00111116P.2</v>
          </cell>
        </row>
        <row r="2018">
          <cell r="K2018" t="str">
            <v>00111132P.2</v>
          </cell>
        </row>
        <row r="2019">
          <cell r="K2019" t="str">
            <v>00111136P.2</v>
          </cell>
        </row>
        <row r="2020">
          <cell r="K2020" t="str">
            <v>00111122P.2</v>
          </cell>
        </row>
        <row r="2021">
          <cell r="K2021" t="str">
            <v>00111128P.2</v>
          </cell>
        </row>
        <row r="2022">
          <cell r="K2022" t="str">
            <v>00111117P.2</v>
          </cell>
        </row>
        <row r="2023">
          <cell r="K2023" t="str">
            <v>00111113P.2</v>
          </cell>
        </row>
        <row r="2024">
          <cell r="K2024" t="str">
            <v>00111124P.2</v>
          </cell>
        </row>
        <row r="2025">
          <cell r="K2025" t="str">
            <v>00111126P.2</v>
          </cell>
        </row>
        <row r="2026">
          <cell r="K2026" t="str">
            <v>00111115P.2</v>
          </cell>
        </row>
        <row r="2027">
          <cell r="K2027" t="str">
            <v>00111119P.2</v>
          </cell>
        </row>
        <row r="2028">
          <cell r="K2028" t="str">
            <v>00111125P.2</v>
          </cell>
        </row>
        <row r="2029">
          <cell r="K2029" t="str">
            <v>00111129P.2</v>
          </cell>
        </row>
        <row r="2030">
          <cell r="K2030" t="str">
            <v>00111132P.2</v>
          </cell>
        </row>
        <row r="2031">
          <cell r="K2031" t="str">
            <v>00111113P.2</v>
          </cell>
        </row>
        <row r="2032">
          <cell r="K2032" t="str">
            <v>00111114P.2</v>
          </cell>
        </row>
        <row r="2033">
          <cell r="K2033" t="str">
            <v>00111110P.2</v>
          </cell>
        </row>
        <row r="2034">
          <cell r="K2034" t="str">
            <v>00111117P.2</v>
          </cell>
        </row>
        <row r="2035">
          <cell r="K2035" t="str">
            <v>00111130P.2</v>
          </cell>
        </row>
        <row r="2036">
          <cell r="K2036" t="str">
            <v>00111136P.2</v>
          </cell>
        </row>
        <row r="2037">
          <cell r="K2037" t="str">
            <v>00111134P.2</v>
          </cell>
        </row>
        <row r="2038">
          <cell r="K2038" t="str">
            <v>00111135P.2</v>
          </cell>
        </row>
        <row r="2039">
          <cell r="K2039" t="str">
            <v>00111121P.2</v>
          </cell>
        </row>
        <row r="2040">
          <cell r="K2040" t="str">
            <v>00111116P.2</v>
          </cell>
        </row>
        <row r="2041">
          <cell r="K2041" t="str">
            <v>00111134P.2</v>
          </cell>
        </row>
        <row r="2042">
          <cell r="K2042" t="str">
            <v>00111113P.2</v>
          </cell>
        </row>
        <row r="2043">
          <cell r="K2043" t="str">
            <v>00111132P.2</v>
          </cell>
        </row>
        <row r="2044">
          <cell r="K2044" t="str">
            <v>00111121P.2</v>
          </cell>
        </row>
        <row r="2045">
          <cell r="K2045" t="str">
            <v>00111113P.2</v>
          </cell>
        </row>
        <row r="2046">
          <cell r="K2046" t="str">
            <v>00111118P.2</v>
          </cell>
        </row>
        <row r="2047">
          <cell r="K2047" t="str">
            <v>00111133P.2</v>
          </cell>
        </row>
        <row r="2048">
          <cell r="K2048" t="str">
            <v>00111132P.2</v>
          </cell>
        </row>
        <row r="2049">
          <cell r="K2049" t="str">
            <v>00111131P.2</v>
          </cell>
        </row>
        <row r="2050">
          <cell r="K2050" t="str">
            <v>00111113P.2</v>
          </cell>
        </row>
        <row r="2051">
          <cell r="K2051" t="str">
            <v>00111112P.2</v>
          </cell>
        </row>
        <row r="2052">
          <cell r="K2052" t="str">
            <v>00111130P.2</v>
          </cell>
        </row>
        <row r="2053">
          <cell r="K2053" t="str">
            <v>00111119P.2</v>
          </cell>
        </row>
        <row r="2054">
          <cell r="K2054" t="str">
            <v>00111119P.2</v>
          </cell>
        </row>
        <row r="2055">
          <cell r="K2055" t="str">
            <v>00111113P.2</v>
          </cell>
        </row>
        <row r="2056">
          <cell r="K2056" t="str">
            <v>00111130P.2</v>
          </cell>
        </row>
        <row r="2057">
          <cell r="K2057" t="str">
            <v>00111111P.2</v>
          </cell>
        </row>
        <row r="2058">
          <cell r="K2058" t="str">
            <v>00111135P.2</v>
          </cell>
        </row>
        <row r="2059">
          <cell r="K2059" t="str">
            <v>00111123P.2</v>
          </cell>
        </row>
        <row r="2060">
          <cell r="K2060" t="str">
            <v>00111120P.2</v>
          </cell>
        </row>
        <row r="2061">
          <cell r="K2061" t="str">
            <v>00111132P.2</v>
          </cell>
        </row>
        <row r="2062">
          <cell r="K2062" t="str">
            <v>00111132P.2</v>
          </cell>
        </row>
        <row r="2063">
          <cell r="K2063" t="str">
            <v>00111121P.2</v>
          </cell>
        </row>
        <row r="2064">
          <cell r="K2064" t="str">
            <v>00111128P.2</v>
          </cell>
        </row>
        <row r="2065">
          <cell r="K2065" t="str">
            <v>00111131P.2</v>
          </cell>
        </row>
        <row r="2066">
          <cell r="K2066" t="str">
            <v>00111120P.2</v>
          </cell>
        </row>
        <row r="2067">
          <cell r="K2067" t="str">
            <v>00111110P.2</v>
          </cell>
        </row>
        <row r="2068">
          <cell r="K2068" t="str">
            <v>00111133P.2</v>
          </cell>
        </row>
        <row r="2069">
          <cell r="K2069" t="str">
            <v>00111133P.2</v>
          </cell>
        </row>
        <row r="2070">
          <cell r="K2070" t="str">
            <v>00111134P.2</v>
          </cell>
        </row>
        <row r="2071">
          <cell r="K2071" t="str">
            <v>00111119P.2</v>
          </cell>
        </row>
        <row r="2072">
          <cell r="K2072" t="str">
            <v>00111112P.2</v>
          </cell>
        </row>
        <row r="2073">
          <cell r="K2073" t="str">
            <v>00111113P.2</v>
          </cell>
        </row>
        <row r="2074">
          <cell r="K2074" t="str">
            <v>00111134P.2</v>
          </cell>
        </row>
        <row r="2075">
          <cell r="K2075" t="str">
            <v>00111117P.2</v>
          </cell>
        </row>
        <row r="2076">
          <cell r="K2076" t="str">
            <v>00111127P.2</v>
          </cell>
        </row>
        <row r="2077">
          <cell r="K2077" t="str">
            <v>00111136P.2</v>
          </cell>
        </row>
        <row r="2078">
          <cell r="K2078" t="str">
            <v>00111113P.2</v>
          </cell>
        </row>
        <row r="2079">
          <cell r="K2079" t="str">
            <v>00111120P.2</v>
          </cell>
        </row>
        <row r="2080">
          <cell r="K2080" t="str">
            <v>00111122P.2</v>
          </cell>
        </row>
        <row r="2081">
          <cell r="K2081" t="str">
            <v>00111128P.2</v>
          </cell>
        </row>
        <row r="2082">
          <cell r="K2082" t="str">
            <v>00111128P.2</v>
          </cell>
        </row>
        <row r="2083">
          <cell r="K2083" t="str">
            <v>00111128P.2</v>
          </cell>
        </row>
        <row r="2084">
          <cell r="K2084" t="str">
            <v>00111114P.2</v>
          </cell>
        </row>
        <row r="2085">
          <cell r="K2085" t="str">
            <v>00111117P.2</v>
          </cell>
        </row>
        <row r="2086">
          <cell r="K2086" t="str">
            <v>00111132P.2</v>
          </cell>
        </row>
        <row r="2087">
          <cell r="K2087" t="str">
            <v>00111129P.2</v>
          </cell>
        </row>
        <row r="2088">
          <cell r="K2088" t="str">
            <v>00111130P.2</v>
          </cell>
        </row>
        <row r="2089">
          <cell r="K2089" t="str">
            <v>00111128P.2</v>
          </cell>
        </row>
        <row r="2090">
          <cell r="K2090" t="str">
            <v>00111125P.2</v>
          </cell>
        </row>
        <row r="2091">
          <cell r="K2091" t="str">
            <v>00111133P.2</v>
          </cell>
        </row>
        <row r="2092">
          <cell r="K2092" t="str">
            <v>00111130P.2</v>
          </cell>
        </row>
        <row r="2093">
          <cell r="K2093" t="str">
            <v>00111118P.2</v>
          </cell>
        </row>
        <row r="2094">
          <cell r="K2094" t="str">
            <v>00111118P.2</v>
          </cell>
        </row>
        <row r="2095">
          <cell r="K2095" t="str">
            <v>00111117P.2</v>
          </cell>
        </row>
        <row r="2096">
          <cell r="K2096" t="str">
            <v>00111117P.2</v>
          </cell>
        </row>
        <row r="2097">
          <cell r="K2097" t="str">
            <v>00111136P.2</v>
          </cell>
        </row>
        <row r="2098">
          <cell r="K2098" t="str">
            <v>00111135P.2</v>
          </cell>
        </row>
        <row r="2099">
          <cell r="K2099" t="str">
            <v>00111132P.2</v>
          </cell>
        </row>
        <row r="2100">
          <cell r="K2100" t="str">
            <v>00111136P.2</v>
          </cell>
        </row>
        <row r="2101">
          <cell r="K2101" t="str">
            <v>00111113P.2</v>
          </cell>
        </row>
        <row r="2102">
          <cell r="K2102" t="str">
            <v>00111130P.2</v>
          </cell>
        </row>
        <row r="2103">
          <cell r="K2103" t="str">
            <v>00111123P.2</v>
          </cell>
        </row>
        <row r="2104">
          <cell r="K2104" t="str">
            <v>00111120P.2</v>
          </cell>
        </row>
        <row r="2105">
          <cell r="K2105" t="str">
            <v>00111118P.2</v>
          </cell>
        </row>
        <row r="2106">
          <cell r="K2106" t="str">
            <v>00111129P.2</v>
          </cell>
        </row>
        <row r="2107">
          <cell r="K2107" t="str">
            <v>00111113P.2</v>
          </cell>
        </row>
        <row r="2108">
          <cell r="K2108" t="str">
            <v>00111130P.2</v>
          </cell>
        </row>
        <row r="2109">
          <cell r="K2109" t="str">
            <v>00111124P.2</v>
          </cell>
        </row>
        <row r="2110">
          <cell r="K2110" t="str">
            <v>00111123P.2</v>
          </cell>
        </row>
        <row r="2111">
          <cell r="K2111" t="str">
            <v>00111128P.2</v>
          </cell>
        </row>
        <row r="2112">
          <cell r="K2112" t="str">
            <v>00111110P.2</v>
          </cell>
        </row>
        <row r="2113">
          <cell r="K2113" t="str">
            <v>00111131P.2</v>
          </cell>
        </row>
        <row r="2114">
          <cell r="K2114" t="str">
            <v>00111121P.2</v>
          </cell>
        </row>
        <row r="2115">
          <cell r="K2115" t="str">
            <v>00111134P.2</v>
          </cell>
        </row>
        <row r="2116">
          <cell r="K2116" t="str">
            <v>00111123P.2</v>
          </cell>
        </row>
        <row r="2117">
          <cell r="K2117" t="str">
            <v>00111119P.2</v>
          </cell>
        </row>
        <row r="2118">
          <cell r="K2118" t="str">
            <v>00111126P.2</v>
          </cell>
        </row>
        <row r="2119">
          <cell r="K2119" t="str">
            <v>00111124P.2</v>
          </cell>
        </row>
        <row r="2120">
          <cell r="K2120" t="str">
            <v>00111113P.2</v>
          </cell>
        </row>
        <row r="2121">
          <cell r="K2121" t="str">
            <v>00111124P.2</v>
          </cell>
        </row>
        <row r="2122">
          <cell r="K2122" t="str">
            <v>00111131P.2</v>
          </cell>
        </row>
        <row r="2123">
          <cell r="K2123" t="str">
            <v>00111114P.2</v>
          </cell>
        </row>
        <row r="2124">
          <cell r="K2124" t="str">
            <v>00111117P.2</v>
          </cell>
        </row>
        <row r="2125">
          <cell r="K2125" t="str">
            <v>00111132P.2</v>
          </cell>
        </row>
        <row r="2126">
          <cell r="K2126" t="str">
            <v>00111126P.2</v>
          </cell>
        </row>
        <row r="2127">
          <cell r="K2127" t="str">
            <v>00111128P.2</v>
          </cell>
        </row>
        <row r="2128">
          <cell r="K2128" t="str">
            <v>00111111P.2</v>
          </cell>
        </row>
        <row r="2129">
          <cell r="K2129" t="str">
            <v>00111119P.2</v>
          </cell>
        </row>
        <row r="2130">
          <cell r="K2130" t="str">
            <v>00111121P.2</v>
          </cell>
        </row>
        <row r="2131">
          <cell r="K2131" t="str">
            <v>00111131P.2</v>
          </cell>
        </row>
        <row r="2132">
          <cell r="K2132" t="str">
            <v>00111117P.2</v>
          </cell>
        </row>
        <row r="2133">
          <cell r="K2133" t="str">
            <v>00111115P.2</v>
          </cell>
        </row>
        <row r="2134">
          <cell r="K2134" t="str">
            <v>00111135P.2</v>
          </cell>
        </row>
        <row r="2135">
          <cell r="K2135" t="str">
            <v>00111133P.2</v>
          </cell>
        </row>
        <row r="2136">
          <cell r="K2136" t="str">
            <v>00111136P.2</v>
          </cell>
        </row>
        <row r="2137">
          <cell r="K2137" t="str">
            <v>00111117P.2</v>
          </cell>
        </row>
        <row r="2138">
          <cell r="K2138" t="str">
            <v>00111136P.2</v>
          </cell>
        </row>
        <row r="2139">
          <cell r="K2139" t="str">
            <v>00111118P.2</v>
          </cell>
        </row>
        <row r="2140">
          <cell r="K2140" t="str">
            <v>00111117P.2</v>
          </cell>
        </row>
        <row r="2141">
          <cell r="K2141" t="str">
            <v>00111118P.2</v>
          </cell>
        </row>
        <row r="2142">
          <cell r="K2142" t="str">
            <v>00111132P.2</v>
          </cell>
        </row>
        <row r="2143">
          <cell r="K2143" t="str">
            <v>00111119P.2</v>
          </cell>
        </row>
        <row r="2144">
          <cell r="K2144" t="str">
            <v>00111135P.2</v>
          </cell>
        </row>
        <row r="2145">
          <cell r="K2145" t="str">
            <v>00111122P.2</v>
          </cell>
        </row>
        <row r="2146">
          <cell r="K2146" t="str">
            <v>00111118P.2</v>
          </cell>
        </row>
        <row r="2147">
          <cell r="K2147" t="str">
            <v>00111110P.2</v>
          </cell>
        </row>
        <row r="2148">
          <cell r="K2148" t="str">
            <v>00111135P.2</v>
          </cell>
        </row>
        <row r="2149">
          <cell r="K2149" t="str">
            <v>00111118P.2</v>
          </cell>
        </row>
        <row r="2150">
          <cell r="K2150" t="str">
            <v>00111123P.2</v>
          </cell>
        </row>
        <row r="2151">
          <cell r="K2151" t="str">
            <v>00111115P.2</v>
          </cell>
        </row>
        <row r="2152">
          <cell r="K2152" t="str">
            <v>00111117P.2</v>
          </cell>
        </row>
        <row r="2153">
          <cell r="K2153" t="str">
            <v>00111132P.2</v>
          </cell>
        </row>
        <row r="2154">
          <cell r="K2154" t="str">
            <v>00111125P.2</v>
          </cell>
        </row>
        <row r="2155">
          <cell r="K2155" t="str">
            <v>00111135P.2</v>
          </cell>
        </row>
        <row r="2156">
          <cell r="K2156" t="str">
            <v>00111122P.2</v>
          </cell>
        </row>
        <row r="2157">
          <cell r="K2157" t="str">
            <v>00111110P.2</v>
          </cell>
        </row>
        <row r="2158">
          <cell r="K2158" t="str">
            <v>00111115P.2</v>
          </cell>
        </row>
        <row r="2159">
          <cell r="K2159" t="str">
            <v>00111113P.2</v>
          </cell>
        </row>
        <row r="2160">
          <cell r="K2160" t="str">
            <v>00111127P.2</v>
          </cell>
        </row>
        <row r="2161">
          <cell r="K2161" t="str">
            <v>00111116P.2</v>
          </cell>
        </row>
        <row r="2162">
          <cell r="K2162" t="str">
            <v>00111113P.2</v>
          </cell>
        </row>
        <row r="2163">
          <cell r="K2163" t="str">
            <v>00111114P.2</v>
          </cell>
        </row>
        <row r="2164">
          <cell r="K2164" t="str">
            <v>00111121P.2</v>
          </cell>
        </row>
        <row r="2165">
          <cell r="K2165" t="str">
            <v>00111136P.2</v>
          </cell>
        </row>
        <row r="2166">
          <cell r="K2166" t="str">
            <v>00111134P.2</v>
          </cell>
        </row>
        <row r="2167">
          <cell r="K2167" t="str">
            <v>00111135P.2</v>
          </cell>
        </row>
        <row r="2168">
          <cell r="K2168" t="str">
            <v>00111113P.2</v>
          </cell>
        </row>
        <row r="2169">
          <cell r="K2169" t="str">
            <v>00111128P.2</v>
          </cell>
        </row>
        <row r="2170">
          <cell r="K2170" t="str">
            <v>00111134P.2</v>
          </cell>
        </row>
        <row r="2171">
          <cell r="K2171" t="str">
            <v>00111128P.2</v>
          </cell>
        </row>
        <row r="2172">
          <cell r="K2172" t="str">
            <v>00111111P.2</v>
          </cell>
        </row>
        <row r="2173">
          <cell r="K2173" t="str">
            <v>00111117P.2</v>
          </cell>
        </row>
        <row r="2174">
          <cell r="K2174" t="str">
            <v>00111133P.2</v>
          </cell>
        </row>
        <row r="2175">
          <cell r="K2175" t="str">
            <v>00111123P.2</v>
          </cell>
        </row>
        <row r="2176">
          <cell r="K2176" t="str">
            <v>00111110P.2</v>
          </cell>
        </row>
        <row r="2177">
          <cell r="K2177" t="str">
            <v>00111118P.2</v>
          </cell>
        </row>
        <row r="2178">
          <cell r="K2178" t="str">
            <v>00111120P.2</v>
          </cell>
        </row>
        <row r="2179">
          <cell r="K2179" t="str">
            <v>00111132P.2</v>
          </cell>
        </row>
        <row r="2180">
          <cell r="K2180" t="str">
            <v>00111136P.2</v>
          </cell>
        </row>
        <row r="2181">
          <cell r="K2181" t="str">
            <v>00111123P.2</v>
          </cell>
        </row>
        <row r="2182">
          <cell r="K2182" t="str">
            <v>00111112P.2</v>
          </cell>
        </row>
        <row r="2183">
          <cell r="K2183" t="str">
            <v>00111131P.2</v>
          </cell>
        </row>
        <row r="2184">
          <cell r="K2184" t="str">
            <v>00111123P.2</v>
          </cell>
        </row>
        <row r="2185">
          <cell r="K2185" t="str">
            <v>00111116P.2</v>
          </cell>
        </row>
        <row r="2186">
          <cell r="K2186" t="str">
            <v>00111122P.2</v>
          </cell>
        </row>
        <row r="2187">
          <cell r="K2187" t="str">
            <v>00111113P.2</v>
          </cell>
        </row>
        <row r="2188">
          <cell r="K2188" t="str">
            <v>00111133P.2</v>
          </cell>
        </row>
        <row r="2189">
          <cell r="K2189" t="str">
            <v>00111121P.2</v>
          </cell>
        </row>
        <row r="2190">
          <cell r="K2190" t="str">
            <v>00111118P.2</v>
          </cell>
        </row>
        <row r="2191">
          <cell r="K2191" t="str">
            <v>00111111P.2</v>
          </cell>
        </row>
        <row r="2192">
          <cell r="K2192" t="str">
            <v>00111117P.2</v>
          </cell>
        </row>
        <row r="2193">
          <cell r="K2193" t="str">
            <v>00111126P.2</v>
          </cell>
        </row>
        <row r="2194">
          <cell r="K2194" t="str">
            <v>00111133P.2</v>
          </cell>
        </row>
        <row r="2195">
          <cell r="K2195" t="str">
            <v>00111113P.2</v>
          </cell>
        </row>
        <row r="2196">
          <cell r="K2196" t="str">
            <v>00111130P.2</v>
          </cell>
        </row>
        <row r="2197">
          <cell r="K2197" t="str">
            <v>00111121P.2</v>
          </cell>
        </row>
        <row r="2198">
          <cell r="K2198" t="str">
            <v>00111116P.2</v>
          </cell>
        </row>
        <row r="2199">
          <cell r="K2199" t="str">
            <v>00111132P.2</v>
          </cell>
        </row>
        <row r="2200">
          <cell r="K2200" t="str">
            <v>00111120P.2</v>
          </cell>
        </row>
        <row r="2201">
          <cell r="K2201" t="str">
            <v>00111128P.2</v>
          </cell>
        </row>
        <row r="2202">
          <cell r="K2202" t="str">
            <v>00111117P.2</v>
          </cell>
        </row>
        <row r="2203">
          <cell r="K2203" t="str">
            <v>00111126P.2</v>
          </cell>
        </row>
        <row r="2204">
          <cell r="K2204" t="str">
            <v>00111113P.2</v>
          </cell>
        </row>
        <row r="2205">
          <cell r="K2205" t="str">
            <v>00111123P.2</v>
          </cell>
        </row>
        <row r="2206">
          <cell r="K2206" t="str">
            <v>00111120P.2</v>
          </cell>
        </row>
        <row r="2207">
          <cell r="K2207" t="str">
            <v>00111131P.2</v>
          </cell>
        </row>
        <row r="2208">
          <cell r="K2208" t="str">
            <v>00111113P.2</v>
          </cell>
        </row>
        <row r="2209">
          <cell r="K2209" t="str">
            <v>00111121P.2</v>
          </cell>
        </row>
        <row r="2210">
          <cell r="K2210" t="str">
            <v>00111110P.2</v>
          </cell>
        </row>
        <row r="2211">
          <cell r="K2211" t="str">
            <v>00111132P.2</v>
          </cell>
        </row>
        <row r="2212">
          <cell r="K2212" t="str">
            <v>00111110P.2</v>
          </cell>
        </row>
        <row r="2213">
          <cell r="K2213" t="str">
            <v>00111125P.2</v>
          </cell>
        </row>
        <row r="2214">
          <cell r="K2214" t="str">
            <v>00111134P.2</v>
          </cell>
        </row>
        <row r="2215">
          <cell r="K2215" t="str">
            <v>00111122P.2</v>
          </cell>
        </row>
        <row r="2216">
          <cell r="K2216" t="str">
            <v>00111132P.2</v>
          </cell>
        </row>
        <row r="2217">
          <cell r="K2217" t="str">
            <v>00111123P.2</v>
          </cell>
        </row>
        <row r="2218">
          <cell r="K2218" t="str">
            <v>00111111P.2</v>
          </cell>
        </row>
        <row r="2219">
          <cell r="K2219" t="str">
            <v>00111123P.2</v>
          </cell>
        </row>
        <row r="2220">
          <cell r="K2220" t="str">
            <v>00111131P.2</v>
          </cell>
        </row>
        <row r="2221">
          <cell r="K2221" t="str">
            <v>00111132P.2</v>
          </cell>
        </row>
        <row r="2222">
          <cell r="K2222" t="str">
            <v>00111135P.2</v>
          </cell>
        </row>
        <row r="2223">
          <cell r="K2223" t="str">
            <v>00111128P.2</v>
          </cell>
        </row>
        <row r="2224">
          <cell r="K2224" t="str">
            <v>00111136P.2</v>
          </cell>
        </row>
        <row r="2225">
          <cell r="K2225" t="str">
            <v>00111135P.2</v>
          </cell>
        </row>
        <row r="2226">
          <cell r="K2226" t="str">
            <v>00111110P.2</v>
          </cell>
        </row>
        <row r="2227">
          <cell r="K2227" t="str">
            <v>00111131P.2</v>
          </cell>
        </row>
        <row r="2228">
          <cell r="K2228" t="str">
            <v>00111116P.2</v>
          </cell>
        </row>
        <row r="2229">
          <cell r="K2229" t="str">
            <v>00111132P.2</v>
          </cell>
        </row>
        <row r="2230">
          <cell r="K2230" t="str">
            <v>00111128P.2</v>
          </cell>
        </row>
        <row r="2231">
          <cell r="K2231" t="str">
            <v>00111125P.2</v>
          </cell>
        </row>
        <row r="2232">
          <cell r="K2232" t="str">
            <v>00111110P.2</v>
          </cell>
        </row>
        <row r="2233">
          <cell r="K2233" t="str">
            <v>00111135P.2</v>
          </cell>
        </row>
        <row r="2234">
          <cell r="K2234" t="str">
            <v>00111112P.2</v>
          </cell>
        </row>
        <row r="2235">
          <cell r="K2235" t="str">
            <v>00111122P.2</v>
          </cell>
        </row>
        <row r="2236">
          <cell r="K2236" t="str">
            <v>00111128P.2</v>
          </cell>
        </row>
        <row r="2237">
          <cell r="K2237" t="str">
            <v>00111112P.2</v>
          </cell>
        </row>
        <row r="2238">
          <cell r="K2238" t="str">
            <v>00111129P.2</v>
          </cell>
        </row>
        <row r="2239">
          <cell r="K2239" t="str">
            <v>00111117P.2</v>
          </cell>
        </row>
        <row r="2240">
          <cell r="K2240" t="str">
            <v>00111131P.2</v>
          </cell>
        </row>
        <row r="2241">
          <cell r="K2241" t="str">
            <v>00111129P.2</v>
          </cell>
        </row>
        <row r="2242">
          <cell r="K2242" t="str">
            <v>00111130P.2</v>
          </cell>
        </row>
        <row r="2243">
          <cell r="K2243" t="str">
            <v>00111129P.2</v>
          </cell>
        </row>
        <row r="2244">
          <cell r="K2244" t="str">
            <v>00111128P.2</v>
          </cell>
        </row>
        <row r="2245">
          <cell r="K2245" t="str">
            <v>00111110P.2</v>
          </cell>
        </row>
        <row r="2246">
          <cell r="K2246" t="str">
            <v>00111113P.2</v>
          </cell>
        </row>
        <row r="2247">
          <cell r="K2247" t="str">
            <v>00111122P.2</v>
          </cell>
        </row>
        <row r="2248">
          <cell r="K2248" t="str">
            <v>00111117P.2</v>
          </cell>
        </row>
        <row r="2249">
          <cell r="K2249" t="str">
            <v>00111128P.2</v>
          </cell>
        </row>
        <row r="2250">
          <cell r="K2250" t="str">
            <v>00111122P.2</v>
          </cell>
        </row>
        <row r="2251">
          <cell r="K2251" t="str">
            <v>00111133P.2</v>
          </cell>
        </row>
        <row r="2252">
          <cell r="K2252" t="str">
            <v>00111113P.2</v>
          </cell>
        </row>
        <row r="2253">
          <cell r="K2253" t="str">
            <v>00111136P.2</v>
          </cell>
        </row>
        <row r="2254">
          <cell r="K2254" t="str">
            <v>00111130P.2</v>
          </cell>
        </row>
        <row r="2255">
          <cell r="K2255" t="str">
            <v>00111111P.2</v>
          </cell>
        </row>
        <row r="2256">
          <cell r="K2256" t="str">
            <v>00111129P.2</v>
          </cell>
        </row>
        <row r="2257">
          <cell r="K2257" t="str">
            <v>00111125P.2</v>
          </cell>
        </row>
        <row r="2258">
          <cell r="K2258" t="str">
            <v>00111127P.2</v>
          </cell>
        </row>
        <row r="2259">
          <cell r="K2259" t="str">
            <v>00111126P.2</v>
          </cell>
        </row>
        <row r="2260">
          <cell r="K2260" t="str">
            <v>00111127P.2</v>
          </cell>
        </row>
        <row r="2261">
          <cell r="K2261" t="str">
            <v>00111123P.2</v>
          </cell>
        </row>
        <row r="2262">
          <cell r="K2262" t="str">
            <v>00111129P.2</v>
          </cell>
        </row>
        <row r="2263">
          <cell r="K2263" t="str">
            <v>00111128P.2</v>
          </cell>
        </row>
        <row r="2264">
          <cell r="K2264" t="str">
            <v>00111120P.2</v>
          </cell>
        </row>
        <row r="2265">
          <cell r="K2265" t="str">
            <v>00111128P.2</v>
          </cell>
        </row>
        <row r="2266">
          <cell r="K2266" t="str">
            <v>00111127P.2</v>
          </cell>
        </row>
        <row r="2267">
          <cell r="K2267" t="str">
            <v>00111120P.2</v>
          </cell>
        </row>
        <row r="2268">
          <cell r="K2268" t="str">
            <v>00111113P.2</v>
          </cell>
        </row>
        <row r="2269">
          <cell r="K2269" t="str">
            <v>00111116P.2</v>
          </cell>
        </row>
        <row r="2270">
          <cell r="K2270" t="str">
            <v>00111116P.2</v>
          </cell>
        </row>
        <row r="2271">
          <cell r="K2271" t="str">
            <v>00111129P.2</v>
          </cell>
        </row>
        <row r="2272">
          <cell r="K2272" t="str">
            <v>00111126P.2</v>
          </cell>
        </row>
        <row r="2273">
          <cell r="K2273" t="str">
            <v>00111112P.2</v>
          </cell>
        </row>
        <row r="2274">
          <cell r="K2274" t="str">
            <v>00111128P.2</v>
          </cell>
        </row>
        <row r="2275">
          <cell r="K2275" t="str">
            <v>00111122P.2</v>
          </cell>
        </row>
        <row r="2276">
          <cell r="K2276" t="str">
            <v>00111121P.2</v>
          </cell>
        </row>
        <row r="2277">
          <cell r="K2277" t="str">
            <v>00111132P.2</v>
          </cell>
        </row>
        <row r="2278">
          <cell r="K2278" t="str">
            <v>00111131P.2</v>
          </cell>
        </row>
        <row r="2279">
          <cell r="K2279" t="str">
            <v>00111127P.2</v>
          </cell>
        </row>
        <row r="2280">
          <cell r="K2280" t="str">
            <v>00111120P.2</v>
          </cell>
        </row>
        <row r="2281">
          <cell r="K2281" t="str">
            <v>00111128P.2</v>
          </cell>
        </row>
        <row r="2282">
          <cell r="K2282" t="str">
            <v>00111117P.2</v>
          </cell>
        </row>
        <row r="2283">
          <cell r="K2283" t="str">
            <v>00111117P.2</v>
          </cell>
        </row>
        <row r="2284">
          <cell r="K2284" t="str">
            <v>00111112P.2</v>
          </cell>
        </row>
        <row r="2285">
          <cell r="K2285" t="str">
            <v>00111120P.2</v>
          </cell>
        </row>
        <row r="2286">
          <cell r="K2286" t="str">
            <v>00111110P.2</v>
          </cell>
        </row>
        <row r="2287">
          <cell r="K2287" t="str">
            <v>00111126P.2</v>
          </cell>
        </row>
        <row r="2288">
          <cell r="K2288" t="str">
            <v>00111131P.2</v>
          </cell>
        </row>
        <row r="2289">
          <cell r="K2289" t="str">
            <v>00111135P.2</v>
          </cell>
        </row>
        <row r="2290">
          <cell r="K2290" t="str">
            <v>00111115P.2</v>
          </cell>
        </row>
        <row r="2291">
          <cell r="K2291" t="str">
            <v>00111118P.2</v>
          </cell>
        </row>
        <row r="2292">
          <cell r="K2292" t="str">
            <v>00111134P.2</v>
          </cell>
        </row>
        <row r="2293">
          <cell r="K2293" t="str">
            <v>00111118P.2</v>
          </cell>
        </row>
        <row r="2294">
          <cell r="K2294" t="str">
            <v>00111122P.2</v>
          </cell>
        </row>
        <row r="2295">
          <cell r="K2295" t="str">
            <v>00111126P.2</v>
          </cell>
        </row>
        <row r="2296">
          <cell r="K2296" t="str">
            <v>00111134P.2</v>
          </cell>
        </row>
        <row r="2297">
          <cell r="K2297" t="str">
            <v>00111111P.2</v>
          </cell>
        </row>
        <row r="2298">
          <cell r="K2298" t="str">
            <v>00111113P.2</v>
          </cell>
        </row>
        <row r="2299">
          <cell r="K2299" t="str">
            <v>00111133P.2</v>
          </cell>
        </row>
        <row r="2300">
          <cell r="K2300" t="str">
            <v>00111127P.2</v>
          </cell>
        </row>
        <row r="2301">
          <cell r="K2301" t="str">
            <v>00111136P.2</v>
          </cell>
        </row>
        <row r="2302">
          <cell r="K2302" t="str">
            <v>00111134P.2</v>
          </cell>
        </row>
        <row r="2303">
          <cell r="K2303" t="str">
            <v>00111131P.2</v>
          </cell>
        </row>
        <row r="2304">
          <cell r="K2304" t="str">
            <v>00111136P.2</v>
          </cell>
        </row>
        <row r="2305">
          <cell r="K2305" t="str">
            <v>00111117P.2</v>
          </cell>
        </row>
        <row r="2306">
          <cell r="K2306" t="str">
            <v>00111128P.2</v>
          </cell>
        </row>
        <row r="2307">
          <cell r="K2307" t="str">
            <v>00111110P.2</v>
          </cell>
        </row>
        <row r="2308">
          <cell r="K2308" t="str">
            <v>00111122P.2</v>
          </cell>
        </row>
        <row r="2309">
          <cell r="K2309" t="str">
            <v>00111126P.2</v>
          </cell>
        </row>
        <row r="2310">
          <cell r="K2310" t="str">
            <v>00111122P.2</v>
          </cell>
        </row>
        <row r="2311">
          <cell r="K2311" t="str">
            <v>00111135P.2</v>
          </cell>
        </row>
        <row r="2312">
          <cell r="K2312" t="str">
            <v>00111131P.2</v>
          </cell>
        </row>
        <row r="2313">
          <cell r="K2313" t="str">
            <v>00111113P.2</v>
          </cell>
        </row>
        <row r="2314">
          <cell r="K2314" t="str">
            <v>00111122P.2</v>
          </cell>
        </row>
        <row r="2315">
          <cell r="K2315" t="str">
            <v>00111117P.2</v>
          </cell>
        </row>
        <row r="2316">
          <cell r="K2316" t="str">
            <v>00111127P.2</v>
          </cell>
        </row>
        <row r="2317">
          <cell r="K2317" t="str">
            <v>00111131P.2</v>
          </cell>
        </row>
        <row r="2318">
          <cell r="K2318" t="str">
            <v>00111113P.2</v>
          </cell>
        </row>
        <row r="2319">
          <cell r="K2319" t="str">
            <v>00111132P.2</v>
          </cell>
        </row>
        <row r="2320">
          <cell r="K2320" t="str">
            <v>00111128P.2</v>
          </cell>
        </row>
        <row r="2321">
          <cell r="K2321" t="str">
            <v>00111131P.2</v>
          </cell>
        </row>
        <row r="2322">
          <cell r="K2322" t="str">
            <v>00111128P.2</v>
          </cell>
        </row>
        <row r="2323">
          <cell r="K2323" t="str">
            <v>00111117P.2</v>
          </cell>
        </row>
        <row r="2324">
          <cell r="K2324" t="str">
            <v>00111111P.2</v>
          </cell>
        </row>
        <row r="2325">
          <cell r="K2325" t="str">
            <v>00111126P.2</v>
          </cell>
        </row>
        <row r="2326">
          <cell r="K2326" t="str">
            <v>00111125P.2</v>
          </cell>
        </row>
        <row r="2327">
          <cell r="K2327" t="str">
            <v>00111132P.2</v>
          </cell>
        </row>
        <row r="2328">
          <cell r="K2328" t="str">
            <v>00111113P.2</v>
          </cell>
        </row>
        <row r="2329">
          <cell r="K2329" t="str">
            <v>00111132P.2</v>
          </cell>
        </row>
        <row r="2330">
          <cell r="K2330" t="str">
            <v>00111110P.2</v>
          </cell>
        </row>
        <row r="2331">
          <cell r="K2331" t="str">
            <v>00111131P.2</v>
          </cell>
        </row>
        <row r="2332">
          <cell r="K2332" t="str">
            <v>00111130P.2</v>
          </cell>
        </row>
        <row r="2333">
          <cell r="K2333" t="str">
            <v>00111129P.2</v>
          </cell>
        </row>
        <row r="2334">
          <cell r="K2334" t="str">
            <v>00111122P.2</v>
          </cell>
        </row>
        <row r="2335">
          <cell r="K2335" t="str">
            <v>00111130P.2</v>
          </cell>
        </row>
        <row r="2336">
          <cell r="K2336" t="str">
            <v>00111113P.2</v>
          </cell>
        </row>
        <row r="2337">
          <cell r="K2337" t="str">
            <v>00111125P.2</v>
          </cell>
        </row>
        <row r="2338">
          <cell r="K2338" t="str">
            <v>00111126P.2</v>
          </cell>
        </row>
        <row r="2339">
          <cell r="K2339" t="str">
            <v>00111112P.2</v>
          </cell>
        </row>
        <row r="2340">
          <cell r="K2340" t="str">
            <v>00111113P.2</v>
          </cell>
        </row>
        <row r="2341">
          <cell r="K2341" t="str">
            <v>00111128P.2</v>
          </cell>
        </row>
        <row r="2342">
          <cell r="K2342" t="str">
            <v>00111125P.2</v>
          </cell>
        </row>
        <row r="2343">
          <cell r="K2343" t="str">
            <v>00111128P.2</v>
          </cell>
        </row>
        <row r="2344">
          <cell r="K2344" t="str">
            <v>00111127P.2</v>
          </cell>
        </row>
        <row r="2345">
          <cell r="K2345" t="str">
            <v>00111112P.2</v>
          </cell>
        </row>
        <row r="2346">
          <cell r="K2346" t="str">
            <v>00111120P.2</v>
          </cell>
        </row>
        <row r="2347">
          <cell r="K2347" t="str">
            <v>00111125P.2</v>
          </cell>
        </row>
        <row r="2348">
          <cell r="K2348" t="str">
            <v>00111125P.2</v>
          </cell>
        </row>
        <row r="2349">
          <cell r="K2349" t="str">
            <v>00111113P.2</v>
          </cell>
        </row>
        <row r="2350">
          <cell r="K2350" t="str">
            <v>00111113P.2</v>
          </cell>
        </row>
        <row r="2351">
          <cell r="K2351" t="str">
            <v>00111129P.2</v>
          </cell>
        </row>
        <row r="2352">
          <cell r="K2352" t="str">
            <v>00111128P.2</v>
          </cell>
        </row>
        <row r="2353">
          <cell r="K2353" t="str">
            <v>00111120P.2</v>
          </cell>
        </row>
        <row r="2354">
          <cell r="K2354" t="str">
            <v>00111130P.2</v>
          </cell>
        </row>
        <row r="2355">
          <cell r="K2355" t="str">
            <v>00111131P.2</v>
          </cell>
        </row>
        <row r="2356">
          <cell r="K2356" t="str">
            <v>00111122P.2</v>
          </cell>
        </row>
        <row r="2357">
          <cell r="K2357" t="str">
            <v>00111111P.2</v>
          </cell>
        </row>
        <row r="2358">
          <cell r="K2358" t="str">
            <v>00111115P.2</v>
          </cell>
        </row>
        <row r="2359">
          <cell r="K2359" t="str">
            <v>00111112P.2</v>
          </cell>
        </row>
        <row r="2360">
          <cell r="K2360" t="str">
            <v>00111129P.2</v>
          </cell>
        </row>
        <row r="2361">
          <cell r="K2361" t="str">
            <v>00111131P.2</v>
          </cell>
        </row>
        <row r="2362">
          <cell r="K2362" t="str">
            <v>00111153P.2</v>
          </cell>
        </row>
        <row r="2363">
          <cell r="K2363" t="str">
            <v>00111133P.2</v>
          </cell>
        </row>
        <row r="2364">
          <cell r="K2364" t="str">
            <v>00111133P.2</v>
          </cell>
        </row>
        <row r="2365">
          <cell r="K2365" t="str">
            <v>00111133P.2</v>
          </cell>
        </row>
        <row r="2366">
          <cell r="K2366" t="str">
            <v>00111153P.2</v>
          </cell>
        </row>
        <row r="2367">
          <cell r="K2367" t="str">
            <v>00111151P.2</v>
          </cell>
        </row>
        <row r="2368">
          <cell r="K2368" t="str">
            <v>00111151P.2</v>
          </cell>
        </row>
        <row r="2369">
          <cell r="K2369" t="str">
            <v>00111151P.2</v>
          </cell>
        </row>
        <row r="2370">
          <cell r="K2370" t="str">
            <v>00111151P.2</v>
          </cell>
        </row>
        <row r="2371">
          <cell r="K2371" t="str">
            <v>00111151P.2</v>
          </cell>
        </row>
        <row r="2372">
          <cell r="K2372" t="str">
            <v>00111151P.2</v>
          </cell>
        </row>
        <row r="2373">
          <cell r="K2373" t="str">
            <v>00111151P.2</v>
          </cell>
        </row>
        <row r="2374">
          <cell r="K2374" t="str">
            <v>00111151P.2</v>
          </cell>
        </row>
        <row r="2375">
          <cell r="K2375" t="str">
            <v>00111151P.2</v>
          </cell>
        </row>
        <row r="2376">
          <cell r="K2376" t="str">
            <v>00111151P.2</v>
          </cell>
        </row>
        <row r="2377">
          <cell r="K2377" t="str">
            <v>00111151P.2</v>
          </cell>
        </row>
        <row r="2378">
          <cell r="K2378" t="str">
            <v>00111151P.2</v>
          </cell>
        </row>
        <row r="2379">
          <cell r="K2379" t="str">
            <v>00111151P.2</v>
          </cell>
        </row>
        <row r="2380">
          <cell r="K2380" t="str">
            <v>00111151P.2</v>
          </cell>
        </row>
        <row r="2381">
          <cell r="K2381" t="str">
            <v>00111151P.2</v>
          </cell>
        </row>
        <row r="2382">
          <cell r="K2382" t="str">
            <v>00111151P.2</v>
          </cell>
        </row>
        <row r="2383">
          <cell r="K2383" t="str">
            <v>00111151P.2</v>
          </cell>
        </row>
        <row r="2384">
          <cell r="K2384" t="str">
            <v>00111151P.2</v>
          </cell>
        </row>
        <row r="2385">
          <cell r="K2385" t="str">
            <v>00111151P.2</v>
          </cell>
        </row>
        <row r="2386">
          <cell r="K2386" t="str">
            <v>00111151P.2</v>
          </cell>
        </row>
        <row r="2387">
          <cell r="K2387" t="str">
            <v>00111151P.2</v>
          </cell>
        </row>
        <row r="2388">
          <cell r="K2388" t="str">
            <v>00111151P.2</v>
          </cell>
        </row>
        <row r="2389">
          <cell r="K2389" t="str">
            <v>00111151P.2</v>
          </cell>
        </row>
        <row r="2390">
          <cell r="K2390" t="str">
            <v>00111151P.2</v>
          </cell>
        </row>
        <row r="2391">
          <cell r="K2391" t="str">
            <v>00111151P.2</v>
          </cell>
        </row>
        <row r="2392">
          <cell r="K2392" t="str">
            <v>00111151P.2</v>
          </cell>
        </row>
        <row r="2393">
          <cell r="K2393" t="str">
            <v>00111151P.2</v>
          </cell>
        </row>
        <row r="2394">
          <cell r="K2394" t="str">
            <v>00111151P.2</v>
          </cell>
        </row>
        <row r="2395">
          <cell r="K2395" t="str">
            <v>00111151P.2</v>
          </cell>
        </row>
        <row r="2396">
          <cell r="K2396" t="str">
            <v>00111151P.2</v>
          </cell>
        </row>
        <row r="2397">
          <cell r="K2397" t="str">
            <v>00111151P.2</v>
          </cell>
        </row>
        <row r="2398">
          <cell r="K2398" t="str">
            <v>00111151P.2</v>
          </cell>
        </row>
        <row r="2399">
          <cell r="K2399" t="str">
            <v>00111151P.2</v>
          </cell>
        </row>
        <row r="2400">
          <cell r="K2400" t="str">
            <v>00111151P.2</v>
          </cell>
        </row>
        <row r="2401">
          <cell r="K2401" t="str">
            <v>00111151P.2</v>
          </cell>
        </row>
        <row r="2402">
          <cell r="K2402" t="str">
            <v>00111151P.2</v>
          </cell>
        </row>
        <row r="2403">
          <cell r="K2403" t="str">
            <v>00111151P.2</v>
          </cell>
        </row>
        <row r="2404">
          <cell r="K2404" t="str">
            <v>00111151P.2</v>
          </cell>
        </row>
        <row r="2405">
          <cell r="K2405" t="str">
            <v>00111151P.2</v>
          </cell>
        </row>
        <row r="2406">
          <cell r="K2406" t="str">
            <v>00111151P.2</v>
          </cell>
        </row>
        <row r="2407">
          <cell r="K2407" t="str">
            <v>00111151P.2</v>
          </cell>
        </row>
        <row r="2408">
          <cell r="K2408" t="str">
            <v>00111151P.2</v>
          </cell>
        </row>
        <row r="2409">
          <cell r="K2409" t="str">
            <v>00111151P.2</v>
          </cell>
        </row>
        <row r="2410">
          <cell r="K2410" t="str">
            <v>00111151P.2</v>
          </cell>
        </row>
        <row r="2411">
          <cell r="K2411" t="str">
            <v>00111151P.2</v>
          </cell>
        </row>
        <row r="2412">
          <cell r="K2412" t="str">
            <v>00111108P.2</v>
          </cell>
        </row>
        <row r="2413">
          <cell r="K2413" t="str">
            <v>00111108P.2</v>
          </cell>
        </row>
        <row r="2414">
          <cell r="K2414" t="str">
            <v>00111108P.2</v>
          </cell>
        </row>
        <row r="2415">
          <cell r="K2415" t="str">
            <v>00111108P.2</v>
          </cell>
        </row>
        <row r="2416">
          <cell r="K2416" t="str">
            <v>00111108P.2</v>
          </cell>
        </row>
        <row r="2417">
          <cell r="K2417" t="str">
            <v>00111108P.2</v>
          </cell>
        </row>
        <row r="2418">
          <cell r="K2418" t="str">
            <v>00111108P.2</v>
          </cell>
        </row>
        <row r="2419">
          <cell r="K2419" t="str">
            <v>00111108P.2</v>
          </cell>
        </row>
        <row r="2420">
          <cell r="K2420" t="str">
            <v>00111108P.2</v>
          </cell>
        </row>
        <row r="2421">
          <cell r="K2421" t="str">
            <v>00111108P.2</v>
          </cell>
        </row>
        <row r="2422">
          <cell r="K2422" t="str">
            <v>00111108P.2</v>
          </cell>
        </row>
        <row r="2423">
          <cell r="K2423" t="str">
            <v>00111108P.2</v>
          </cell>
        </row>
        <row r="2424">
          <cell r="K2424" t="str">
            <v>00111108P.2</v>
          </cell>
        </row>
        <row r="2425">
          <cell r="K2425" t="str">
            <v>00111108P.2</v>
          </cell>
        </row>
        <row r="2426">
          <cell r="K2426" t="str">
            <v>00111108P.2</v>
          </cell>
        </row>
        <row r="2427">
          <cell r="K2427" t="str">
            <v>00021108P.2</v>
          </cell>
        </row>
        <row r="2428">
          <cell r="K2428" t="str">
            <v>00021108P.2</v>
          </cell>
        </row>
        <row r="2429">
          <cell r="K2429" t="str">
            <v>00111108P.2</v>
          </cell>
        </row>
        <row r="2430">
          <cell r="K2430" t="str">
            <v>00111108P.2</v>
          </cell>
        </row>
        <row r="2431">
          <cell r="K2431" t="str">
            <v>00111108P.2</v>
          </cell>
        </row>
        <row r="2432">
          <cell r="K2432" t="str">
            <v>00111130P.2</v>
          </cell>
        </row>
        <row r="2433">
          <cell r="K2433" t="str">
            <v>00111130P.2</v>
          </cell>
        </row>
        <row r="2434">
          <cell r="K2434" t="str">
            <v>00111130P.2</v>
          </cell>
        </row>
        <row r="2435">
          <cell r="K2435" t="str">
            <v>00111130P.2</v>
          </cell>
        </row>
        <row r="2436">
          <cell r="K2436" t="str">
            <v>00111130P.2</v>
          </cell>
        </row>
        <row r="2437">
          <cell r="K2437" t="str">
            <v>00111130P.2</v>
          </cell>
        </row>
        <row r="2438">
          <cell r="K2438" t="str">
            <v>00111130P.2</v>
          </cell>
        </row>
        <row r="2439">
          <cell r="K2439" t="str">
            <v>00111130P.2</v>
          </cell>
        </row>
        <row r="2440">
          <cell r="K2440" t="str">
            <v>00111130P.2</v>
          </cell>
        </row>
        <row r="2441">
          <cell r="K2441" t="str">
            <v>00111110P.2</v>
          </cell>
        </row>
        <row r="2442">
          <cell r="K2442" t="str">
            <v>00111110P.2</v>
          </cell>
        </row>
        <row r="2443">
          <cell r="K2443" t="str">
            <v>00111110P.2</v>
          </cell>
        </row>
        <row r="2444">
          <cell r="K2444" t="str">
            <v>00111110P.2</v>
          </cell>
        </row>
        <row r="2445">
          <cell r="K2445" t="str">
            <v>00111110P.2</v>
          </cell>
        </row>
        <row r="2446">
          <cell r="K2446" t="str">
            <v>00111110P.2</v>
          </cell>
        </row>
        <row r="2447">
          <cell r="K2447" t="str">
            <v>00111112P.2</v>
          </cell>
        </row>
        <row r="2448">
          <cell r="K2448" t="str">
            <v>00111112P.2</v>
          </cell>
        </row>
        <row r="2449">
          <cell r="K2449" t="str">
            <v>00111112P.2</v>
          </cell>
        </row>
        <row r="2450">
          <cell r="K2450" t="str">
            <v>00111112P.2</v>
          </cell>
        </row>
        <row r="2451">
          <cell r="K2451" t="str">
            <v>00111112P.2</v>
          </cell>
        </row>
        <row r="2452">
          <cell r="K2452" t="str">
            <v>00111112P.2</v>
          </cell>
        </row>
        <row r="2453">
          <cell r="K2453" t="str">
            <v>00111112P.2</v>
          </cell>
        </row>
        <row r="2454">
          <cell r="K2454" t="str">
            <v>00111112P.2</v>
          </cell>
        </row>
        <row r="2455">
          <cell r="K2455" t="str">
            <v>00111113P.2</v>
          </cell>
        </row>
        <row r="2456">
          <cell r="K2456" t="str">
            <v>00111113P.2</v>
          </cell>
        </row>
        <row r="2457">
          <cell r="K2457" t="str">
            <v>00111113P.2</v>
          </cell>
        </row>
        <row r="2458">
          <cell r="K2458" t="str">
            <v>00111113P.2</v>
          </cell>
        </row>
        <row r="2459">
          <cell r="K2459" t="str">
            <v>00111113P.2</v>
          </cell>
        </row>
        <row r="2460">
          <cell r="K2460" t="str">
            <v>00111113P.2</v>
          </cell>
        </row>
        <row r="2461">
          <cell r="K2461" t="str">
            <v>00111113P.2</v>
          </cell>
        </row>
        <row r="2462">
          <cell r="K2462" t="str">
            <v>00111113P.2</v>
          </cell>
        </row>
        <row r="2463">
          <cell r="K2463" t="str">
            <v>00111113P.2</v>
          </cell>
        </row>
        <row r="2464">
          <cell r="K2464" t="str">
            <v>00111113P.2</v>
          </cell>
        </row>
        <row r="2465">
          <cell r="K2465" t="str">
            <v>00111113P.2</v>
          </cell>
        </row>
        <row r="2466">
          <cell r="K2466" t="str">
            <v>00111113P.2</v>
          </cell>
        </row>
        <row r="2467">
          <cell r="K2467" t="str">
            <v>00111114P.2</v>
          </cell>
        </row>
        <row r="2468">
          <cell r="K2468" t="str">
            <v>00111114P.2</v>
          </cell>
        </row>
        <row r="2469">
          <cell r="K2469" t="str">
            <v>00111114P.2</v>
          </cell>
        </row>
        <row r="2470">
          <cell r="K2470" t="str">
            <v>00111114P.2</v>
          </cell>
        </row>
        <row r="2471">
          <cell r="K2471" t="str">
            <v>00111114P.2</v>
          </cell>
        </row>
        <row r="2472">
          <cell r="K2472" t="str">
            <v>00111114P.2</v>
          </cell>
        </row>
        <row r="2473">
          <cell r="K2473" t="str">
            <v>00111114P.2</v>
          </cell>
        </row>
        <row r="2474">
          <cell r="K2474" t="str">
            <v>00111114P.2</v>
          </cell>
        </row>
        <row r="2475">
          <cell r="K2475" t="str">
            <v>00111114P.2</v>
          </cell>
        </row>
        <row r="2476">
          <cell r="K2476" t="str">
            <v>00111114P.2</v>
          </cell>
        </row>
        <row r="2477">
          <cell r="K2477" t="str">
            <v>00111122P.2</v>
          </cell>
        </row>
        <row r="2478">
          <cell r="K2478" t="str">
            <v>00111122P.2</v>
          </cell>
        </row>
        <row r="2479">
          <cell r="K2479" t="str">
            <v>00111122P.2</v>
          </cell>
        </row>
        <row r="2480">
          <cell r="K2480" t="str">
            <v>00111122P.2</v>
          </cell>
        </row>
        <row r="2481">
          <cell r="K2481" t="str">
            <v>00111122P.2</v>
          </cell>
        </row>
        <row r="2482">
          <cell r="K2482" t="str">
            <v>00111122P.2</v>
          </cell>
        </row>
        <row r="2483">
          <cell r="K2483" t="str">
            <v>00111122P.2</v>
          </cell>
        </row>
        <row r="2484">
          <cell r="K2484" t="str">
            <v>00111121P.2</v>
          </cell>
        </row>
        <row r="2485">
          <cell r="K2485" t="str">
            <v>00111111P.2</v>
          </cell>
        </row>
        <row r="2486">
          <cell r="K2486" t="str">
            <v>00111111P.2</v>
          </cell>
        </row>
        <row r="2487">
          <cell r="K2487" t="str">
            <v>00111111P.2</v>
          </cell>
        </row>
        <row r="2488">
          <cell r="K2488" t="str">
            <v>00111111P.2</v>
          </cell>
        </row>
        <row r="2489">
          <cell r="K2489" t="str">
            <v>00111111P.2</v>
          </cell>
        </row>
        <row r="2490">
          <cell r="K2490" t="str">
            <v>00111111P.2</v>
          </cell>
        </row>
        <row r="2491">
          <cell r="K2491" t="str">
            <v>00111111P.2</v>
          </cell>
        </row>
        <row r="2492">
          <cell r="K2492" t="str">
            <v>00111111P.2</v>
          </cell>
        </row>
        <row r="2493">
          <cell r="K2493" t="str">
            <v>00111111P.2</v>
          </cell>
        </row>
        <row r="2494">
          <cell r="K2494" t="str">
            <v>00111111P.2</v>
          </cell>
        </row>
        <row r="2495">
          <cell r="K2495" t="str">
            <v>00111111P.2</v>
          </cell>
        </row>
        <row r="2496">
          <cell r="K2496" t="str">
            <v>00111115P.2</v>
          </cell>
        </row>
        <row r="2497">
          <cell r="K2497" t="str">
            <v>00111115P.2</v>
          </cell>
        </row>
        <row r="2498">
          <cell r="K2498" t="str">
            <v>00111115P.2</v>
          </cell>
        </row>
        <row r="2499">
          <cell r="K2499" t="str">
            <v>00111115P.2</v>
          </cell>
        </row>
        <row r="2500">
          <cell r="K2500" t="str">
            <v>00111115P.2</v>
          </cell>
        </row>
        <row r="2501">
          <cell r="K2501" t="str">
            <v>00111115P.2</v>
          </cell>
        </row>
        <row r="2502">
          <cell r="K2502" t="str">
            <v>00111115P.2</v>
          </cell>
        </row>
        <row r="2503">
          <cell r="K2503" t="str">
            <v>00111115P.2</v>
          </cell>
        </row>
        <row r="2504">
          <cell r="K2504" t="str">
            <v>00111116P.2</v>
          </cell>
        </row>
        <row r="2505">
          <cell r="K2505" t="str">
            <v>00111116P.2</v>
          </cell>
        </row>
        <row r="2506">
          <cell r="K2506" t="str">
            <v>00111116P.2</v>
          </cell>
        </row>
        <row r="2507">
          <cell r="K2507" t="str">
            <v>00111116P.2</v>
          </cell>
        </row>
        <row r="2508">
          <cell r="K2508" t="str">
            <v>00111116P.2</v>
          </cell>
        </row>
        <row r="2509">
          <cell r="K2509" t="str">
            <v>00111116P.2</v>
          </cell>
        </row>
        <row r="2510">
          <cell r="K2510" t="str">
            <v>00111116P.2</v>
          </cell>
        </row>
        <row r="2511">
          <cell r="K2511" t="str">
            <v>00111116P.2</v>
          </cell>
        </row>
        <row r="2512">
          <cell r="K2512" t="str">
            <v>00111116P.2</v>
          </cell>
        </row>
        <row r="2513">
          <cell r="K2513" t="str">
            <v>00111116P.2</v>
          </cell>
        </row>
        <row r="2514">
          <cell r="K2514" t="str">
            <v>00111116P.2</v>
          </cell>
        </row>
        <row r="2515">
          <cell r="K2515" t="str">
            <v>00111117P.2</v>
          </cell>
        </row>
        <row r="2516">
          <cell r="K2516" t="str">
            <v>00111117P.2</v>
          </cell>
        </row>
        <row r="2517">
          <cell r="K2517" t="str">
            <v>00111117P.2</v>
          </cell>
        </row>
        <row r="2518">
          <cell r="K2518" t="str">
            <v>00111117P.2</v>
          </cell>
        </row>
        <row r="2519">
          <cell r="K2519" t="str">
            <v>00111117P.2</v>
          </cell>
        </row>
        <row r="2520">
          <cell r="K2520" t="str">
            <v>00111117P.2</v>
          </cell>
        </row>
        <row r="2521">
          <cell r="K2521" t="str">
            <v>00111117P.2</v>
          </cell>
        </row>
        <row r="2522">
          <cell r="K2522" t="str">
            <v>00111117P.2</v>
          </cell>
        </row>
        <row r="2523">
          <cell r="K2523" t="str">
            <v>00111117P.2</v>
          </cell>
        </row>
        <row r="2524">
          <cell r="K2524" t="str">
            <v>00111117P.2</v>
          </cell>
        </row>
        <row r="2525">
          <cell r="K2525" t="str">
            <v>00111117P.2</v>
          </cell>
        </row>
        <row r="2526">
          <cell r="K2526" t="str">
            <v>00111117P.2</v>
          </cell>
        </row>
        <row r="2527">
          <cell r="K2527" t="str">
            <v>00111118P.2</v>
          </cell>
        </row>
        <row r="2528">
          <cell r="K2528" t="str">
            <v>00111118P.2</v>
          </cell>
        </row>
        <row r="2529">
          <cell r="K2529" t="str">
            <v>00111118P.2</v>
          </cell>
        </row>
        <row r="2530">
          <cell r="K2530" t="str">
            <v>00111118P.2</v>
          </cell>
        </row>
        <row r="2531">
          <cell r="K2531" t="str">
            <v>00111118P.2</v>
          </cell>
        </row>
        <row r="2532">
          <cell r="K2532" t="str">
            <v>00111118P.2</v>
          </cell>
        </row>
        <row r="2533">
          <cell r="K2533" t="str">
            <v>00111118P.2</v>
          </cell>
        </row>
        <row r="2534">
          <cell r="K2534" t="str">
            <v>00111118P.2</v>
          </cell>
        </row>
        <row r="2535">
          <cell r="K2535" t="str">
            <v>00111118P.2</v>
          </cell>
        </row>
        <row r="2536">
          <cell r="K2536" t="str">
            <v>00111118P.2</v>
          </cell>
        </row>
        <row r="2537">
          <cell r="K2537" t="str">
            <v>00111119P.2</v>
          </cell>
        </row>
        <row r="2538">
          <cell r="K2538" t="str">
            <v>00111119P.2</v>
          </cell>
        </row>
        <row r="2539">
          <cell r="K2539" t="str">
            <v>00111119P.2</v>
          </cell>
        </row>
        <row r="2540">
          <cell r="K2540" t="str">
            <v>00111119P.2</v>
          </cell>
        </row>
        <row r="2541">
          <cell r="K2541" t="str">
            <v>00111119P.2</v>
          </cell>
        </row>
        <row r="2542">
          <cell r="K2542" t="str">
            <v>00111119P.2</v>
          </cell>
        </row>
        <row r="2543">
          <cell r="K2543" t="str">
            <v>00111119P.2</v>
          </cell>
        </row>
        <row r="2544">
          <cell r="K2544" t="str">
            <v>00111119P.2</v>
          </cell>
        </row>
        <row r="2545">
          <cell r="K2545" t="str">
            <v>00111119P.2</v>
          </cell>
        </row>
        <row r="2546">
          <cell r="K2546" t="str">
            <v>00111120P.2</v>
          </cell>
        </row>
        <row r="2547">
          <cell r="K2547" t="str">
            <v>00111120P.2</v>
          </cell>
        </row>
        <row r="2548">
          <cell r="K2548" t="str">
            <v>00111122P.2</v>
          </cell>
        </row>
        <row r="2549">
          <cell r="K2549" t="str">
            <v>00111122P.2</v>
          </cell>
        </row>
        <row r="2550">
          <cell r="K2550" t="str">
            <v>00111122P.2</v>
          </cell>
        </row>
        <row r="2551">
          <cell r="K2551" t="str">
            <v>00111122P.2</v>
          </cell>
        </row>
        <row r="2552">
          <cell r="K2552" t="str">
            <v>00111122P.2</v>
          </cell>
        </row>
        <row r="2553">
          <cell r="K2553" t="str">
            <v>00111122P.2</v>
          </cell>
        </row>
        <row r="2554">
          <cell r="K2554" t="str">
            <v>00111122P.2</v>
          </cell>
        </row>
        <row r="2555">
          <cell r="K2555" t="str">
            <v>00111122P.2</v>
          </cell>
        </row>
        <row r="2556">
          <cell r="K2556" t="str">
            <v>00111122P.2</v>
          </cell>
        </row>
        <row r="2557">
          <cell r="K2557" t="str">
            <v>00111122P.2</v>
          </cell>
        </row>
        <row r="2558">
          <cell r="K2558" t="str">
            <v>00111122P.2</v>
          </cell>
        </row>
        <row r="2559">
          <cell r="K2559" t="str">
            <v>00111122P.2</v>
          </cell>
        </row>
        <row r="2560">
          <cell r="K2560" t="str">
            <v>00111125P.2</v>
          </cell>
        </row>
        <row r="2561">
          <cell r="K2561" t="str">
            <v>00111125P.2</v>
          </cell>
        </row>
        <row r="2562">
          <cell r="K2562" t="str">
            <v>00111125P.2</v>
          </cell>
        </row>
        <row r="2563">
          <cell r="K2563" t="str">
            <v>00111125P.2</v>
          </cell>
        </row>
        <row r="2564">
          <cell r="K2564" t="str">
            <v>00111125P.2</v>
          </cell>
        </row>
        <row r="2565">
          <cell r="K2565" t="str">
            <v>00111125P.2</v>
          </cell>
        </row>
        <row r="2566">
          <cell r="K2566" t="str">
            <v>00111125P.2</v>
          </cell>
        </row>
        <row r="2567">
          <cell r="K2567" t="str">
            <v>00111125P.2</v>
          </cell>
        </row>
        <row r="2568">
          <cell r="K2568" t="str">
            <v>00111125P.2</v>
          </cell>
        </row>
        <row r="2569">
          <cell r="K2569" t="str">
            <v>00111125P.2</v>
          </cell>
        </row>
        <row r="2570">
          <cell r="K2570" t="str">
            <v>00111126P.2</v>
          </cell>
        </row>
        <row r="2571">
          <cell r="K2571" t="str">
            <v>00111126P.2</v>
          </cell>
        </row>
        <row r="2572">
          <cell r="K2572" t="str">
            <v>00111126P.2</v>
          </cell>
        </row>
        <row r="2573">
          <cell r="K2573" t="str">
            <v>00111126P.2</v>
          </cell>
        </row>
        <row r="2574">
          <cell r="K2574" t="str">
            <v>00111126P.2</v>
          </cell>
        </row>
        <row r="2575">
          <cell r="K2575" t="str">
            <v>00111126P.2</v>
          </cell>
        </row>
        <row r="2576">
          <cell r="K2576" t="str">
            <v>00111126P.2</v>
          </cell>
        </row>
        <row r="2577">
          <cell r="K2577" t="str">
            <v>00111126P.2</v>
          </cell>
        </row>
        <row r="2578">
          <cell r="K2578" t="str">
            <v>00111126P.2</v>
          </cell>
        </row>
        <row r="2579">
          <cell r="K2579" t="str">
            <v>00111126P.2</v>
          </cell>
        </row>
        <row r="2580">
          <cell r="K2580" t="str">
            <v>00111128P.2</v>
          </cell>
        </row>
        <row r="2581">
          <cell r="K2581" t="str">
            <v>00111128P.2</v>
          </cell>
        </row>
        <row r="2582">
          <cell r="K2582" t="str">
            <v>00111128P.2</v>
          </cell>
        </row>
        <row r="2583">
          <cell r="K2583" t="str">
            <v>00111128P.2</v>
          </cell>
        </row>
        <row r="2584">
          <cell r="K2584" t="str">
            <v>00111128P.2</v>
          </cell>
        </row>
        <row r="2585">
          <cell r="K2585" t="str">
            <v>00111128P.2</v>
          </cell>
        </row>
        <row r="2586">
          <cell r="K2586" t="str">
            <v>00111128P.2</v>
          </cell>
        </row>
        <row r="2587">
          <cell r="K2587" t="str">
            <v>00111128P.2</v>
          </cell>
        </row>
        <row r="2588">
          <cell r="K2588" t="str">
            <v>00111128P.2</v>
          </cell>
        </row>
        <row r="2589">
          <cell r="K2589" t="str">
            <v>00111128P.2</v>
          </cell>
        </row>
        <row r="2590">
          <cell r="K2590" t="str">
            <v>00111128P.2</v>
          </cell>
        </row>
        <row r="2591">
          <cell r="K2591" t="str">
            <v>00111128P.2</v>
          </cell>
        </row>
        <row r="2592">
          <cell r="K2592" t="str">
            <v>00111128P.2</v>
          </cell>
        </row>
        <row r="2593">
          <cell r="K2593" t="str">
            <v>00111128P.2</v>
          </cell>
        </row>
        <row r="2594">
          <cell r="K2594" t="str">
            <v>00111129P.2</v>
          </cell>
        </row>
        <row r="2595">
          <cell r="K2595" t="str">
            <v>00111129P.2</v>
          </cell>
        </row>
        <row r="2596">
          <cell r="K2596" t="str">
            <v>00111129P.2</v>
          </cell>
        </row>
        <row r="2597">
          <cell r="K2597" t="str">
            <v>00111129P.2</v>
          </cell>
        </row>
        <row r="2598">
          <cell r="K2598" t="str">
            <v>00111129P.2</v>
          </cell>
        </row>
        <row r="2599">
          <cell r="K2599" t="str">
            <v>00111129P.2</v>
          </cell>
        </row>
        <row r="2600">
          <cell r="K2600" t="str">
            <v>00111130P.2</v>
          </cell>
        </row>
        <row r="2601">
          <cell r="K2601" t="str">
            <v>00111130P.2</v>
          </cell>
        </row>
        <row r="2602">
          <cell r="K2602" t="str">
            <v>00111130P.2</v>
          </cell>
        </row>
        <row r="2603">
          <cell r="K2603" t="str">
            <v>00111130P.2</v>
          </cell>
        </row>
        <row r="2604">
          <cell r="K2604" t="str">
            <v>00111130P.2</v>
          </cell>
        </row>
        <row r="2605">
          <cell r="K2605" t="str">
            <v>00111130P.2</v>
          </cell>
        </row>
        <row r="2606">
          <cell r="K2606" t="str">
            <v>00111130P.2</v>
          </cell>
        </row>
        <row r="2607">
          <cell r="K2607" t="str">
            <v>00111130P.2</v>
          </cell>
        </row>
        <row r="2608">
          <cell r="K2608" t="str">
            <v>00111130P.2</v>
          </cell>
        </row>
        <row r="2609">
          <cell r="K2609" t="str">
            <v>00111130P.2</v>
          </cell>
        </row>
        <row r="2610">
          <cell r="K2610" t="str">
            <v>00111131P.2</v>
          </cell>
        </row>
        <row r="2611">
          <cell r="K2611" t="str">
            <v>00111131P.2</v>
          </cell>
        </row>
        <row r="2612">
          <cell r="K2612" t="str">
            <v>00111131P.2</v>
          </cell>
        </row>
        <row r="2613">
          <cell r="K2613" t="str">
            <v>00111131P.2</v>
          </cell>
        </row>
        <row r="2614">
          <cell r="K2614" t="str">
            <v>00111131P.2</v>
          </cell>
        </row>
        <row r="2615">
          <cell r="K2615" t="str">
            <v>00111131P.2</v>
          </cell>
        </row>
        <row r="2616">
          <cell r="K2616" t="str">
            <v>00111131P.2</v>
          </cell>
        </row>
        <row r="2617">
          <cell r="K2617" t="str">
            <v>00111131P.2</v>
          </cell>
        </row>
        <row r="2618">
          <cell r="K2618" t="str">
            <v>00111131P.2</v>
          </cell>
        </row>
        <row r="2619">
          <cell r="K2619" t="str">
            <v>00111131P.2</v>
          </cell>
        </row>
        <row r="2620">
          <cell r="K2620" t="str">
            <v>00111135P.2</v>
          </cell>
        </row>
        <row r="2621">
          <cell r="K2621" t="str">
            <v>00111135P.2</v>
          </cell>
        </row>
        <row r="2622">
          <cell r="K2622" t="str">
            <v>00111153P.2</v>
          </cell>
        </row>
        <row r="2623">
          <cell r="K2623" t="str">
            <v>00111153P.2</v>
          </cell>
        </row>
        <row r="2624">
          <cell r="K2624" t="str">
            <v>00111143P.2</v>
          </cell>
        </row>
        <row r="2625">
          <cell r="K2625" t="str">
            <v>00111143P.2</v>
          </cell>
        </row>
        <row r="2626">
          <cell r="K2626" t="str">
            <v>00111143P.2</v>
          </cell>
        </row>
        <row r="2627">
          <cell r="K2627" t="str">
            <v>00111143P.2</v>
          </cell>
        </row>
        <row r="2628">
          <cell r="K2628" t="str">
            <v>00111143P.2</v>
          </cell>
        </row>
        <row r="2629">
          <cell r="K2629" t="str">
            <v>00111143P.2</v>
          </cell>
        </row>
        <row r="2630">
          <cell r="K2630" t="str">
            <v>00111143P.2</v>
          </cell>
        </row>
        <row r="2631">
          <cell r="K2631" t="str">
            <v>00111150P.2</v>
          </cell>
        </row>
        <row r="2632">
          <cell r="K2632" t="str">
            <v>00111110P.2</v>
          </cell>
        </row>
        <row r="2633">
          <cell r="K2633" t="str">
            <v>00111110P.2</v>
          </cell>
        </row>
        <row r="2634">
          <cell r="K2634" t="str">
            <v>00111110P.2</v>
          </cell>
        </row>
        <row r="2635">
          <cell r="K2635" t="str">
            <v>00111110P.2</v>
          </cell>
        </row>
        <row r="2636">
          <cell r="K2636" t="str">
            <v>00111110P.2</v>
          </cell>
        </row>
        <row r="2637">
          <cell r="K2637" t="str">
            <v>00111110P.2</v>
          </cell>
        </row>
        <row r="2638">
          <cell r="K2638" t="str">
            <v>00111110P.2</v>
          </cell>
        </row>
        <row r="2639">
          <cell r="K2639" t="str">
            <v>00111110P.2</v>
          </cell>
        </row>
        <row r="2640">
          <cell r="K2640" t="str">
            <v>00111110P.2</v>
          </cell>
        </row>
        <row r="2641">
          <cell r="K2641" t="str">
            <v>00111110P.2</v>
          </cell>
        </row>
        <row r="2642">
          <cell r="K2642" t="str">
            <v>00111110P.2</v>
          </cell>
        </row>
        <row r="2643">
          <cell r="K2643" t="str">
            <v>00111110P.2</v>
          </cell>
        </row>
        <row r="2644">
          <cell r="K2644" t="str">
            <v>00111110P.2</v>
          </cell>
        </row>
        <row r="2645">
          <cell r="K2645" t="str">
            <v>00111110P.2</v>
          </cell>
        </row>
        <row r="2646">
          <cell r="K2646" t="str">
            <v>00111110P.2</v>
          </cell>
        </row>
        <row r="2647">
          <cell r="K2647" t="str">
            <v>00111110P.2</v>
          </cell>
        </row>
        <row r="2648">
          <cell r="K2648" t="str">
            <v>00111110P.2</v>
          </cell>
        </row>
        <row r="2649">
          <cell r="K2649" t="str">
            <v>00111111P.2</v>
          </cell>
        </row>
        <row r="2650">
          <cell r="K2650" t="str">
            <v>00111111P.2</v>
          </cell>
        </row>
        <row r="2651">
          <cell r="K2651" t="str">
            <v>00111111P.2</v>
          </cell>
        </row>
        <row r="2652">
          <cell r="K2652" t="str">
            <v>00111111P.2</v>
          </cell>
        </row>
        <row r="2653">
          <cell r="K2653" t="str">
            <v>00111111P.2</v>
          </cell>
        </row>
        <row r="2654">
          <cell r="K2654" t="str">
            <v>00111111P.2</v>
          </cell>
        </row>
        <row r="2655">
          <cell r="K2655" t="str">
            <v>00111112P.2</v>
          </cell>
        </row>
        <row r="2656">
          <cell r="K2656" t="str">
            <v>00111112P.2</v>
          </cell>
        </row>
        <row r="2657">
          <cell r="K2657" t="str">
            <v>00111112P.2</v>
          </cell>
        </row>
        <row r="2658">
          <cell r="K2658" t="str">
            <v>00111112P.2</v>
          </cell>
        </row>
        <row r="2659">
          <cell r="K2659" t="str">
            <v>00111112P.2</v>
          </cell>
        </row>
        <row r="2660">
          <cell r="K2660" t="str">
            <v>00111112P.2</v>
          </cell>
        </row>
        <row r="2661">
          <cell r="K2661" t="str">
            <v>00111112P.2</v>
          </cell>
        </row>
        <row r="2662">
          <cell r="K2662" t="str">
            <v>00111112P.2</v>
          </cell>
        </row>
        <row r="2663">
          <cell r="K2663" t="str">
            <v>00111112P.2</v>
          </cell>
        </row>
        <row r="2664">
          <cell r="K2664" t="str">
            <v>00111112P.2</v>
          </cell>
        </row>
        <row r="2665">
          <cell r="K2665" t="str">
            <v>00111112P.2</v>
          </cell>
        </row>
        <row r="2666">
          <cell r="K2666" t="str">
            <v>00111112P.2</v>
          </cell>
        </row>
        <row r="2667">
          <cell r="K2667" t="str">
            <v>00111112P.2</v>
          </cell>
        </row>
        <row r="2668">
          <cell r="K2668" t="str">
            <v>00111112P.2</v>
          </cell>
        </row>
        <row r="2669">
          <cell r="K2669" t="str">
            <v>00111112P.2</v>
          </cell>
        </row>
        <row r="2670">
          <cell r="K2670" t="str">
            <v>00111112P.2</v>
          </cell>
        </row>
        <row r="2671">
          <cell r="K2671" t="str">
            <v>00111113P.2</v>
          </cell>
        </row>
        <row r="2672">
          <cell r="K2672" t="str">
            <v>00111113P.2</v>
          </cell>
        </row>
        <row r="2673">
          <cell r="K2673" t="str">
            <v>00111113P.2</v>
          </cell>
        </row>
        <row r="2674">
          <cell r="K2674" t="str">
            <v>00111113P.2</v>
          </cell>
        </row>
        <row r="2675">
          <cell r="K2675" t="str">
            <v>00111113P.2</v>
          </cell>
        </row>
        <row r="2676">
          <cell r="K2676" t="str">
            <v>00111113P.2</v>
          </cell>
        </row>
        <row r="2677">
          <cell r="K2677" t="str">
            <v>00111113P.2</v>
          </cell>
        </row>
        <row r="2678">
          <cell r="K2678" t="str">
            <v>00111113P.2</v>
          </cell>
        </row>
        <row r="2679">
          <cell r="K2679" t="str">
            <v>00111113P.2</v>
          </cell>
        </row>
        <row r="2680">
          <cell r="K2680" t="str">
            <v>00111113P.2</v>
          </cell>
        </row>
        <row r="2681">
          <cell r="K2681" t="str">
            <v>00111113P.2</v>
          </cell>
        </row>
        <row r="2682">
          <cell r="K2682" t="str">
            <v>00111113P.2</v>
          </cell>
        </row>
        <row r="2683">
          <cell r="K2683" t="str">
            <v>00111113P.2</v>
          </cell>
        </row>
        <row r="2684">
          <cell r="K2684" t="str">
            <v>00111113P.2</v>
          </cell>
        </row>
        <row r="2685">
          <cell r="K2685" t="str">
            <v>00111113P.2</v>
          </cell>
        </row>
        <row r="2686">
          <cell r="K2686" t="str">
            <v>00111113P.2</v>
          </cell>
        </row>
        <row r="2687">
          <cell r="K2687" t="str">
            <v>00111113P.2</v>
          </cell>
        </row>
        <row r="2688">
          <cell r="K2688" t="str">
            <v>00111113P.2</v>
          </cell>
        </row>
        <row r="2689">
          <cell r="K2689" t="str">
            <v>00111113P.2</v>
          </cell>
        </row>
        <row r="2690">
          <cell r="K2690" t="str">
            <v>00111114P.2</v>
          </cell>
        </row>
        <row r="2691">
          <cell r="K2691" t="str">
            <v>00111114P.2</v>
          </cell>
        </row>
        <row r="2692">
          <cell r="K2692" t="str">
            <v>00111114P.2</v>
          </cell>
        </row>
        <row r="2693">
          <cell r="K2693" t="str">
            <v>00111114P.2</v>
          </cell>
        </row>
        <row r="2694">
          <cell r="K2694" t="str">
            <v>00111114P.2</v>
          </cell>
        </row>
        <row r="2695">
          <cell r="K2695" t="str">
            <v>00111114P.2</v>
          </cell>
        </row>
        <row r="2696">
          <cell r="K2696" t="str">
            <v>00111114P.2</v>
          </cell>
        </row>
        <row r="2697">
          <cell r="K2697" t="str">
            <v>00111114P.2</v>
          </cell>
        </row>
        <row r="2698">
          <cell r="K2698" t="str">
            <v>00111114P.2</v>
          </cell>
        </row>
        <row r="2699">
          <cell r="K2699" t="str">
            <v>00111114P.2</v>
          </cell>
        </row>
        <row r="2700">
          <cell r="K2700" t="str">
            <v>00111114P.2</v>
          </cell>
        </row>
        <row r="2701">
          <cell r="K2701" t="str">
            <v>00111114P.2</v>
          </cell>
        </row>
        <row r="2702">
          <cell r="K2702" t="str">
            <v>00111114P.2</v>
          </cell>
        </row>
        <row r="2703">
          <cell r="K2703" t="str">
            <v>00111115P.2</v>
          </cell>
        </row>
        <row r="2704">
          <cell r="K2704" t="str">
            <v>00111115P.2</v>
          </cell>
        </row>
        <row r="2705">
          <cell r="K2705" t="str">
            <v>00111115P.2</v>
          </cell>
        </row>
        <row r="2706">
          <cell r="K2706" t="str">
            <v>00111115P.2</v>
          </cell>
        </row>
        <row r="2707">
          <cell r="K2707" t="str">
            <v>00111115P.2</v>
          </cell>
        </row>
        <row r="2708">
          <cell r="K2708" t="str">
            <v>00111115P.2</v>
          </cell>
        </row>
        <row r="2709">
          <cell r="K2709" t="str">
            <v>00111115P.2</v>
          </cell>
        </row>
        <row r="2710">
          <cell r="K2710" t="str">
            <v>00111115P.2</v>
          </cell>
        </row>
        <row r="2711">
          <cell r="K2711" t="str">
            <v>00111116P.2</v>
          </cell>
        </row>
        <row r="2712">
          <cell r="K2712" t="str">
            <v>00111116P.2</v>
          </cell>
        </row>
        <row r="2713">
          <cell r="K2713" t="str">
            <v>00111116P.2</v>
          </cell>
        </row>
        <row r="2714">
          <cell r="K2714" t="str">
            <v>00111116P.2</v>
          </cell>
        </row>
        <row r="2715">
          <cell r="K2715" t="str">
            <v>00111116P.2</v>
          </cell>
        </row>
        <row r="2716">
          <cell r="K2716" t="str">
            <v>00111116P.2</v>
          </cell>
        </row>
        <row r="2717">
          <cell r="K2717" t="str">
            <v>00111116P.2</v>
          </cell>
        </row>
        <row r="2718">
          <cell r="K2718" t="str">
            <v>00111116P.2</v>
          </cell>
        </row>
        <row r="2719">
          <cell r="K2719" t="str">
            <v>00111116P.2</v>
          </cell>
        </row>
        <row r="2720">
          <cell r="K2720" t="str">
            <v>00111116P.2</v>
          </cell>
        </row>
        <row r="2721">
          <cell r="K2721" t="str">
            <v>00111116P.2</v>
          </cell>
        </row>
        <row r="2722">
          <cell r="K2722" t="str">
            <v>00111116P.2</v>
          </cell>
        </row>
        <row r="2723">
          <cell r="K2723" t="str">
            <v>00111117P.2</v>
          </cell>
        </row>
        <row r="2724">
          <cell r="K2724" t="str">
            <v>00111117P.2</v>
          </cell>
        </row>
        <row r="2725">
          <cell r="K2725" t="str">
            <v>00111117P.2</v>
          </cell>
        </row>
        <row r="2726">
          <cell r="K2726" t="str">
            <v>00111117P.2</v>
          </cell>
        </row>
        <row r="2727">
          <cell r="K2727" t="str">
            <v>00111117P.2</v>
          </cell>
        </row>
        <row r="2728">
          <cell r="K2728" t="str">
            <v>00111117P.2</v>
          </cell>
        </row>
        <row r="2729">
          <cell r="K2729" t="str">
            <v>00111117P.2</v>
          </cell>
        </row>
        <row r="2730">
          <cell r="K2730" t="str">
            <v>00111117P.2</v>
          </cell>
        </row>
        <row r="2731">
          <cell r="K2731" t="str">
            <v>00111117P.2</v>
          </cell>
        </row>
        <row r="2732">
          <cell r="K2732" t="str">
            <v>00111117P.2</v>
          </cell>
        </row>
        <row r="2733">
          <cell r="K2733" t="str">
            <v>00111117P.2</v>
          </cell>
        </row>
        <row r="2734">
          <cell r="K2734" t="str">
            <v>00111117P.2</v>
          </cell>
        </row>
        <row r="2735">
          <cell r="K2735" t="str">
            <v>00111117P.2</v>
          </cell>
        </row>
        <row r="2736">
          <cell r="K2736" t="str">
            <v>00111117P.2</v>
          </cell>
        </row>
        <row r="2737">
          <cell r="K2737" t="str">
            <v>00111117P.2</v>
          </cell>
        </row>
        <row r="2738">
          <cell r="K2738" t="str">
            <v>00111117P.2</v>
          </cell>
        </row>
        <row r="2739">
          <cell r="K2739" t="str">
            <v>00111117P.2</v>
          </cell>
        </row>
        <row r="2740">
          <cell r="K2740" t="str">
            <v>00111117P.2</v>
          </cell>
        </row>
        <row r="2741">
          <cell r="K2741" t="str">
            <v>00111117P.2</v>
          </cell>
        </row>
        <row r="2742">
          <cell r="K2742" t="str">
            <v>00111117P.2</v>
          </cell>
        </row>
        <row r="2743">
          <cell r="K2743" t="str">
            <v>00111117P.2</v>
          </cell>
        </row>
        <row r="2744">
          <cell r="K2744" t="str">
            <v>00111118P.2</v>
          </cell>
        </row>
        <row r="2745">
          <cell r="K2745" t="str">
            <v>00111118P.2</v>
          </cell>
        </row>
        <row r="2746">
          <cell r="K2746" t="str">
            <v>00111118P.2</v>
          </cell>
        </row>
        <row r="2747">
          <cell r="K2747" t="str">
            <v>00111118P.2</v>
          </cell>
        </row>
        <row r="2748">
          <cell r="K2748" t="str">
            <v>00111118P.2</v>
          </cell>
        </row>
        <row r="2749">
          <cell r="K2749" t="str">
            <v>00111118P.2</v>
          </cell>
        </row>
        <row r="2750">
          <cell r="K2750" t="str">
            <v>00111118P.2</v>
          </cell>
        </row>
        <row r="2751">
          <cell r="K2751" t="str">
            <v>00111118P.2</v>
          </cell>
        </row>
        <row r="2752">
          <cell r="K2752" t="str">
            <v>00111118P.2</v>
          </cell>
        </row>
        <row r="2753">
          <cell r="K2753" t="str">
            <v>00111119P.2</v>
          </cell>
        </row>
        <row r="2754">
          <cell r="K2754" t="str">
            <v>00111119P.2</v>
          </cell>
        </row>
        <row r="2755">
          <cell r="K2755" t="str">
            <v>00111119P.2</v>
          </cell>
        </row>
        <row r="2756">
          <cell r="K2756" t="str">
            <v>00111119P.2</v>
          </cell>
        </row>
        <row r="2757">
          <cell r="K2757" t="str">
            <v>00111119P.2</v>
          </cell>
        </row>
        <row r="2758">
          <cell r="K2758" t="str">
            <v>00111119P.2</v>
          </cell>
        </row>
        <row r="2759">
          <cell r="K2759" t="str">
            <v>00111119P.2</v>
          </cell>
        </row>
        <row r="2760">
          <cell r="K2760" t="str">
            <v>00111119P.2</v>
          </cell>
        </row>
        <row r="2761">
          <cell r="K2761" t="str">
            <v>00111119P.2</v>
          </cell>
        </row>
        <row r="2762">
          <cell r="K2762" t="str">
            <v>00111119P.2</v>
          </cell>
        </row>
        <row r="2763">
          <cell r="K2763" t="str">
            <v>00111120P.2</v>
          </cell>
        </row>
        <row r="2764">
          <cell r="K2764" t="str">
            <v>00111120P.2</v>
          </cell>
        </row>
        <row r="2765">
          <cell r="K2765" t="str">
            <v>00111120P.2</v>
          </cell>
        </row>
        <row r="2766">
          <cell r="K2766" t="str">
            <v>00111120P.2</v>
          </cell>
        </row>
        <row r="2767">
          <cell r="K2767" t="str">
            <v>00111120P.2</v>
          </cell>
        </row>
        <row r="2768">
          <cell r="K2768" t="str">
            <v>00111120P.2</v>
          </cell>
        </row>
        <row r="2769">
          <cell r="K2769" t="str">
            <v>00111120P.2</v>
          </cell>
        </row>
        <row r="2770">
          <cell r="K2770" t="str">
            <v>00111120P.2</v>
          </cell>
        </row>
        <row r="2771">
          <cell r="K2771" t="str">
            <v>00111120P.2</v>
          </cell>
        </row>
        <row r="2772">
          <cell r="K2772" t="str">
            <v>00111120P.2</v>
          </cell>
        </row>
        <row r="2773">
          <cell r="K2773" t="str">
            <v>00111121P.2</v>
          </cell>
        </row>
        <row r="2774">
          <cell r="K2774" t="str">
            <v>00111121P.2</v>
          </cell>
        </row>
        <row r="2775">
          <cell r="K2775" t="str">
            <v>00111121P.2</v>
          </cell>
        </row>
        <row r="2776">
          <cell r="K2776" t="str">
            <v>00111121P.2</v>
          </cell>
        </row>
        <row r="2777">
          <cell r="K2777" t="str">
            <v>00111121P.2</v>
          </cell>
        </row>
        <row r="2778">
          <cell r="K2778" t="str">
            <v>00111121P.2</v>
          </cell>
        </row>
        <row r="2779">
          <cell r="K2779" t="str">
            <v>00111121P.2</v>
          </cell>
        </row>
        <row r="2780">
          <cell r="K2780" t="str">
            <v>00111121P.2</v>
          </cell>
        </row>
        <row r="2781">
          <cell r="K2781" t="str">
            <v>00111121P.2</v>
          </cell>
        </row>
        <row r="2782">
          <cell r="K2782" t="str">
            <v>00111121P.2</v>
          </cell>
        </row>
        <row r="2783">
          <cell r="K2783" t="str">
            <v>00111121P.2</v>
          </cell>
        </row>
        <row r="2784">
          <cell r="K2784" t="str">
            <v>00111121P.2</v>
          </cell>
        </row>
        <row r="2785">
          <cell r="K2785" t="str">
            <v>00111121P.2</v>
          </cell>
        </row>
        <row r="2786">
          <cell r="K2786" t="str">
            <v>00111121P.2</v>
          </cell>
        </row>
        <row r="2787">
          <cell r="K2787" t="str">
            <v>00111121P.2</v>
          </cell>
        </row>
        <row r="2788">
          <cell r="K2788" t="str">
            <v>00111121P.2</v>
          </cell>
        </row>
        <row r="2789">
          <cell r="K2789" t="str">
            <v>00111121P.2</v>
          </cell>
        </row>
        <row r="2790">
          <cell r="K2790" t="str">
            <v>00111121P.2</v>
          </cell>
        </row>
        <row r="2791">
          <cell r="K2791" t="str">
            <v>00111121P.2</v>
          </cell>
        </row>
        <row r="2792">
          <cell r="K2792" t="str">
            <v>00111122P.2</v>
          </cell>
        </row>
        <row r="2793">
          <cell r="K2793" t="str">
            <v>00111122P.2</v>
          </cell>
        </row>
        <row r="2794">
          <cell r="K2794" t="str">
            <v>00111122P.2</v>
          </cell>
        </row>
        <row r="2795">
          <cell r="K2795" t="str">
            <v>00111122P.2</v>
          </cell>
        </row>
        <row r="2796">
          <cell r="K2796" t="str">
            <v>00111122P.2</v>
          </cell>
        </row>
        <row r="2797">
          <cell r="K2797" t="str">
            <v>00111122P.2</v>
          </cell>
        </row>
        <row r="2798">
          <cell r="K2798" t="str">
            <v>00111122P.2</v>
          </cell>
        </row>
        <row r="2799">
          <cell r="K2799" t="str">
            <v>00111122P.2</v>
          </cell>
        </row>
        <row r="2800">
          <cell r="K2800" t="str">
            <v>00111122P.2</v>
          </cell>
        </row>
        <row r="2801">
          <cell r="K2801" t="str">
            <v>00111122P.2</v>
          </cell>
        </row>
        <row r="2802">
          <cell r="K2802" t="str">
            <v>00111122P.2</v>
          </cell>
        </row>
        <row r="2803">
          <cell r="K2803" t="str">
            <v>00111122P.2</v>
          </cell>
        </row>
        <row r="2804">
          <cell r="K2804" t="str">
            <v>00111122P.2</v>
          </cell>
        </row>
        <row r="2805">
          <cell r="K2805" t="str">
            <v>00111122P.2</v>
          </cell>
        </row>
        <row r="2806">
          <cell r="K2806" t="str">
            <v>00111123P.2</v>
          </cell>
        </row>
        <row r="2807">
          <cell r="K2807" t="str">
            <v>00111123P.2</v>
          </cell>
        </row>
        <row r="2808">
          <cell r="K2808" t="str">
            <v>00111123P.2</v>
          </cell>
        </row>
        <row r="2809">
          <cell r="K2809" t="str">
            <v>00111123P.2</v>
          </cell>
        </row>
        <row r="2810">
          <cell r="K2810" t="str">
            <v>00111123P.2</v>
          </cell>
        </row>
        <row r="2811">
          <cell r="K2811" t="str">
            <v>00111123P.2</v>
          </cell>
        </row>
        <row r="2812">
          <cell r="K2812" t="str">
            <v>00111123P.2</v>
          </cell>
        </row>
        <row r="2813">
          <cell r="K2813" t="str">
            <v>00111123P.2</v>
          </cell>
        </row>
        <row r="2814">
          <cell r="K2814" t="str">
            <v>00111123P.2</v>
          </cell>
        </row>
        <row r="2815">
          <cell r="K2815" t="str">
            <v>00111123P.2</v>
          </cell>
        </row>
        <row r="2816">
          <cell r="K2816" t="str">
            <v>00111124P.2</v>
          </cell>
        </row>
        <row r="2817">
          <cell r="K2817" t="str">
            <v>00111124P.2</v>
          </cell>
        </row>
        <row r="2818">
          <cell r="K2818" t="str">
            <v>00111124P.2</v>
          </cell>
        </row>
        <row r="2819">
          <cell r="K2819" t="str">
            <v>00111124P.2</v>
          </cell>
        </row>
        <row r="2820">
          <cell r="K2820" t="str">
            <v>00111124P.2</v>
          </cell>
        </row>
        <row r="2821">
          <cell r="K2821" t="str">
            <v>00111124P.2</v>
          </cell>
        </row>
        <row r="2822">
          <cell r="K2822" t="str">
            <v>00111124P.2</v>
          </cell>
        </row>
        <row r="2823">
          <cell r="K2823" t="str">
            <v>00111124P.2</v>
          </cell>
        </row>
        <row r="2824">
          <cell r="K2824" t="str">
            <v>00111124P.2</v>
          </cell>
        </row>
        <row r="2825">
          <cell r="K2825" t="str">
            <v>00111125P.2</v>
          </cell>
        </row>
        <row r="2826">
          <cell r="K2826" t="str">
            <v>00111125P.2</v>
          </cell>
        </row>
        <row r="2827">
          <cell r="K2827" t="str">
            <v>00111125P.2</v>
          </cell>
        </row>
        <row r="2828">
          <cell r="K2828" t="str">
            <v>00111125P.2</v>
          </cell>
        </row>
        <row r="2829">
          <cell r="K2829" t="str">
            <v>00111125P.2</v>
          </cell>
        </row>
        <row r="2830">
          <cell r="K2830" t="str">
            <v>00111125P.2</v>
          </cell>
        </row>
        <row r="2831">
          <cell r="K2831" t="str">
            <v>00111125P.2</v>
          </cell>
        </row>
        <row r="2832">
          <cell r="K2832" t="str">
            <v>00111125P.2</v>
          </cell>
        </row>
        <row r="2833">
          <cell r="K2833" t="str">
            <v>00111125P.2</v>
          </cell>
        </row>
        <row r="2834">
          <cell r="K2834" t="str">
            <v>00111125P.2</v>
          </cell>
        </row>
        <row r="2835">
          <cell r="K2835" t="str">
            <v>00111125P.2</v>
          </cell>
        </row>
        <row r="2836">
          <cell r="K2836" t="str">
            <v>00111125P.2</v>
          </cell>
        </row>
        <row r="2837">
          <cell r="K2837" t="str">
            <v>00111125P.2</v>
          </cell>
        </row>
        <row r="2838">
          <cell r="K2838" t="str">
            <v>00111125P.2</v>
          </cell>
        </row>
        <row r="2839">
          <cell r="K2839" t="str">
            <v>00111125P.2</v>
          </cell>
        </row>
        <row r="2840">
          <cell r="K2840" t="str">
            <v>00111125P.2</v>
          </cell>
        </row>
        <row r="2841">
          <cell r="K2841" t="str">
            <v>00111125P.2</v>
          </cell>
        </row>
        <row r="2842">
          <cell r="K2842" t="str">
            <v>00111126P.2</v>
          </cell>
        </row>
        <row r="2843">
          <cell r="K2843" t="str">
            <v>00111126P.2</v>
          </cell>
        </row>
        <row r="2844">
          <cell r="K2844" t="str">
            <v>00111126P.2</v>
          </cell>
        </row>
        <row r="2845">
          <cell r="K2845" t="str">
            <v>00111126P.2</v>
          </cell>
        </row>
        <row r="2846">
          <cell r="K2846" t="str">
            <v>00111126P.2</v>
          </cell>
        </row>
        <row r="2847">
          <cell r="K2847" t="str">
            <v>00111126P.2</v>
          </cell>
        </row>
        <row r="2848">
          <cell r="K2848" t="str">
            <v>00111126P.2</v>
          </cell>
        </row>
        <row r="2849">
          <cell r="K2849" t="str">
            <v>00111127P.2</v>
          </cell>
        </row>
        <row r="2850">
          <cell r="K2850" t="str">
            <v>00111127P.2</v>
          </cell>
        </row>
        <row r="2851">
          <cell r="K2851" t="str">
            <v>00111127P.2</v>
          </cell>
        </row>
        <row r="2852">
          <cell r="K2852" t="str">
            <v>00111127P.2</v>
          </cell>
        </row>
        <row r="2853">
          <cell r="K2853" t="str">
            <v>00111127P.2</v>
          </cell>
        </row>
        <row r="2854">
          <cell r="K2854" t="str">
            <v>00111127P.2</v>
          </cell>
        </row>
        <row r="2855">
          <cell r="K2855" t="str">
            <v>00111128P.2</v>
          </cell>
        </row>
        <row r="2856">
          <cell r="K2856" t="str">
            <v>00111128P.2</v>
          </cell>
        </row>
        <row r="2857">
          <cell r="K2857" t="str">
            <v>00111128P.2</v>
          </cell>
        </row>
        <row r="2858">
          <cell r="K2858" t="str">
            <v>00111128P.2</v>
          </cell>
        </row>
        <row r="2859">
          <cell r="K2859" t="str">
            <v>00111128P.2</v>
          </cell>
        </row>
        <row r="2860">
          <cell r="K2860" t="str">
            <v>00111128P.2</v>
          </cell>
        </row>
        <row r="2861">
          <cell r="K2861" t="str">
            <v>00111128P.2</v>
          </cell>
        </row>
        <row r="2862">
          <cell r="K2862" t="str">
            <v>00111128P.2</v>
          </cell>
        </row>
        <row r="2863">
          <cell r="K2863" t="str">
            <v>00111128P.2</v>
          </cell>
        </row>
        <row r="2864">
          <cell r="K2864" t="str">
            <v>00111128P.2</v>
          </cell>
        </row>
        <row r="2865">
          <cell r="K2865" t="str">
            <v>00111128P.2</v>
          </cell>
        </row>
        <row r="2866">
          <cell r="K2866" t="str">
            <v>00111128P.2</v>
          </cell>
        </row>
        <row r="2867">
          <cell r="K2867" t="str">
            <v>00111128P.2</v>
          </cell>
        </row>
        <row r="2868">
          <cell r="K2868" t="str">
            <v>00111128P.2</v>
          </cell>
        </row>
        <row r="2869">
          <cell r="K2869" t="str">
            <v>00111128P.2</v>
          </cell>
        </row>
        <row r="2870">
          <cell r="K2870" t="str">
            <v>00111128P.2</v>
          </cell>
        </row>
        <row r="2871">
          <cell r="K2871" t="str">
            <v>00111129P.2</v>
          </cell>
        </row>
        <row r="2872">
          <cell r="K2872" t="str">
            <v>00111129P.2</v>
          </cell>
        </row>
        <row r="2873">
          <cell r="K2873" t="str">
            <v>00111129P.2</v>
          </cell>
        </row>
        <row r="2874">
          <cell r="K2874" t="str">
            <v>00111129P.2</v>
          </cell>
        </row>
        <row r="2875">
          <cell r="K2875" t="str">
            <v>00111129P.2</v>
          </cell>
        </row>
        <row r="2876">
          <cell r="K2876" t="str">
            <v>00111129P.2</v>
          </cell>
        </row>
        <row r="2877">
          <cell r="K2877" t="str">
            <v>00111129P.2</v>
          </cell>
        </row>
        <row r="2878">
          <cell r="K2878" t="str">
            <v>00111129P.2</v>
          </cell>
        </row>
        <row r="2879">
          <cell r="K2879" t="str">
            <v>00111129P.2</v>
          </cell>
        </row>
        <row r="2880">
          <cell r="K2880" t="str">
            <v>00111129P.2</v>
          </cell>
        </row>
        <row r="2881">
          <cell r="K2881" t="str">
            <v>00111129P.2</v>
          </cell>
        </row>
        <row r="2882">
          <cell r="K2882" t="str">
            <v>00111129P.2</v>
          </cell>
        </row>
        <row r="2883">
          <cell r="K2883" t="str">
            <v>00111129P.2</v>
          </cell>
        </row>
        <row r="2884">
          <cell r="K2884" t="str">
            <v>00111129P.2</v>
          </cell>
        </row>
        <row r="2885">
          <cell r="K2885" t="str">
            <v>00111129P.2</v>
          </cell>
        </row>
        <row r="2886">
          <cell r="K2886" t="str">
            <v>00111129P.2</v>
          </cell>
        </row>
        <row r="2887">
          <cell r="K2887" t="str">
            <v>00111130P.2</v>
          </cell>
        </row>
        <row r="2888">
          <cell r="K2888" t="str">
            <v>00111130P.2</v>
          </cell>
        </row>
        <row r="2889">
          <cell r="K2889" t="str">
            <v>00111130P.2</v>
          </cell>
        </row>
        <row r="2890">
          <cell r="K2890" t="str">
            <v>00111130P.2</v>
          </cell>
        </row>
        <row r="2891">
          <cell r="K2891" t="str">
            <v>00111130P.2</v>
          </cell>
        </row>
        <row r="2892">
          <cell r="K2892" t="str">
            <v>00111130P.2</v>
          </cell>
        </row>
        <row r="2893">
          <cell r="K2893" t="str">
            <v>00111130P.2</v>
          </cell>
        </row>
        <row r="2894">
          <cell r="K2894" t="str">
            <v>00111130P.2</v>
          </cell>
        </row>
        <row r="2895">
          <cell r="K2895" t="str">
            <v>00111130P.2</v>
          </cell>
        </row>
        <row r="2896">
          <cell r="K2896" t="str">
            <v>00111130P.2</v>
          </cell>
        </row>
        <row r="2897">
          <cell r="K2897" t="str">
            <v>00111131P.2</v>
          </cell>
        </row>
        <row r="2898">
          <cell r="K2898" t="str">
            <v>00111131P.2</v>
          </cell>
        </row>
        <row r="2899">
          <cell r="K2899" t="str">
            <v>00111131P.2</v>
          </cell>
        </row>
        <row r="2900">
          <cell r="K2900" t="str">
            <v>00111131P.2</v>
          </cell>
        </row>
        <row r="2901">
          <cell r="K2901" t="str">
            <v>00111131P.2</v>
          </cell>
        </row>
        <row r="2902">
          <cell r="K2902" t="str">
            <v>00111131P.2</v>
          </cell>
        </row>
        <row r="2903">
          <cell r="K2903" t="str">
            <v>00111131P.2</v>
          </cell>
        </row>
        <row r="2904">
          <cell r="K2904" t="str">
            <v>00111131P.2</v>
          </cell>
        </row>
        <row r="2905">
          <cell r="K2905" t="str">
            <v>00111131P.2</v>
          </cell>
        </row>
        <row r="2906">
          <cell r="K2906" t="str">
            <v>00111132P.2</v>
          </cell>
        </row>
        <row r="2907">
          <cell r="K2907" t="str">
            <v>00111132P.2</v>
          </cell>
        </row>
        <row r="2908">
          <cell r="K2908" t="str">
            <v>00111132P.2</v>
          </cell>
        </row>
        <row r="2909">
          <cell r="K2909" t="str">
            <v>00111132P.2</v>
          </cell>
        </row>
        <row r="2910">
          <cell r="K2910" t="str">
            <v>00111132P.2</v>
          </cell>
        </row>
        <row r="2911">
          <cell r="K2911" t="str">
            <v>00111132P.2</v>
          </cell>
        </row>
        <row r="2912">
          <cell r="K2912" t="str">
            <v>00111132P.2</v>
          </cell>
        </row>
        <row r="2913">
          <cell r="K2913" t="str">
            <v>00111132P.2</v>
          </cell>
        </row>
        <row r="2914">
          <cell r="K2914" t="str">
            <v>00111132P.2</v>
          </cell>
        </row>
        <row r="2915">
          <cell r="K2915" t="str">
            <v>00111132P.2</v>
          </cell>
        </row>
        <row r="2916">
          <cell r="K2916" t="str">
            <v>00111132P.2</v>
          </cell>
        </row>
        <row r="2917">
          <cell r="K2917" t="str">
            <v>00111132P.2</v>
          </cell>
        </row>
        <row r="2918">
          <cell r="K2918" t="str">
            <v>00111132P.2</v>
          </cell>
        </row>
        <row r="2919">
          <cell r="K2919" t="str">
            <v>00111133P.2</v>
          </cell>
        </row>
        <row r="2920">
          <cell r="K2920" t="str">
            <v>00111133P.2</v>
          </cell>
        </row>
        <row r="2921">
          <cell r="K2921" t="str">
            <v>00111133P.2</v>
          </cell>
        </row>
        <row r="2922">
          <cell r="K2922" t="str">
            <v>00111133P.2</v>
          </cell>
        </row>
        <row r="2923">
          <cell r="K2923" t="str">
            <v>00111133P.2</v>
          </cell>
        </row>
        <row r="2924">
          <cell r="K2924" t="str">
            <v>00111133P.2</v>
          </cell>
        </row>
        <row r="2925">
          <cell r="K2925" t="str">
            <v>00111133P.2</v>
          </cell>
        </row>
        <row r="2926">
          <cell r="K2926" t="str">
            <v>00111133P.2</v>
          </cell>
        </row>
        <row r="2927">
          <cell r="K2927" t="str">
            <v>00111133P.2</v>
          </cell>
        </row>
        <row r="2928">
          <cell r="K2928" t="str">
            <v>00111133P.2</v>
          </cell>
        </row>
        <row r="2929">
          <cell r="K2929" t="str">
            <v>00111133P.2</v>
          </cell>
        </row>
        <row r="2930">
          <cell r="K2930" t="str">
            <v>00111133P.2</v>
          </cell>
        </row>
        <row r="2931">
          <cell r="K2931" t="str">
            <v>00111133P.2</v>
          </cell>
        </row>
        <row r="2932">
          <cell r="K2932" t="str">
            <v>00111133P.2</v>
          </cell>
        </row>
        <row r="2933">
          <cell r="K2933" t="str">
            <v>00111133P.2</v>
          </cell>
        </row>
        <row r="2934">
          <cell r="K2934" t="str">
            <v>00111134P.2</v>
          </cell>
        </row>
        <row r="2935">
          <cell r="K2935" t="str">
            <v>00111134P.2</v>
          </cell>
        </row>
        <row r="2936">
          <cell r="K2936" t="str">
            <v>00111134P.2</v>
          </cell>
        </row>
        <row r="2937">
          <cell r="K2937" t="str">
            <v>00111134P.2</v>
          </cell>
        </row>
        <row r="2938">
          <cell r="K2938" t="str">
            <v>00111134P.2</v>
          </cell>
        </row>
        <row r="2939">
          <cell r="K2939" t="str">
            <v>00111134P.2</v>
          </cell>
        </row>
        <row r="2940">
          <cell r="K2940" t="str">
            <v>00111134P.2</v>
          </cell>
        </row>
        <row r="2941">
          <cell r="K2941" t="str">
            <v>00111134P.2</v>
          </cell>
        </row>
        <row r="2942">
          <cell r="K2942" t="str">
            <v>00111134P.2</v>
          </cell>
        </row>
        <row r="2943">
          <cell r="K2943" t="str">
            <v>00111134P.2</v>
          </cell>
        </row>
        <row r="2944">
          <cell r="K2944" t="str">
            <v>00111134P.2</v>
          </cell>
        </row>
        <row r="2945">
          <cell r="K2945" t="str">
            <v>00111134P.2</v>
          </cell>
        </row>
        <row r="2946">
          <cell r="K2946" t="str">
            <v>00111134P.2</v>
          </cell>
        </row>
        <row r="2947">
          <cell r="K2947" t="str">
            <v>00111134P.2</v>
          </cell>
        </row>
        <row r="2948">
          <cell r="K2948" t="str">
            <v>00111134P.2</v>
          </cell>
        </row>
        <row r="2949">
          <cell r="K2949" t="str">
            <v>00111134P.2</v>
          </cell>
        </row>
        <row r="2950">
          <cell r="K2950" t="str">
            <v>00111134P.2</v>
          </cell>
        </row>
        <row r="2951">
          <cell r="K2951" t="str">
            <v>00111134P.2</v>
          </cell>
        </row>
        <row r="2952">
          <cell r="K2952" t="str">
            <v>00111134P.2</v>
          </cell>
        </row>
        <row r="2953">
          <cell r="K2953" t="str">
            <v>00111135P.2</v>
          </cell>
        </row>
        <row r="2954">
          <cell r="K2954" t="str">
            <v>00111135P.2</v>
          </cell>
        </row>
        <row r="2955">
          <cell r="K2955" t="str">
            <v>00111135P.2</v>
          </cell>
        </row>
        <row r="2956">
          <cell r="K2956" t="str">
            <v>00111135P.2</v>
          </cell>
        </row>
        <row r="2957">
          <cell r="K2957" t="str">
            <v>00111135P.2</v>
          </cell>
        </row>
        <row r="2958">
          <cell r="K2958" t="str">
            <v>00111135P.2</v>
          </cell>
        </row>
        <row r="2959">
          <cell r="K2959" t="str">
            <v>00111135P.2</v>
          </cell>
        </row>
        <row r="2960">
          <cell r="K2960" t="str">
            <v>00111135P.2</v>
          </cell>
        </row>
        <row r="2961">
          <cell r="K2961" t="str">
            <v>00111135P.2</v>
          </cell>
        </row>
        <row r="2962">
          <cell r="K2962" t="str">
            <v>00111136P.2</v>
          </cell>
        </row>
        <row r="2963">
          <cell r="K2963" t="str">
            <v>00111136P.2</v>
          </cell>
        </row>
        <row r="2964">
          <cell r="K2964" t="str">
            <v>00111136P.2</v>
          </cell>
        </row>
        <row r="2965">
          <cell r="K2965" t="str">
            <v>00111136P.2</v>
          </cell>
        </row>
        <row r="2966">
          <cell r="K2966" t="str">
            <v>00111136P.2</v>
          </cell>
        </row>
        <row r="2967">
          <cell r="K2967" t="str">
            <v>00111136P.2</v>
          </cell>
        </row>
        <row r="2968">
          <cell r="K2968" t="str">
            <v>00111136P.2</v>
          </cell>
        </row>
        <row r="2969">
          <cell r="K2969" t="str">
            <v>00111136P.2</v>
          </cell>
        </row>
        <row r="2970">
          <cell r="K2970" t="str">
            <v>00111136P.2</v>
          </cell>
        </row>
        <row r="2971">
          <cell r="K2971" t="str">
            <v>00111136P.2</v>
          </cell>
        </row>
        <row r="2972">
          <cell r="K2972" t="str">
            <v>00111136P.2</v>
          </cell>
        </row>
        <row r="2973">
          <cell r="K2973" t="str">
            <v>00111136P.2</v>
          </cell>
        </row>
        <row r="2974">
          <cell r="K2974" t="str">
            <v>00111136P.2</v>
          </cell>
        </row>
        <row r="2975">
          <cell r="K2975" t="str">
            <v>00111153P.2</v>
          </cell>
        </row>
        <row r="2976">
          <cell r="K2976" t="str">
            <v>00111152P.2</v>
          </cell>
        </row>
        <row r="2977">
          <cell r="K2977" t="str">
            <v>00111152P.2</v>
          </cell>
        </row>
        <row r="2978">
          <cell r="K2978" t="str">
            <v>00111153P.2</v>
          </cell>
        </row>
        <row r="2979">
          <cell r="K2979" t="str">
            <v>00111153P.2</v>
          </cell>
        </row>
        <row r="2980">
          <cell r="K2980" t="str">
            <v>00111142P.2</v>
          </cell>
        </row>
        <row r="2981">
          <cell r="K2981" t="str">
            <v>00111142P.2</v>
          </cell>
        </row>
        <row r="2982">
          <cell r="K2982" t="str">
            <v>00111142P.2</v>
          </cell>
        </row>
        <row r="2983">
          <cell r="K2983" t="str">
            <v>00111142P.2</v>
          </cell>
        </row>
        <row r="2984">
          <cell r="K2984" t="str">
            <v>00111141P.2</v>
          </cell>
        </row>
        <row r="2985">
          <cell r="K2985" t="str">
            <v>00111141P.2</v>
          </cell>
        </row>
        <row r="2986">
          <cell r="K2986" t="str">
            <v>00111141P.2</v>
          </cell>
        </row>
        <row r="2987">
          <cell r="K2987" t="str">
            <v>00111141P.2</v>
          </cell>
        </row>
        <row r="2988">
          <cell r="K2988" t="str">
            <v>00111141P.2</v>
          </cell>
        </row>
        <row r="2989">
          <cell r="K2989" t="str">
            <v>00111141P.2</v>
          </cell>
        </row>
        <row r="2990">
          <cell r="K2990" t="str">
            <v>00111106P.2</v>
          </cell>
        </row>
        <row r="2991">
          <cell r="K2991" t="str">
            <v>00111106P.2</v>
          </cell>
        </row>
        <row r="2992">
          <cell r="K2992" t="str">
            <v>00111106P.2</v>
          </cell>
        </row>
        <row r="2993">
          <cell r="K2993" t="str">
            <v>00111106P.2</v>
          </cell>
        </row>
        <row r="2994">
          <cell r="K2994" t="str">
            <v>00111106P.2</v>
          </cell>
        </row>
        <row r="2995">
          <cell r="K2995" t="str">
            <v>00111114P.2</v>
          </cell>
        </row>
        <row r="2996">
          <cell r="K2996" t="str">
            <v>00111114P.2</v>
          </cell>
        </row>
        <row r="2997">
          <cell r="K2997" t="str">
            <v>00111114P.2</v>
          </cell>
        </row>
        <row r="2998">
          <cell r="K2998" t="str">
            <v>00111114P.2</v>
          </cell>
        </row>
        <row r="2999">
          <cell r="K2999" t="str">
            <v>00111114P.2</v>
          </cell>
        </row>
        <row r="3000">
          <cell r="K3000" t="str">
            <v>00111128P.2</v>
          </cell>
        </row>
        <row r="3001">
          <cell r="K3001" t="str">
            <v>00111128P.2</v>
          </cell>
        </row>
        <row r="3002">
          <cell r="K3002" t="str">
            <v>00111128P.2</v>
          </cell>
        </row>
        <row r="3003">
          <cell r="K3003" t="str">
            <v>00111128P.2</v>
          </cell>
        </row>
        <row r="3004">
          <cell r="K3004" t="str">
            <v>00111128P.2</v>
          </cell>
        </row>
        <row r="3005">
          <cell r="K3005" t="str">
            <v>00111128P.2</v>
          </cell>
        </row>
        <row r="3006">
          <cell r="K3006" t="str">
            <v>00111128P.2</v>
          </cell>
        </row>
        <row r="3007">
          <cell r="K3007" t="str">
            <v>00111128P.2</v>
          </cell>
        </row>
        <row r="3008">
          <cell r="K3008" t="str">
            <v>00111128P.2</v>
          </cell>
        </row>
        <row r="3009">
          <cell r="K3009" t="str">
            <v>00111128P.2</v>
          </cell>
        </row>
        <row r="3010">
          <cell r="K3010" t="str">
            <v>00111128P.2</v>
          </cell>
        </row>
        <row r="3011">
          <cell r="K3011" t="str">
            <v>00111128P.2</v>
          </cell>
        </row>
        <row r="3012">
          <cell r="K3012" t="str">
            <v>00111130P.2</v>
          </cell>
        </row>
        <row r="3013">
          <cell r="K3013" t="str">
            <v>00111130P.2</v>
          </cell>
        </row>
        <row r="3014">
          <cell r="K3014" t="str">
            <v>00111130P.2</v>
          </cell>
        </row>
        <row r="3015">
          <cell r="K3015" t="str">
            <v>00111130P.2</v>
          </cell>
        </row>
        <row r="3016">
          <cell r="K3016" t="str">
            <v>00111130P.2</v>
          </cell>
        </row>
        <row r="3017">
          <cell r="K3017" t="str">
            <v>00111130P.2</v>
          </cell>
        </row>
        <row r="3018">
          <cell r="K3018" t="str">
            <v>00111130P.2</v>
          </cell>
        </row>
        <row r="3019">
          <cell r="K3019" t="str">
            <v>00111130P.2</v>
          </cell>
        </row>
        <row r="3020">
          <cell r="K3020" t="str">
            <v>00111130P.2</v>
          </cell>
        </row>
        <row r="3021">
          <cell r="K3021" t="str">
            <v>00111149P.2</v>
          </cell>
        </row>
        <row r="3022">
          <cell r="K3022" t="str">
            <v>00111149P.2</v>
          </cell>
        </row>
        <row r="3023">
          <cell r="K3023" t="str">
            <v>00111153P.2</v>
          </cell>
        </row>
        <row r="3024">
          <cell r="K3024" t="str">
            <v>00111153P.2</v>
          </cell>
        </row>
        <row r="3025">
          <cell r="K3025" t="str">
            <v>00111153P.2</v>
          </cell>
        </row>
        <row r="3026">
          <cell r="K3026" t="str">
            <v>00111153P.2</v>
          </cell>
        </row>
        <row r="3027">
          <cell r="K3027" t="str">
            <v>00111157P.2</v>
          </cell>
        </row>
        <row r="3028">
          <cell r="K3028" t="str">
            <v>00111157P.2</v>
          </cell>
        </row>
        <row r="3029">
          <cell r="K3029" t="str">
            <v>00111157P.2</v>
          </cell>
        </row>
        <row r="3030">
          <cell r="K3030" t="str">
            <v>00111157P.2</v>
          </cell>
        </row>
        <row r="3031">
          <cell r="K3031" t="str">
            <v>00111157P.2</v>
          </cell>
        </row>
        <row r="3032">
          <cell r="K3032" t="str">
            <v>00111157P.2</v>
          </cell>
        </row>
        <row r="3033">
          <cell r="K3033" t="str">
            <v>00111157P.2</v>
          </cell>
        </row>
        <row r="3034">
          <cell r="K3034" t="str">
            <v>00111157P.2</v>
          </cell>
        </row>
        <row r="3035">
          <cell r="K3035" t="str">
            <v>00111159P.2</v>
          </cell>
        </row>
        <row r="3036">
          <cell r="K3036" t="str">
            <v>00111159P.2</v>
          </cell>
        </row>
        <row r="3037">
          <cell r="K3037" t="str">
            <v>00111159P.2</v>
          </cell>
        </row>
        <row r="3038">
          <cell r="K3038" t="str">
            <v>00111159P.2</v>
          </cell>
        </row>
        <row r="3039">
          <cell r="K3039" t="str">
            <v>00111159P.2</v>
          </cell>
        </row>
        <row r="3040">
          <cell r="K3040" t="str">
            <v>00111159P.2</v>
          </cell>
        </row>
        <row r="3041">
          <cell r="K3041" t="str">
            <v>00111149P.2</v>
          </cell>
        </row>
        <row r="3042">
          <cell r="K3042" t="str">
            <v>00111149P.2</v>
          </cell>
        </row>
        <row r="3043">
          <cell r="K3043" t="str">
            <v>00111149P.2</v>
          </cell>
        </row>
        <row r="3044">
          <cell r="K3044" t="str">
            <v>00111149P.2</v>
          </cell>
        </row>
        <row r="3045">
          <cell r="K3045" t="str">
            <v>00111149P.2</v>
          </cell>
        </row>
        <row r="3046">
          <cell r="K3046" t="str">
            <v>00111149P.2</v>
          </cell>
        </row>
        <row r="3047">
          <cell r="K3047" t="str">
            <v>00111149P.2</v>
          </cell>
        </row>
        <row r="3048">
          <cell r="K3048" t="str">
            <v>00111149P.2</v>
          </cell>
        </row>
        <row r="3049">
          <cell r="K3049" t="str">
            <v>00111149P.2</v>
          </cell>
        </row>
        <row r="3050">
          <cell r="K3050" t="str">
            <v>00111149P.2</v>
          </cell>
        </row>
        <row r="3051">
          <cell r="K3051" t="str">
            <v>00111149P.2</v>
          </cell>
        </row>
        <row r="3052">
          <cell r="K3052" t="str">
            <v>00111149P.2</v>
          </cell>
        </row>
        <row r="3053">
          <cell r="K3053" t="str">
            <v>00111149P.2</v>
          </cell>
        </row>
        <row r="3054">
          <cell r="K3054" t="str">
            <v>00111149P.2</v>
          </cell>
        </row>
        <row r="3055">
          <cell r="K3055" t="str">
            <v>00111149P.2</v>
          </cell>
        </row>
        <row r="3056">
          <cell r="K3056" t="str">
            <v>00111149P.2</v>
          </cell>
        </row>
        <row r="3057">
          <cell r="K3057" t="str">
            <v>00111149P.2</v>
          </cell>
        </row>
        <row r="3058">
          <cell r="K3058" t="str">
            <v>00111149P.2</v>
          </cell>
        </row>
        <row r="3059">
          <cell r="K3059" t="str">
            <v>00111149P.2</v>
          </cell>
        </row>
        <row r="3060">
          <cell r="K3060" t="str">
            <v>00111149P.2</v>
          </cell>
        </row>
        <row r="3061">
          <cell r="K3061" t="str">
            <v>00111149P.2</v>
          </cell>
        </row>
        <row r="3062">
          <cell r="K3062" t="str">
            <v>00111149P.2</v>
          </cell>
        </row>
        <row r="3063">
          <cell r="K3063" t="str">
            <v>00111149P.2</v>
          </cell>
        </row>
        <row r="3064">
          <cell r="K3064" t="str">
            <v>00111110P.2</v>
          </cell>
        </row>
        <row r="3065">
          <cell r="K3065" t="str">
            <v>00111113P.2</v>
          </cell>
        </row>
        <row r="3066">
          <cell r="K3066" t="str">
            <v>00111113P.2</v>
          </cell>
        </row>
        <row r="3067">
          <cell r="K3067" t="str">
            <v>00111113P.2</v>
          </cell>
        </row>
        <row r="3068">
          <cell r="K3068" t="str">
            <v>00111113P.2</v>
          </cell>
        </row>
        <row r="3069">
          <cell r="K3069" t="str">
            <v>00111113P.2</v>
          </cell>
        </row>
        <row r="3070">
          <cell r="K3070" t="str">
            <v>00111113P.2</v>
          </cell>
        </row>
        <row r="3071">
          <cell r="K3071" t="str">
            <v>00111113P.2</v>
          </cell>
        </row>
        <row r="3072">
          <cell r="K3072" t="str">
            <v>00111113P.2</v>
          </cell>
        </row>
        <row r="3073">
          <cell r="K3073" t="str">
            <v>00111113P.2</v>
          </cell>
        </row>
        <row r="3074">
          <cell r="K3074" t="str">
            <v>00111113P.2</v>
          </cell>
        </row>
        <row r="3075">
          <cell r="K3075" t="str">
            <v>00111113P.2</v>
          </cell>
        </row>
        <row r="3076">
          <cell r="K3076" t="str">
            <v>00111120P.2</v>
          </cell>
        </row>
        <row r="3077">
          <cell r="K3077" t="str">
            <v>00111123P.2</v>
          </cell>
        </row>
        <row r="3078">
          <cell r="K3078" t="str">
            <v>00111126P.2</v>
          </cell>
        </row>
        <row r="3079">
          <cell r="K3079" t="str">
            <v>00111128P.2</v>
          </cell>
        </row>
        <row r="3080">
          <cell r="K3080" t="str">
            <v>00111128P.2</v>
          </cell>
        </row>
        <row r="3081">
          <cell r="K3081" t="str">
            <v>00111128P.2</v>
          </cell>
        </row>
        <row r="3082">
          <cell r="K3082" t="str">
            <v>00111132P.2</v>
          </cell>
        </row>
        <row r="3083">
          <cell r="K3083" t="str">
            <v>00111132P.2</v>
          </cell>
        </row>
        <row r="3084">
          <cell r="K3084" t="str">
            <v>00111132P.2</v>
          </cell>
        </row>
        <row r="3085">
          <cell r="K3085" t="str">
            <v>00111132P.2</v>
          </cell>
        </row>
        <row r="3086">
          <cell r="K3086" t="str">
            <v>00111132P.2</v>
          </cell>
        </row>
        <row r="3087">
          <cell r="K3087" t="str">
            <v>00111132P.2</v>
          </cell>
        </row>
        <row r="3088">
          <cell r="K3088" t="str">
            <v>00111132P.2</v>
          </cell>
        </row>
        <row r="3089">
          <cell r="K3089" t="str">
            <v>00111135P.2</v>
          </cell>
        </row>
        <row r="3090">
          <cell r="K3090" t="str">
            <v>00111135P.2</v>
          </cell>
        </row>
        <row r="3091">
          <cell r="K3091" t="str">
            <v>00111135P.2</v>
          </cell>
        </row>
        <row r="3092">
          <cell r="K3092" t="str">
            <v>00111136P.2</v>
          </cell>
        </row>
        <row r="3093">
          <cell r="K3093" t="str">
            <v>00111136P.2</v>
          </cell>
        </row>
        <row r="3094">
          <cell r="K3094" t="str">
            <v>00111136P.2</v>
          </cell>
        </row>
        <row r="3095">
          <cell r="K3095" t="str">
            <v>00111136P.2</v>
          </cell>
        </row>
        <row r="3096">
          <cell r="K3096" t="str">
            <v>00111136P.2</v>
          </cell>
        </row>
        <row r="3097">
          <cell r="K3097" t="str">
            <v>00111136P.2</v>
          </cell>
        </row>
        <row r="3098">
          <cell r="K3098" t="str">
            <v>00111136P.2</v>
          </cell>
        </row>
        <row r="3099">
          <cell r="K3099" t="str">
            <v>00111145P.2</v>
          </cell>
        </row>
        <row r="3100">
          <cell r="K3100" t="str">
            <v>00111145P.2</v>
          </cell>
        </row>
        <row r="3101">
          <cell r="K3101" t="str">
            <v>00111145P.2</v>
          </cell>
        </row>
        <row r="3102">
          <cell r="K3102" t="str">
            <v>00111145P.2</v>
          </cell>
        </row>
        <row r="3103">
          <cell r="K3103" t="str">
            <v>00111145P.2</v>
          </cell>
        </row>
        <row r="3104">
          <cell r="K3104" t="str">
            <v>00111145P.2</v>
          </cell>
        </row>
        <row r="3105">
          <cell r="K3105" t="str">
            <v>00111145P.2</v>
          </cell>
        </row>
        <row r="3106">
          <cell r="K3106" t="str">
            <v>00111145P.2</v>
          </cell>
        </row>
        <row r="3107">
          <cell r="K3107" t="str">
            <v>00111145P.2</v>
          </cell>
        </row>
        <row r="3108">
          <cell r="K3108" t="str">
            <v>00111145P.2</v>
          </cell>
        </row>
        <row r="3109">
          <cell r="K3109" t="str">
            <v>00111145P.2</v>
          </cell>
        </row>
        <row r="3110">
          <cell r="K3110" t="str">
            <v>00111145P.2</v>
          </cell>
        </row>
        <row r="3111">
          <cell r="K3111" t="str">
            <v>00111145P.2</v>
          </cell>
        </row>
        <row r="3112">
          <cell r="K3112" t="str">
            <v>00111145P.2</v>
          </cell>
        </row>
        <row r="3113">
          <cell r="K3113" t="str">
            <v>00111145P.2</v>
          </cell>
        </row>
        <row r="3114">
          <cell r="K3114" t="str">
            <v>00111145P.2</v>
          </cell>
        </row>
        <row r="3115">
          <cell r="K3115" t="str">
            <v>00111145P.2</v>
          </cell>
        </row>
        <row r="3116">
          <cell r="K3116" t="str">
            <v>00111149P.2</v>
          </cell>
        </row>
        <row r="3117">
          <cell r="K3117" t="str">
            <v>00111150P.2</v>
          </cell>
        </row>
        <row r="3118">
          <cell r="K3118" t="str">
            <v>00111153P.2</v>
          </cell>
        </row>
        <row r="3119">
          <cell r="K3119" t="str">
            <v>00111153P.2</v>
          </cell>
        </row>
        <row r="3120">
          <cell r="K3120" t="str">
            <v>00111153P.2</v>
          </cell>
        </row>
        <row r="3121">
          <cell r="K3121" t="str">
            <v>00111153P.2</v>
          </cell>
        </row>
        <row r="3122">
          <cell r="K3122" t="str">
            <v>00111159P.2</v>
          </cell>
        </row>
        <row r="3123">
          <cell r="K3123" t="str">
            <v>00111159P.2</v>
          </cell>
        </row>
        <row r="3124">
          <cell r="K3124" t="str">
            <v>00111159P.2</v>
          </cell>
        </row>
        <row r="3125">
          <cell r="K3125" t="str">
            <v>00111159P.2</v>
          </cell>
        </row>
        <row r="3126">
          <cell r="K3126" t="str">
            <v>00111159P.2</v>
          </cell>
        </row>
        <row r="3127">
          <cell r="K3127" t="str">
            <v>00111159P.2</v>
          </cell>
        </row>
        <row r="3128">
          <cell r="K3128" t="str">
            <v>00111159P.2</v>
          </cell>
        </row>
        <row r="3129">
          <cell r="K3129" t="str">
            <v>00111111P.2</v>
          </cell>
        </row>
        <row r="3130">
          <cell r="K3130" t="str">
            <v>00111113P.2</v>
          </cell>
        </row>
        <row r="3131">
          <cell r="K3131" t="str">
            <v>00111113P.2</v>
          </cell>
        </row>
        <row r="3132">
          <cell r="K3132" t="str">
            <v>00111113P.2</v>
          </cell>
        </row>
        <row r="3133">
          <cell r="K3133" t="str">
            <v>00111113P.2</v>
          </cell>
        </row>
        <row r="3134">
          <cell r="K3134" t="str">
            <v>00111113P.2</v>
          </cell>
        </row>
        <row r="3135">
          <cell r="K3135" t="str">
            <v>00111113P.2</v>
          </cell>
        </row>
        <row r="3136">
          <cell r="K3136" t="str">
            <v>00111113P.2</v>
          </cell>
        </row>
        <row r="3137">
          <cell r="K3137" t="str">
            <v>00111117P.2</v>
          </cell>
        </row>
        <row r="3138">
          <cell r="K3138" t="str">
            <v>00111120P.2</v>
          </cell>
        </row>
        <row r="3139">
          <cell r="K3139" t="str">
            <v>00111121P.2</v>
          </cell>
        </row>
        <row r="3140">
          <cell r="K3140" t="str">
            <v>00111121P.2</v>
          </cell>
        </row>
        <row r="3141">
          <cell r="K3141" t="str">
            <v>00111121P.2</v>
          </cell>
        </row>
        <row r="3142">
          <cell r="K3142" t="str">
            <v>00111122P.2</v>
          </cell>
        </row>
        <row r="3143">
          <cell r="K3143" t="str">
            <v>00111124P.2</v>
          </cell>
        </row>
        <row r="3144">
          <cell r="K3144" t="str">
            <v>00111124P.2</v>
          </cell>
        </row>
        <row r="3145">
          <cell r="K3145" t="str">
            <v>00111124P.2</v>
          </cell>
        </row>
        <row r="3146">
          <cell r="K3146" t="str">
            <v>00111125P.2</v>
          </cell>
        </row>
        <row r="3147">
          <cell r="K3147" t="str">
            <v>00111126P.2</v>
          </cell>
        </row>
        <row r="3148">
          <cell r="K3148" t="str">
            <v>00111126P.2</v>
          </cell>
        </row>
        <row r="3149">
          <cell r="K3149" t="str">
            <v>00111126P.2</v>
          </cell>
        </row>
        <row r="3150">
          <cell r="K3150" t="str">
            <v>00111129P.2</v>
          </cell>
        </row>
        <row r="3151">
          <cell r="K3151" t="str">
            <v>00111129P.2</v>
          </cell>
        </row>
        <row r="3152">
          <cell r="K3152" t="str">
            <v>00111129P.2</v>
          </cell>
        </row>
        <row r="3153">
          <cell r="K3153" t="str">
            <v>00111129P.2</v>
          </cell>
        </row>
        <row r="3154">
          <cell r="K3154" t="str">
            <v>00111130P.2</v>
          </cell>
        </row>
        <row r="3155">
          <cell r="K3155" t="str">
            <v>00111131P.2</v>
          </cell>
        </row>
        <row r="3156">
          <cell r="K3156" t="str">
            <v>00111131P.2</v>
          </cell>
        </row>
        <row r="3157">
          <cell r="K3157" t="str">
            <v>00111131P.2</v>
          </cell>
        </row>
        <row r="3158">
          <cell r="K3158" t="str">
            <v>00111131P.2</v>
          </cell>
        </row>
        <row r="3159">
          <cell r="K3159" t="str">
            <v>00111132P.2</v>
          </cell>
        </row>
        <row r="3160">
          <cell r="K3160" t="str">
            <v>00111132P.2</v>
          </cell>
        </row>
        <row r="3161">
          <cell r="K3161" t="str">
            <v>00111132P.2</v>
          </cell>
        </row>
        <row r="3162">
          <cell r="K3162" t="str">
            <v>00111132P.2</v>
          </cell>
        </row>
        <row r="3163">
          <cell r="K3163" t="str">
            <v>00111132P.2</v>
          </cell>
        </row>
        <row r="3164">
          <cell r="K3164" t="str">
            <v>00111132P.2</v>
          </cell>
        </row>
        <row r="3165">
          <cell r="K3165" t="str">
            <v>00111132P.2</v>
          </cell>
        </row>
        <row r="3166">
          <cell r="K3166" t="str">
            <v>00111132P.2</v>
          </cell>
        </row>
        <row r="3167">
          <cell r="K3167" t="str">
            <v>00111132P.2</v>
          </cell>
        </row>
        <row r="3168">
          <cell r="K3168" t="str">
            <v>00111134P.2</v>
          </cell>
        </row>
        <row r="3169">
          <cell r="K3169" t="str">
            <v>00111135P.2</v>
          </cell>
        </row>
        <row r="3170">
          <cell r="K3170" t="str">
            <v>00111135P.2</v>
          </cell>
        </row>
        <row r="3171">
          <cell r="K3171" t="str">
            <v>00111135P.2</v>
          </cell>
        </row>
        <row r="3172">
          <cell r="K3172" t="str">
            <v>00111136P.2</v>
          </cell>
        </row>
        <row r="3173">
          <cell r="K3173" t="str">
            <v>00111145P.2</v>
          </cell>
        </row>
        <row r="3174">
          <cell r="K3174" t="str">
            <v>00111145P.2</v>
          </cell>
        </row>
        <row r="3175">
          <cell r="K3175" t="str">
            <v>00111145P.2</v>
          </cell>
        </row>
        <row r="3176">
          <cell r="K3176" t="str">
            <v>00111145P.2</v>
          </cell>
        </row>
        <row r="3177">
          <cell r="K3177" t="str">
            <v>00111145P.2</v>
          </cell>
        </row>
        <row r="3178">
          <cell r="K3178" t="str">
            <v>00111145P.2</v>
          </cell>
        </row>
        <row r="3179">
          <cell r="K3179" t="str">
            <v>00111145P.2</v>
          </cell>
        </row>
        <row r="3180">
          <cell r="K3180" t="str">
            <v>00111145P.2</v>
          </cell>
        </row>
        <row r="3181">
          <cell r="K3181" t="str">
            <v>00111145P.2</v>
          </cell>
        </row>
        <row r="3182">
          <cell r="K3182" t="str">
            <v>00111145P.2</v>
          </cell>
        </row>
        <row r="3183">
          <cell r="K3183" t="str">
            <v>00111145P.2</v>
          </cell>
        </row>
        <row r="3184">
          <cell r="K3184" t="str">
            <v>00111145P.2</v>
          </cell>
        </row>
        <row r="3185">
          <cell r="K3185" t="str">
            <v>00111145P.2</v>
          </cell>
        </row>
        <row r="3186">
          <cell r="K3186" t="str">
            <v>00111149P.2</v>
          </cell>
        </row>
        <row r="3187">
          <cell r="K3187" t="str">
            <v>00111150P.2</v>
          </cell>
        </row>
        <row r="3188">
          <cell r="K3188" t="str">
            <v>00111153P.2</v>
          </cell>
        </row>
        <row r="3189">
          <cell r="K3189" t="str">
            <v>00111153P.2</v>
          </cell>
        </row>
        <row r="3190">
          <cell r="K3190" t="str">
            <v>00111153P.2</v>
          </cell>
        </row>
        <row r="3191">
          <cell r="K3191" t="str">
            <v>00111153P.2</v>
          </cell>
        </row>
        <row r="3192">
          <cell r="K3192" t="str">
            <v>00111153P.2</v>
          </cell>
        </row>
        <row r="3193">
          <cell r="K3193" t="str">
            <v>00111153P.2</v>
          </cell>
        </row>
        <row r="3194">
          <cell r="K3194" t="str">
            <v>00111153P.2</v>
          </cell>
        </row>
        <row r="3195">
          <cell r="K3195" t="str">
            <v>00111153P.2</v>
          </cell>
        </row>
        <row r="3196">
          <cell r="K3196" t="str">
            <v>00111153P.2</v>
          </cell>
        </row>
        <row r="3197">
          <cell r="K3197" t="str">
            <v>00111153P.2</v>
          </cell>
        </row>
        <row r="3198">
          <cell r="K3198" t="str">
            <v>00111158P.2</v>
          </cell>
        </row>
        <row r="3199">
          <cell r="K3199" t="str">
            <v>00111159P.2</v>
          </cell>
        </row>
        <row r="3200">
          <cell r="K3200" t="str">
            <v>00111159P.2</v>
          </cell>
        </row>
        <row r="3201">
          <cell r="K3201" t="str">
            <v>00111159P.2</v>
          </cell>
        </row>
        <row r="3202">
          <cell r="K3202" t="str">
            <v>00111159P.2</v>
          </cell>
        </row>
        <row r="3203">
          <cell r="K3203" t="str">
            <v>00111159P.2</v>
          </cell>
        </row>
        <row r="3204">
          <cell r="K3204" t="str">
            <v>00111159P.2</v>
          </cell>
        </row>
        <row r="3205">
          <cell r="K3205" t="str">
            <v>00111159P.2</v>
          </cell>
        </row>
        <row r="3206">
          <cell r="K3206" t="str">
            <v>00111143P.2</v>
          </cell>
        </row>
        <row r="3207">
          <cell r="K3207" t="str">
            <v>00111143P.2</v>
          </cell>
        </row>
        <row r="3208">
          <cell r="K3208" t="str">
            <v>00111143P.2</v>
          </cell>
        </row>
        <row r="3209">
          <cell r="K3209" t="str">
            <v>00111143P.2</v>
          </cell>
        </row>
        <row r="3210">
          <cell r="K3210" t="str">
            <v>00111143P.2</v>
          </cell>
        </row>
        <row r="3211">
          <cell r="K3211" t="str">
            <v>00111143P.2</v>
          </cell>
        </row>
        <row r="3212">
          <cell r="K3212" t="str">
            <v>00111143P.2</v>
          </cell>
        </row>
        <row r="3213">
          <cell r="K3213" t="str">
            <v>00111143P.2</v>
          </cell>
        </row>
        <row r="3214">
          <cell r="K3214" t="str">
            <v>00111143P.2</v>
          </cell>
        </row>
        <row r="3215">
          <cell r="K3215" t="str">
            <v>00111143P.2</v>
          </cell>
        </row>
        <row r="3216">
          <cell r="K3216" t="str">
            <v>00111110P.2</v>
          </cell>
        </row>
        <row r="3217">
          <cell r="K3217" t="str">
            <v>00111112P.2</v>
          </cell>
        </row>
        <row r="3218">
          <cell r="K3218" t="str">
            <v>00111115P.2</v>
          </cell>
        </row>
        <row r="3219">
          <cell r="K3219" t="str">
            <v>00111115P.2</v>
          </cell>
        </row>
        <row r="3220">
          <cell r="K3220" t="str">
            <v>00111117P.2</v>
          </cell>
        </row>
        <row r="3221">
          <cell r="K3221" t="str">
            <v>00111117P.2</v>
          </cell>
        </row>
        <row r="3222">
          <cell r="K3222" t="str">
            <v>00111118P.2</v>
          </cell>
        </row>
        <row r="3223">
          <cell r="K3223" t="str">
            <v>00111120P.2</v>
          </cell>
        </row>
        <row r="3224">
          <cell r="K3224" t="str">
            <v>00111121P.2</v>
          </cell>
        </row>
        <row r="3225">
          <cell r="K3225" t="str">
            <v>00111122P.2</v>
          </cell>
        </row>
        <row r="3226">
          <cell r="K3226" t="str">
            <v>00111122P.2</v>
          </cell>
        </row>
        <row r="3227">
          <cell r="K3227" t="str">
            <v>00111124P.2</v>
          </cell>
        </row>
        <row r="3228">
          <cell r="K3228" t="str">
            <v>00111125P.2</v>
          </cell>
        </row>
        <row r="3229">
          <cell r="K3229" t="str">
            <v>00111125P.2</v>
          </cell>
        </row>
        <row r="3230">
          <cell r="K3230" t="str">
            <v>00111125P.2</v>
          </cell>
        </row>
        <row r="3231">
          <cell r="K3231" t="str">
            <v>00111125P.2</v>
          </cell>
        </row>
        <row r="3232">
          <cell r="K3232" t="str">
            <v>00111126P.2</v>
          </cell>
        </row>
        <row r="3233">
          <cell r="K3233" t="str">
            <v>00111126P.2</v>
          </cell>
        </row>
        <row r="3234">
          <cell r="K3234" t="str">
            <v>00111126P.2</v>
          </cell>
        </row>
        <row r="3235">
          <cell r="K3235" t="str">
            <v>00111128P.2</v>
          </cell>
        </row>
        <row r="3236">
          <cell r="K3236" t="str">
            <v>00111128P.2</v>
          </cell>
        </row>
        <row r="3237">
          <cell r="K3237" t="str">
            <v>00111129P.2</v>
          </cell>
        </row>
        <row r="3238">
          <cell r="K3238" t="str">
            <v>00111129P.2</v>
          </cell>
        </row>
        <row r="3239">
          <cell r="K3239" t="str">
            <v>00111130P.2</v>
          </cell>
        </row>
        <row r="3240">
          <cell r="K3240" t="str">
            <v>00111130P.2</v>
          </cell>
        </row>
        <row r="3241">
          <cell r="K3241" t="str">
            <v>00111131P.2</v>
          </cell>
        </row>
        <row r="3242">
          <cell r="K3242" t="str">
            <v>00111133P.2</v>
          </cell>
        </row>
        <row r="3243">
          <cell r="K3243" t="str">
            <v>00111135P.2</v>
          </cell>
        </row>
        <row r="3244">
          <cell r="K3244" t="str">
            <v>00111135P.2</v>
          </cell>
        </row>
        <row r="3245">
          <cell r="K3245" t="str">
            <v>00111135P.2</v>
          </cell>
        </row>
        <row r="3246">
          <cell r="K3246" t="str">
            <v>00111145P.2</v>
          </cell>
        </row>
        <row r="3247">
          <cell r="K3247" t="str">
            <v>00111145P.2</v>
          </cell>
        </row>
        <row r="3248">
          <cell r="K3248" t="str">
            <v>00111145P.2</v>
          </cell>
        </row>
        <row r="3249">
          <cell r="K3249" t="str">
            <v>00111149P.2</v>
          </cell>
        </row>
        <row r="3250">
          <cell r="K3250" t="str">
            <v>00111149P.2</v>
          </cell>
        </row>
        <row r="3251">
          <cell r="K3251" t="str">
            <v>00111150P.2</v>
          </cell>
        </row>
        <row r="3252">
          <cell r="K3252" t="str">
            <v>00111150P.2</v>
          </cell>
        </row>
        <row r="3253">
          <cell r="K3253" t="str">
            <v>00111151P.2</v>
          </cell>
        </row>
        <row r="3254">
          <cell r="K3254" t="str">
            <v>00111153P.2</v>
          </cell>
        </row>
        <row r="3255">
          <cell r="K3255" t="str">
            <v>00111153P.2</v>
          </cell>
        </row>
        <row r="3256">
          <cell r="K3256" t="str">
            <v>00111153P.2</v>
          </cell>
        </row>
        <row r="3257">
          <cell r="K3257" t="str">
            <v>00111158P.2</v>
          </cell>
        </row>
        <row r="3258">
          <cell r="K3258" t="str">
            <v>00111158P.2</v>
          </cell>
        </row>
        <row r="3259">
          <cell r="K3259" t="str">
            <v>00111159P.2</v>
          </cell>
        </row>
        <row r="3260">
          <cell r="K3260" t="str">
            <v>00111111P.2</v>
          </cell>
        </row>
        <row r="3261">
          <cell r="K3261" t="str">
            <v>00111112P.2</v>
          </cell>
        </row>
        <row r="3262">
          <cell r="K3262" t="str">
            <v>00111112P.2</v>
          </cell>
        </row>
        <row r="3263">
          <cell r="K3263" t="str">
            <v>00111112P.2</v>
          </cell>
        </row>
        <row r="3264">
          <cell r="K3264" t="str">
            <v>00111112P.2</v>
          </cell>
        </row>
        <row r="3265">
          <cell r="K3265" t="str">
            <v>00111112P.2</v>
          </cell>
        </row>
        <row r="3266">
          <cell r="K3266" t="str">
            <v>00111113P.2</v>
          </cell>
        </row>
        <row r="3267">
          <cell r="K3267" t="str">
            <v>00111117P.2</v>
          </cell>
        </row>
        <row r="3268">
          <cell r="K3268" t="str">
            <v>00111117P.2</v>
          </cell>
        </row>
        <row r="3269">
          <cell r="K3269" t="str">
            <v>00111119P.2</v>
          </cell>
        </row>
        <row r="3270">
          <cell r="K3270" t="str">
            <v>00111120P.2</v>
          </cell>
        </row>
        <row r="3271">
          <cell r="K3271" t="str">
            <v>00111121P.2</v>
          </cell>
        </row>
        <row r="3272">
          <cell r="K3272" t="str">
            <v>00111122P.2</v>
          </cell>
        </row>
        <row r="3273">
          <cell r="K3273" t="str">
            <v>00111123P.2</v>
          </cell>
        </row>
        <row r="3274">
          <cell r="K3274" t="str">
            <v>00111123P.2</v>
          </cell>
        </row>
        <row r="3275">
          <cell r="K3275" t="str">
            <v>00111123P.2</v>
          </cell>
        </row>
        <row r="3276">
          <cell r="K3276" t="str">
            <v>00111123P.2</v>
          </cell>
        </row>
        <row r="3277">
          <cell r="K3277" t="str">
            <v>00111125P.2</v>
          </cell>
        </row>
        <row r="3278">
          <cell r="K3278" t="str">
            <v>00111125P.2</v>
          </cell>
        </row>
        <row r="3279">
          <cell r="K3279" t="str">
            <v>00111125P.2</v>
          </cell>
        </row>
        <row r="3280">
          <cell r="K3280" t="str">
            <v>00111126P.2</v>
          </cell>
        </row>
        <row r="3281">
          <cell r="K3281" t="str">
            <v>00111127P.2</v>
          </cell>
        </row>
        <row r="3282">
          <cell r="K3282" t="str">
            <v>00111128P.2</v>
          </cell>
        </row>
        <row r="3283">
          <cell r="K3283" t="str">
            <v>00111128P.2</v>
          </cell>
        </row>
        <row r="3284">
          <cell r="K3284" t="str">
            <v>00111129P.2</v>
          </cell>
        </row>
        <row r="3285">
          <cell r="K3285" t="str">
            <v>00111130P.2</v>
          </cell>
        </row>
        <row r="3286">
          <cell r="K3286" t="str">
            <v>00111130P.2</v>
          </cell>
        </row>
        <row r="3287">
          <cell r="K3287" t="str">
            <v>00111130P.2</v>
          </cell>
        </row>
        <row r="3288">
          <cell r="K3288" t="str">
            <v>00111131P.2</v>
          </cell>
        </row>
        <row r="3289">
          <cell r="K3289" t="str">
            <v>00111132P.2</v>
          </cell>
        </row>
        <row r="3290">
          <cell r="K3290" t="str">
            <v>00111132P.2</v>
          </cell>
        </row>
        <row r="3291">
          <cell r="K3291" t="str">
            <v>00111133P.2</v>
          </cell>
        </row>
        <row r="3292">
          <cell r="K3292" t="str">
            <v>00111133P.2</v>
          </cell>
        </row>
        <row r="3293">
          <cell r="K3293" t="str">
            <v>00111133P.2</v>
          </cell>
        </row>
        <row r="3294">
          <cell r="K3294" t="str">
            <v>00111134P.2</v>
          </cell>
        </row>
        <row r="3295">
          <cell r="K3295" t="str">
            <v>00111134P.2</v>
          </cell>
        </row>
        <row r="3296">
          <cell r="K3296" t="str">
            <v>00111134P.2</v>
          </cell>
        </row>
        <row r="3297">
          <cell r="K3297" t="str">
            <v>00111135P.2</v>
          </cell>
        </row>
        <row r="3298">
          <cell r="K3298" t="str">
            <v>00111135P.2</v>
          </cell>
        </row>
        <row r="3299">
          <cell r="K3299" t="str">
            <v>00111136P.2</v>
          </cell>
        </row>
        <row r="3300">
          <cell r="K3300" t="str">
            <v>00111145P.2</v>
          </cell>
        </row>
        <row r="3301">
          <cell r="K3301" t="str">
            <v>00111145P.2</v>
          </cell>
        </row>
        <row r="3302">
          <cell r="K3302" t="str">
            <v>00111149P.2</v>
          </cell>
        </row>
        <row r="3303">
          <cell r="K3303" t="str">
            <v>00111149P.2</v>
          </cell>
        </row>
        <row r="3304">
          <cell r="K3304" t="str">
            <v>00111149P.2</v>
          </cell>
        </row>
        <row r="3305">
          <cell r="K3305" t="str">
            <v>00111150P.2</v>
          </cell>
        </row>
        <row r="3306">
          <cell r="K3306" t="str">
            <v>00111150P.2</v>
          </cell>
        </row>
        <row r="3307">
          <cell r="K3307" t="str">
            <v>00111151P.2</v>
          </cell>
        </row>
        <row r="3308">
          <cell r="K3308" t="str">
            <v>00111151P.2</v>
          </cell>
        </row>
        <row r="3309">
          <cell r="K3309" t="str">
            <v>00111153P.2</v>
          </cell>
        </row>
        <row r="3310">
          <cell r="K3310" t="str">
            <v>00111153P.2</v>
          </cell>
        </row>
        <row r="3311">
          <cell r="K3311" t="str">
            <v>00111159P.2</v>
          </cell>
        </row>
        <row r="3312">
          <cell r="K3312" t="str">
            <v>00111110P.2</v>
          </cell>
        </row>
        <row r="3313">
          <cell r="K3313" t="str">
            <v>00111110P.2</v>
          </cell>
        </row>
        <row r="3314">
          <cell r="K3314" t="str">
            <v>00111110P.2</v>
          </cell>
        </row>
        <row r="3315">
          <cell r="K3315" t="str">
            <v>00111110P.2</v>
          </cell>
        </row>
        <row r="3316">
          <cell r="K3316" t="str">
            <v>00111110P.2</v>
          </cell>
        </row>
        <row r="3317">
          <cell r="K3317" t="str">
            <v>00111110P.2</v>
          </cell>
        </row>
        <row r="3318">
          <cell r="K3318" t="str">
            <v>00111110P.2</v>
          </cell>
        </row>
        <row r="3319">
          <cell r="K3319" t="str">
            <v>00111110P.2</v>
          </cell>
        </row>
        <row r="3320">
          <cell r="K3320" t="str">
            <v>00111110P.2</v>
          </cell>
        </row>
        <row r="3321">
          <cell r="K3321" t="str">
            <v>00111110P.2</v>
          </cell>
        </row>
        <row r="3322">
          <cell r="K3322" t="str">
            <v>00111110P.2</v>
          </cell>
        </row>
        <row r="3323">
          <cell r="K3323" t="str">
            <v>00111112P.2</v>
          </cell>
        </row>
        <row r="3324">
          <cell r="K3324" t="str">
            <v>00111112P.2</v>
          </cell>
        </row>
        <row r="3325">
          <cell r="K3325" t="str">
            <v>00111112P.2</v>
          </cell>
        </row>
        <row r="3326">
          <cell r="K3326" t="str">
            <v>00111112P.2</v>
          </cell>
        </row>
        <row r="3327">
          <cell r="K3327" t="str">
            <v>00111112P.2</v>
          </cell>
        </row>
        <row r="3328">
          <cell r="K3328" t="str">
            <v>00111112P.2</v>
          </cell>
        </row>
        <row r="3329">
          <cell r="K3329" t="str">
            <v>00111112P.2</v>
          </cell>
        </row>
        <row r="3330">
          <cell r="K3330" t="str">
            <v>00111112P.2</v>
          </cell>
        </row>
        <row r="3331">
          <cell r="K3331" t="str">
            <v>00111112P.2</v>
          </cell>
        </row>
        <row r="3332">
          <cell r="K3332" t="str">
            <v>00111112P.2</v>
          </cell>
        </row>
        <row r="3333">
          <cell r="K3333" t="str">
            <v>00111112P.2</v>
          </cell>
        </row>
        <row r="3334">
          <cell r="K3334" t="str">
            <v>00111112P.2</v>
          </cell>
        </row>
        <row r="3335">
          <cell r="K3335" t="str">
            <v>00111112P.2</v>
          </cell>
        </row>
        <row r="3336">
          <cell r="K3336" t="str">
            <v>00111113P.2</v>
          </cell>
        </row>
        <row r="3337">
          <cell r="K3337" t="str">
            <v>00111113P.2</v>
          </cell>
        </row>
        <row r="3338">
          <cell r="K3338" t="str">
            <v>00111113P.2</v>
          </cell>
        </row>
        <row r="3339">
          <cell r="K3339" t="str">
            <v>00111113P.2</v>
          </cell>
        </row>
        <row r="3340">
          <cell r="K3340" t="str">
            <v>00111113P.2</v>
          </cell>
        </row>
        <row r="3341">
          <cell r="K3341" t="str">
            <v>00111117P.2</v>
          </cell>
        </row>
        <row r="3342">
          <cell r="K3342" t="str">
            <v>00111117P.2</v>
          </cell>
        </row>
        <row r="3343">
          <cell r="K3343" t="str">
            <v>00111117P.2</v>
          </cell>
        </row>
        <row r="3344">
          <cell r="K3344" t="str">
            <v>00111117P.2</v>
          </cell>
        </row>
        <row r="3345">
          <cell r="K3345" t="str">
            <v>00111117P.2</v>
          </cell>
        </row>
        <row r="3346">
          <cell r="K3346" t="str">
            <v>00111117P.2</v>
          </cell>
        </row>
        <row r="3347">
          <cell r="K3347" t="str">
            <v>00111117P.2</v>
          </cell>
        </row>
        <row r="3348">
          <cell r="K3348" t="str">
            <v>00111117P.2</v>
          </cell>
        </row>
        <row r="3349">
          <cell r="K3349" t="str">
            <v>00111117P.2</v>
          </cell>
        </row>
        <row r="3350">
          <cell r="K3350" t="str">
            <v>00111117P.2</v>
          </cell>
        </row>
        <row r="3351">
          <cell r="K3351" t="str">
            <v>00111117P.2</v>
          </cell>
        </row>
        <row r="3352">
          <cell r="K3352" t="str">
            <v>00111117P.2</v>
          </cell>
        </row>
        <row r="3353">
          <cell r="K3353" t="str">
            <v>00111117P.2</v>
          </cell>
        </row>
        <row r="3354">
          <cell r="K3354" t="str">
            <v>00111117P.2</v>
          </cell>
        </row>
        <row r="3355">
          <cell r="K3355" t="str">
            <v>00111117P.2</v>
          </cell>
        </row>
        <row r="3356">
          <cell r="K3356" t="str">
            <v>00111117P.2</v>
          </cell>
        </row>
        <row r="3357">
          <cell r="K3357" t="str">
            <v>00111117P.2</v>
          </cell>
        </row>
        <row r="3358">
          <cell r="K3358" t="str">
            <v>00111117P.2</v>
          </cell>
        </row>
        <row r="3359">
          <cell r="K3359" t="str">
            <v>00111117P.2</v>
          </cell>
        </row>
        <row r="3360">
          <cell r="K3360" t="str">
            <v>00111118P.2</v>
          </cell>
        </row>
        <row r="3361">
          <cell r="K3361" t="str">
            <v>00111120P.2</v>
          </cell>
        </row>
        <row r="3362">
          <cell r="K3362" t="str">
            <v>00111120P.2</v>
          </cell>
        </row>
        <row r="3363">
          <cell r="K3363" t="str">
            <v>00111120P.2</v>
          </cell>
        </row>
        <row r="3364">
          <cell r="K3364" t="str">
            <v>00111120P.2</v>
          </cell>
        </row>
        <row r="3365">
          <cell r="K3365" t="str">
            <v>00111120P.2</v>
          </cell>
        </row>
        <row r="3366">
          <cell r="K3366" t="str">
            <v>00111120P.2</v>
          </cell>
        </row>
        <row r="3367">
          <cell r="K3367" t="str">
            <v>00111120P.2</v>
          </cell>
        </row>
        <row r="3368">
          <cell r="K3368" t="str">
            <v>00111120P.2</v>
          </cell>
        </row>
        <row r="3369">
          <cell r="K3369" t="str">
            <v>00111121P.2</v>
          </cell>
        </row>
        <row r="3370">
          <cell r="K3370" t="str">
            <v>00111121P.2</v>
          </cell>
        </row>
        <row r="3371">
          <cell r="K3371" t="str">
            <v>00111122P.2</v>
          </cell>
        </row>
        <row r="3372">
          <cell r="K3372" t="str">
            <v>00111122P.2</v>
          </cell>
        </row>
        <row r="3373">
          <cell r="K3373" t="str">
            <v>00111122P.2</v>
          </cell>
        </row>
        <row r="3374">
          <cell r="K3374" t="str">
            <v>00111122P.2</v>
          </cell>
        </row>
        <row r="3375">
          <cell r="K3375" t="str">
            <v>00111122P.2</v>
          </cell>
        </row>
        <row r="3376">
          <cell r="K3376" t="str">
            <v>00111122P.2</v>
          </cell>
        </row>
        <row r="3377">
          <cell r="K3377" t="str">
            <v>00111122P.2</v>
          </cell>
        </row>
        <row r="3378">
          <cell r="K3378" t="str">
            <v>00111122P.2</v>
          </cell>
        </row>
        <row r="3379">
          <cell r="K3379" t="str">
            <v>00111122P.2</v>
          </cell>
        </row>
        <row r="3380">
          <cell r="K3380" t="str">
            <v>00111124P.2</v>
          </cell>
        </row>
        <row r="3381">
          <cell r="K3381" t="str">
            <v>00111126P.2</v>
          </cell>
        </row>
        <row r="3382">
          <cell r="K3382" t="str">
            <v>00111126P.2</v>
          </cell>
        </row>
        <row r="3383">
          <cell r="K3383" t="str">
            <v>00111126P.2</v>
          </cell>
        </row>
        <row r="3384">
          <cell r="K3384" t="str">
            <v>00111128P.2</v>
          </cell>
        </row>
        <row r="3385">
          <cell r="K3385" t="str">
            <v>00111128P.2</v>
          </cell>
        </row>
        <row r="3386">
          <cell r="K3386" t="str">
            <v>00111128P.2</v>
          </cell>
        </row>
        <row r="3387">
          <cell r="K3387" t="str">
            <v>00111128P.2</v>
          </cell>
        </row>
        <row r="3388">
          <cell r="K3388" t="str">
            <v>00111128P.2</v>
          </cell>
        </row>
        <row r="3389">
          <cell r="K3389" t="str">
            <v>00111128P.2</v>
          </cell>
        </row>
        <row r="3390">
          <cell r="K3390" t="str">
            <v>00111128P.2</v>
          </cell>
        </row>
        <row r="3391">
          <cell r="K3391" t="str">
            <v>00111128P.2</v>
          </cell>
        </row>
        <row r="3392">
          <cell r="K3392" t="str">
            <v>00111128P.2</v>
          </cell>
        </row>
        <row r="3393">
          <cell r="K3393" t="str">
            <v>00111128P.2</v>
          </cell>
        </row>
        <row r="3394">
          <cell r="K3394" t="str">
            <v>00111128P.2</v>
          </cell>
        </row>
        <row r="3395">
          <cell r="K3395" t="str">
            <v>00111128P.2</v>
          </cell>
        </row>
        <row r="3396">
          <cell r="K3396" t="str">
            <v>00111130P.2</v>
          </cell>
        </row>
        <row r="3397">
          <cell r="K3397" t="str">
            <v>00111130P.2</v>
          </cell>
        </row>
        <row r="3398">
          <cell r="K3398" t="str">
            <v>00111130P.2</v>
          </cell>
        </row>
        <row r="3399">
          <cell r="K3399" t="str">
            <v>00111130P.2</v>
          </cell>
        </row>
        <row r="3400">
          <cell r="K3400" t="str">
            <v>00111130P.2</v>
          </cell>
        </row>
        <row r="3401">
          <cell r="K3401" t="str">
            <v>00111130P.2</v>
          </cell>
        </row>
        <row r="3402">
          <cell r="K3402" t="str">
            <v>00111131P.2</v>
          </cell>
        </row>
        <row r="3403">
          <cell r="K3403" t="str">
            <v>00111131P.2</v>
          </cell>
        </row>
        <row r="3404">
          <cell r="K3404" t="str">
            <v>00111131P.2</v>
          </cell>
        </row>
        <row r="3405">
          <cell r="K3405" t="str">
            <v>00111131P.2</v>
          </cell>
        </row>
        <row r="3406">
          <cell r="K3406" t="str">
            <v>00111131P.2</v>
          </cell>
        </row>
        <row r="3407">
          <cell r="K3407" t="str">
            <v>00111131P.2</v>
          </cell>
        </row>
        <row r="3408">
          <cell r="K3408" t="str">
            <v>00111131P.2</v>
          </cell>
        </row>
        <row r="3409">
          <cell r="K3409" t="str">
            <v>00111155P.2</v>
          </cell>
        </row>
        <row r="3410">
          <cell r="K3410" t="str">
            <v>00111155P.2</v>
          </cell>
        </row>
        <row r="3411">
          <cell r="K3411" t="str">
            <v>00111155P.2</v>
          </cell>
        </row>
        <row r="3412">
          <cell r="K3412" t="str">
            <v>00111134P.2</v>
          </cell>
        </row>
        <row r="3413">
          <cell r="K3413" t="str">
            <v>00111134P.2</v>
          </cell>
        </row>
        <row r="3414">
          <cell r="K3414" t="str">
            <v>00111155P.2</v>
          </cell>
        </row>
        <row r="3415">
          <cell r="K3415" t="str">
            <v>00111134P.2</v>
          </cell>
        </row>
        <row r="3416">
          <cell r="K3416" t="str">
            <v>00111134P.2</v>
          </cell>
        </row>
        <row r="3417">
          <cell r="K3417" t="str">
            <v>00111134P.2</v>
          </cell>
        </row>
        <row r="3418">
          <cell r="K3418" t="str">
            <v>00111136P.2</v>
          </cell>
        </row>
        <row r="3419">
          <cell r="K3419" t="str">
            <v>00111136P.2</v>
          </cell>
        </row>
        <row r="3420">
          <cell r="K3420" t="str">
            <v>00111136P.2</v>
          </cell>
        </row>
        <row r="3421">
          <cell r="K3421" t="str">
            <v>00111136P.2</v>
          </cell>
        </row>
        <row r="3422">
          <cell r="K3422" t="str">
            <v>00111136P.2</v>
          </cell>
        </row>
        <row r="3423">
          <cell r="K3423" t="str">
            <v>00111136P.2</v>
          </cell>
        </row>
        <row r="3424">
          <cell r="K3424" t="str">
            <v>00111136P.2</v>
          </cell>
        </row>
        <row r="3425">
          <cell r="K3425" t="str">
            <v>00111136P.2</v>
          </cell>
        </row>
        <row r="3426">
          <cell r="K3426" t="str">
            <v>00111136P.2</v>
          </cell>
        </row>
        <row r="3427">
          <cell r="K3427" t="str">
            <v>00111136P.2</v>
          </cell>
        </row>
        <row r="3428">
          <cell r="K3428" t="str">
            <v>00111136P.2</v>
          </cell>
        </row>
        <row r="3429">
          <cell r="K3429" t="str">
            <v>00111158P.2</v>
          </cell>
        </row>
        <row r="3430">
          <cell r="K3430" t="str">
            <v>00111158P.2</v>
          </cell>
        </row>
        <row r="3431">
          <cell r="K3431" t="str">
            <v>00111153P.2</v>
          </cell>
        </row>
        <row r="3432">
          <cell r="K3432" t="str">
            <v>00111153P.2</v>
          </cell>
        </row>
        <row r="3433">
          <cell r="K3433" t="str">
            <v>00111153P.2</v>
          </cell>
        </row>
        <row r="3434">
          <cell r="K3434" t="str">
            <v>00111153P.2</v>
          </cell>
        </row>
        <row r="3435">
          <cell r="K3435" t="str">
            <v>00111153P.2</v>
          </cell>
        </row>
        <row r="3436">
          <cell r="K3436" t="str">
            <v>00111153P.2</v>
          </cell>
        </row>
        <row r="3437">
          <cell r="K3437" t="str">
            <v>00111159P.2</v>
          </cell>
        </row>
        <row r="3438">
          <cell r="K3438" t="str">
            <v>00111159P.2</v>
          </cell>
        </row>
        <row r="3439">
          <cell r="K3439" t="str">
            <v>00111159P.2</v>
          </cell>
        </row>
        <row r="3440">
          <cell r="K3440" t="str">
            <v>00111159P.2</v>
          </cell>
        </row>
        <row r="3441">
          <cell r="K3441" t="str">
            <v>00111159P.2</v>
          </cell>
        </row>
        <row r="3442">
          <cell r="K3442" t="str">
            <v>00111159P.2</v>
          </cell>
        </row>
        <row r="3443">
          <cell r="K3443" t="str">
            <v>00111159P.2</v>
          </cell>
        </row>
        <row r="3444">
          <cell r="K3444" t="str">
            <v>00111159P.2</v>
          </cell>
        </row>
        <row r="3445">
          <cell r="K3445" t="str">
            <v>00111159P.2</v>
          </cell>
        </row>
        <row r="3446">
          <cell r="K3446" t="str">
            <v>00111159P.2</v>
          </cell>
        </row>
        <row r="3447">
          <cell r="K3447" t="str">
            <v>00111159P.2</v>
          </cell>
        </row>
        <row r="3448">
          <cell r="K3448" t="str">
            <v>00111158P.2</v>
          </cell>
        </row>
        <row r="3449">
          <cell r="K3449" t="str">
            <v>00111158P.2</v>
          </cell>
        </row>
        <row r="3450">
          <cell r="K3450" t="str">
            <v>00111158P.2</v>
          </cell>
        </row>
        <row r="3451">
          <cell r="K3451" t="str">
            <v>00111158P.2</v>
          </cell>
        </row>
        <row r="3452">
          <cell r="K3452" t="str">
            <v>00111158P.2</v>
          </cell>
        </row>
        <row r="3453">
          <cell r="K3453" t="str">
            <v>00111140P.2</v>
          </cell>
        </row>
        <row r="3454">
          <cell r="K3454" t="str">
            <v>00111140P.2</v>
          </cell>
        </row>
        <row r="3455">
          <cell r="K3455" t="str">
            <v>00111145P.2</v>
          </cell>
        </row>
        <row r="3456">
          <cell r="K3456" t="str">
            <v>00111145P.2</v>
          </cell>
        </row>
        <row r="3457">
          <cell r="K3457" t="str">
            <v>00111145P.2</v>
          </cell>
        </row>
        <row r="3458">
          <cell r="K3458" t="str">
            <v>00111145P.2</v>
          </cell>
        </row>
        <row r="3459">
          <cell r="K3459" t="str">
            <v>00111145P.2</v>
          </cell>
        </row>
        <row r="3460">
          <cell r="K3460" t="str">
            <v>00111145P.2</v>
          </cell>
        </row>
        <row r="3461">
          <cell r="K3461" t="str">
            <v>00111145P.2</v>
          </cell>
        </row>
        <row r="3462">
          <cell r="K3462" t="str">
            <v>00111145P.2</v>
          </cell>
        </row>
        <row r="3463">
          <cell r="K3463" t="str">
            <v>00111145P.2</v>
          </cell>
        </row>
        <row r="3464">
          <cell r="K3464" t="str">
            <v>00111145P.2</v>
          </cell>
        </row>
        <row r="3465">
          <cell r="K3465" t="str">
            <v>00111145P.2</v>
          </cell>
        </row>
        <row r="3466">
          <cell r="K3466" t="str">
            <v>00111145P.2</v>
          </cell>
        </row>
        <row r="3467">
          <cell r="K3467" t="str">
            <v>00111145P.2</v>
          </cell>
        </row>
        <row r="3468">
          <cell r="K3468" t="str">
            <v>00111145P.2</v>
          </cell>
        </row>
        <row r="3469">
          <cell r="K3469" t="str">
            <v>00111149P.2</v>
          </cell>
        </row>
        <row r="3470">
          <cell r="K3470" t="str">
            <v>00111149P.2</v>
          </cell>
        </row>
        <row r="3471">
          <cell r="K3471" t="str">
            <v>00111149P.2</v>
          </cell>
        </row>
        <row r="3472">
          <cell r="K3472" t="str">
            <v>00111149P.2</v>
          </cell>
        </row>
        <row r="3473">
          <cell r="K3473" t="str">
            <v>00111149P.2</v>
          </cell>
        </row>
        <row r="3474">
          <cell r="K3474" t="str">
            <v>00111149P.2</v>
          </cell>
        </row>
        <row r="3475">
          <cell r="K3475" t="str">
            <v>00111149P.2</v>
          </cell>
        </row>
        <row r="3476">
          <cell r="K3476" t="str">
            <v>00111149P.2</v>
          </cell>
        </row>
        <row r="3477">
          <cell r="K3477" t="str">
            <v>00111149P.2</v>
          </cell>
        </row>
        <row r="3478">
          <cell r="K3478" t="str">
            <v>00111149P.2</v>
          </cell>
        </row>
        <row r="3479">
          <cell r="K3479" t="str">
            <v>00111149P.2</v>
          </cell>
        </row>
        <row r="3480">
          <cell r="K3480" t="str">
            <v>00111149P.2</v>
          </cell>
        </row>
        <row r="3481">
          <cell r="K3481" t="str">
            <v>00111143P.2</v>
          </cell>
        </row>
        <row r="3482">
          <cell r="K3482" t="str">
            <v>00111143P.2</v>
          </cell>
        </row>
        <row r="3483">
          <cell r="K3483" t="str">
            <v>00111143P.2</v>
          </cell>
        </row>
        <row r="3484">
          <cell r="K3484" t="str">
            <v>00111143P.2</v>
          </cell>
        </row>
        <row r="3485">
          <cell r="K3485" t="str">
            <v>00111143P.2</v>
          </cell>
        </row>
        <row r="3486">
          <cell r="K3486" t="str">
            <v>00111150P.2</v>
          </cell>
        </row>
        <row r="3487">
          <cell r="K3487" t="str">
            <v>00111150P.2</v>
          </cell>
        </row>
        <row r="3488">
          <cell r="K3488" t="str">
            <v>00111148P.2</v>
          </cell>
        </row>
        <row r="3489">
          <cell r="K3489" t="str">
            <v>00111148P.2</v>
          </cell>
        </row>
        <row r="3490">
          <cell r="K3490" t="str">
            <v>00111148P.2</v>
          </cell>
        </row>
        <row r="3491">
          <cell r="K3491" t="str">
            <v>00111148P.2</v>
          </cell>
        </row>
        <row r="3492">
          <cell r="K3492" t="str">
            <v>00111148P.2</v>
          </cell>
        </row>
        <row r="3493">
          <cell r="K3493" t="str">
            <v>00111157P.2</v>
          </cell>
        </row>
        <row r="3494">
          <cell r="K3494" t="str">
            <v>00111157P.2</v>
          </cell>
        </row>
        <row r="3495">
          <cell r="K3495" t="str">
            <v>00111157P.2</v>
          </cell>
        </row>
        <row r="3496">
          <cell r="K3496" t="str">
            <v>00111157P.2</v>
          </cell>
        </row>
        <row r="3497">
          <cell r="K3497" t="str">
            <v>00111157P.2</v>
          </cell>
        </row>
        <row r="3498">
          <cell r="K3498" t="str">
            <v>00111157P.2</v>
          </cell>
        </row>
        <row r="3499">
          <cell r="K3499" t="str">
            <v>00111157P.2</v>
          </cell>
        </row>
        <row r="3500">
          <cell r="K3500" t="str">
            <v>00111109P.2</v>
          </cell>
        </row>
        <row r="3501">
          <cell r="K3501" t="str">
            <v>00111109P.2</v>
          </cell>
        </row>
        <row r="3502">
          <cell r="K3502" t="str">
            <v>00111109P.2</v>
          </cell>
        </row>
        <row r="3503">
          <cell r="K3503" t="str">
            <v>00111109P.2</v>
          </cell>
        </row>
        <row r="3504">
          <cell r="K3504" t="str">
            <v>00111109P.2</v>
          </cell>
        </row>
        <row r="3505">
          <cell r="K3505" t="str">
            <v>00111109P.2</v>
          </cell>
        </row>
        <row r="3506">
          <cell r="K3506" t="str">
            <v>00111109P.2</v>
          </cell>
        </row>
        <row r="3507">
          <cell r="K3507" t="str">
            <v>00111109P.2</v>
          </cell>
        </row>
        <row r="3508">
          <cell r="K3508" t="str">
            <v>00111109P.2</v>
          </cell>
        </row>
        <row r="3509">
          <cell r="K3509" t="str">
            <v>00111109P.2</v>
          </cell>
        </row>
        <row r="3510">
          <cell r="K3510" t="str">
            <v>00111109P.2</v>
          </cell>
        </row>
        <row r="3511">
          <cell r="K3511" t="str">
            <v>00111109P.2</v>
          </cell>
        </row>
        <row r="3512">
          <cell r="K3512" t="str">
            <v>00111109P.2</v>
          </cell>
        </row>
        <row r="3513">
          <cell r="K3513" t="str">
            <v>00111109P.2</v>
          </cell>
        </row>
        <row r="3514">
          <cell r="K3514" t="str">
            <v>00111109P.2</v>
          </cell>
        </row>
        <row r="3515">
          <cell r="K3515" t="str">
            <v>00111109P.2</v>
          </cell>
        </row>
        <row r="3516">
          <cell r="K3516" t="str">
            <v>00111109P.2</v>
          </cell>
        </row>
        <row r="3517">
          <cell r="K3517" t="str">
            <v>00111109P.2</v>
          </cell>
        </row>
        <row r="3518">
          <cell r="K3518" t="str">
            <v>00111109P.2</v>
          </cell>
        </row>
        <row r="3519">
          <cell r="K3519" t="str">
            <v>00111109P.2</v>
          </cell>
        </row>
        <row r="3520">
          <cell r="K3520" t="str">
            <v>00111109P.2</v>
          </cell>
        </row>
        <row r="3521">
          <cell r="K3521" t="str">
            <v>00111106P.2</v>
          </cell>
        </row>
        <row r="3522">
          <cell r="K3522" t="str">
            <v>00111106P.2</v>
          </cell>
        </row>
        <row r="3523">
          <cell r="K3523" t="str">
            <v>00111106P.2</v>
          </cell>
        </row>
        <row r="3524">
          <cell r="K3524" t="str">
            <v>00111106P.2</v>
          </cell>
        </row>
        <row r="3525">
          <cell r="K3525" t="str">
            <v>00111107P.2</v>
          </cell>
        </row>
        <row r="3526">
          <cell r="K3526" t="str">
            <v>00111107P.2</v>
          </cell>
        </row>
        <row r="3527">
          <cell r="K3527" t="str">
            <v>00111107P.2</v>
          </cell>
        </row>
        <row r="3528">
          <cell r="K3528" t="str">
            <v>00111107P.2</v>
          </cell>
        </row>
        <row r="3529">
          <cell r="K3529" t="str">
            <v>00111110P.2</v>
          </cell>
        </row>
        <row r="3530">
          <cell r="K3530" t="str">
            <v>00111110P.2</v>
          </cell>
        </row>
        <row r="3531">
          <cell r="K3531" t="str">
            <v>00111110P.2</v>
          </cell>
        </row>
        <row r="3532">
          <cell r="K3532" t="str">
            <v>00111110P.2</v>
          </cell>
        </row>
        <row r="3533">
          <cell r="K3533" t="str">
            <v>00111110P.2</v>
          </cell>
        </row>
        <row r="3534">
          <cell r="K3534" t="str">
            <v>00111110P.2</v>
          </cell>
        </row>
        <row r="3535">
          <cell r="K3535" t="str">
            <v>00111110P.2</v>
          </cell>
        </row>
        <row r="3536">
          <cell r="K3536" t="str">
            <v>00111110P.2</v>
          </cell>
        </row>
        <row r="3537">
          <cell r="K3537" t="str">
            <v>00111110P.2</v>
          </cell>
        </row>
        <row r="3538">
          <cell r="K3538" t="str">
            <v>00111110P.2</v>
          </cell>
        </row>
        <row r="3539">
          <cell r="K3539" t="str">
            <v>00111110P.2</v>
          </cell>
        </row>
        <row r="3540">
          <cell r="K3540" t="str">
            <v>00111110P.2</v>
          </cell>
        </row>
        <row r="3541">
          <cell r="K3541" t="str">
            <v>00111110P.2</v>
          </cell>
        </row>
        <row r="3542">
          <cell r="K3542" t="str">
            <v>00111111P.2</v>
          </cell>
        </row>
        <row r="3543">
          <cell r="K3543" t="str">
            <v>00111111P.2</v>
          </cell>
        </row>
        <row r="3544">
          <cell r="K3544" t="str">
            <v>00111111P.2</v>
          </cell>
        </row>
        <row r="3545">
          <cell r="K3545" t="str">
            <v>00111111P.2</v>
          </cell>
        </row>
        <row r="3546">
          <cell r="K3546" t="str">
            <v>00111111P.2</v>
          </cell>
        </row>
        <row r="3547">
          <cell r="K3547" t="str">
            <v>00111111P.2</v>
          </cell>
        </row>
        <row r="3548">
          <cell r="K3548" t="str">
            <v>00111111P.2</v>
          </cell>
        </row>
        <row r="3549">
          <cell r="K3549" t="str">
            <v>00111113P.2</v>
          </cell>
        </row>
        <row r="3550">
          <cell r="K3550" t="str">
            <v>00111113P.2</v>
          </cell>
        </row>
        <row r="3551">
          <cell r="K3551" t="str">
            <v>00111113P.2</v>
          </cell>
        </row>
        <row r="3552">
          <cell r="K3552" t="str">
            <v>00111113P.2</v>
          </cell>
        </row>
        <row r="3553">
          <cell r="K3553" t="str">
            <v>00111113P.2</v>
          </cell>
        </row>
        <row r="3554">
          <cell r="K3554" t="str">
            <v>00111113P.2</v>
          </cell>
        </row>
        <row r="3555">
          <cell r="K3555" t="str">
            <v>00111113P.2</v>
          </cell>
        </row>
        <row r="3556">
          <cell r="K3556" t="str">
            <v>00111113P.2</v>
          </cell>
        </row>
        <row r="3557">
          <cell r="K3557" t="str">
            <v>00111113P.2</v>
          </cell>
        </row>
        <row r="3558">
          <cell r="K3558" t="str">
            <v>00111113P.2</v>
          </cell>
        </row>
        <row r="3559">
          <cell r="K3559" t="str">
            <v>00111113P.2</v>
          </cell>
        </row>
        <row r="3560">
          <cell r="K3560" t="str">
            <v>00111113P.2</v>
          </cell>
        </row>
        <row r="3561">
          <cell r="K3561" t="str">
            <v>00111113P.2</v>
          </cell>
        </row>
        <row r="3562">
          <cell r="K3562" t="str">
            <v>00111113P.2</v>
          </cell>
        </row>
        <row r="3563">
          <cell r="K3563" t="str">
            <v>00111114P.2</v>
          </cell>
        </row>
        <row r="3564">
          <cell r="K3564" t="str">
            <v>00111114P.2</v>
          </cell>
        </row>
        <row r="3565">
          <cell r="K3565" t="str">
            <v>00111115P.2</v>
          </cell>
        </row>
        <row r="3566">
          <cell r="K3566" t="str">
            <v>00111115P.2</v>
          </cell>
        </row>
        <row r="3567">
          <cell r="K3567" t="str">
            <v>00111115P.2</v>
          </cell>
        </row>
        <row r="3568">
          <cell r="K3568" t="str">
            <v>00111115P.2</v>
          </cell>
        </row>
        <row r="3569">
          <cell r="K3569" t="str">
            <v>00111115P.2</v>
          </cell>
        </row>
        <row r="3570">
          <cell r="K3570" t="str">
            <v>00111115P.2</v>
          </cell>
        </row>
        <row r="3571">
          <cell r="K3571" t="str">
            <v>00111116P.2</v>
          </cell>
        </row>
        <row r="3572">
          <cell r="K3572" t="str">
            <v>00111116P.2</v>
          </cell>
        </row>
        <row r="3573">
          <cell r="K3573" t="str">
            <v>00111116P.2</v>
          </cell>
        </row>
        <row r="3574">
          <cell r="K3574" t="str">
            <v>00111117P.2</v>
          </cell>
        </row>
        <row r="3575">
          <cell r="K3575" t="str">
            <v>00111117P.2</v>
          </cell>
        </row>
        <row r="3576">
          <cell r="K3576" t="str">
            <v>00111117P.2</v>
          </cell>
        </row>
        <row r="3577">
          <cell r="K3577" t="str">
            <v>00111117P.2</v>
          </cell>
        </row>
        <row r="3578">
          <cell r="K3578" t="str">
            <v>00111117P.2</v>
          </cell>
        </row>
        <row r="3579">
          <cell r="K3579" t="str">
            <v>00111117P.2</v>
          </cell>
        </row>
        <row r="3580">
          <cell r="K3580" t="str">
            <v>00111117P.2</v>
          </cell>
        </row>
        <row r="3581">
          <cell r="K3581" t="str">
            <v>00111117P.2</v>
          </cell>
        </row>
        <row r="3582">
          <cell r="K3582" t="str">
            <v>00111117P.2</v>
          </cell>
        </row>
        <row r="3583">
          <cell r="K3583" t="str">
            <v>00111117P.2</v>
          </cell>
        </row>
        <row r="3584">
          <cell r="K3584" t="str">
            <v>00111117P.2</v>
          </cell>
        </row>
        <row r="3585">
          <cell r="K3585" t="str">
            <v>00111117P.2</v>
          </cell>
        </row>
        <row r="3586">
          <cell r="K3586" t="str">
            <v>00111118P.2</v>
          </cell>
        </row>
        <row r="3587">
          <cell r="K3587" t="str">
            <v>00111118P.2</v>
          </cell>
        </row>
        <row r="3588">
          <cell r="K3588" t="str">
            <v>00111118P.2</v>
          </cell>
        </row>
        <row r="3589">
          <cell r="K3589" t="str">
            <v>00111118P.2</v>
          </cell>
        </row>
        <row r="3590">
          <cell r="K3590" t="str">
            <v>00111118P.2</v>
          </cell>
        </row>
        <row r="3591">
          <cell r="K3591" t="str">
            <v>00111118P.2</v>
          </cell>
        </row>
        <row r="3592">
          <cell r="K3592" t="str">
            <v>00111118P.2</v>
          </cell>
        </row>
        <row r="3593">
          <cell r="K3593" t="str">
            <v>00111118P.2</v>
          </cell>
        </row>
        <row r="3594">
          <cell r="K3594" t="str">
            <v>00111118P.2</v>
          </cell>
        </row>
        <row r="3595">
          <cell r="K3595" t="str">
            <v>00111120P.2</v>
          </cell>
        </row>
        <row r="3596">
          <cell r="K3596" t="str">
            <v>00111120P.2</v>
          </cell>
        </row>
        <row r="3597">
          <cell r="K3597" t="str">
            <v>00111120P.2</v>
          </cell>
        </row>
        <row r="3598">
          <cell r="K3598" t="str">
            <v>00111120P.2</v>
          </cell>
        </row>
        <row r="3599">
          <cell r="K3599" t="str">
            <v>00111120P.2</v>
          </cell>
        </row>
        <row r="3600">
          <cell r="K3600" t="str">
            <v>00111120P.2</v>
          </cell>
        </row>
        <row r="3601">
          <cell r="K3601" t="str">
            <v>00111120P.2</v>
          </cell>
        </row>
        <row r="3602">
          <cell r="K3602" t="str">
            <v>00111120P.2</v>
          </cell>
        </row>
        <row r="3603">
          <cell r="K3603" t="str">
            <v>00111120P.2</v>
          </cell>
        </row>
        <row r="3604">
          <cell r="K3604" t="str">
            <v>00111120P.2</v>
          </cell>
        </row>
        <row r="3605">
          <cell r="K3605" t="str">
            <v>00111120P.2</v>
          </cell>
        </row>
        <row r="3606">
          <cell r="K3606" t="str">
            <v>00111121P.2</v>
          </cell>
        </row>
        <row r="3607">
          <cell r="K3607" t="str">
            <v>00111121P.2</v>
          </cell>
        </row>
        <row r="3608">
          <cell r="K3608" t="str">
            <v>00111121P.2</v>
          </cell>
        </row>
        <row r="3609">
          <cell r="K3609" t="str">
            <v>00111121P.2</v>
          </cell>
        </row>
        <row r="3610">
          <cell r="K3610" t="str">
            <v>00111121P.2</v>
          </cell>
        </row>
        <row r="3611">
          <cell r="K3611" t="str">
            <v>00111121P.2</v>
          </cell>
        </row>
        <row r="3612">
          <cell r="K3612" t="str">
            <v>00111121P.2</v>
          </cell>
        </row>
        <row r="3613">
          <cell r="K3613" t="str">
            <v>00111121P.2</v>
          </cell>
        </row>
        <row r="3614">
          <cell r="K3614" t="str">
            <v>00111122P.2</v>
          </cell>
        </row>
        <row r="3615">
          <cell r="K3615" t="str">
            <v>00111122P.2</v>
          </cell>
        </row>
        <row r="3616">
          <cell r="K3616" t="str">
            <v>00111122P.2</v>
          </cell>
        </row>
        <row r="3617">
          <cell r="K3617" t="str">
            <v>00111122P.2</v>
          </cell>
        </row>
        <row r="3618">
          <cell r="K3618" t="str">
            <v>00111122P.2</v>
          </cell>
        </row>
        <row r="3619">
          <cell r="K3619" t="str">
            <v>00111122P.2</v>
          </cell>
        </row>
        <row r="3620">
          <cell r="K3620" t="str">
            <v>00111122P.2</v>
          </cell>
        </row>
        <row r="3621">
          <cell r="K3621" t="str">
            <v>00111122P.2</v>
          </cell>
        </row>
        <row r="3622">
          <cell r="K3622" t="str">
            <v>00111122P.2</v>
          </cell>
        </row>
        <row r="3623">
          <cell r="K3623" t="str">
            <v>00111122P.2</v>
          </cell>
        </row>
        <row r="3624">
          <cell r="K3624" t="str">
            <v>00111122P.2</v>
          </cell>
        </row>
        <row r="3625">
          <cell r="K3625" t="str">
            <v>00111123P.2</v>
          </cell>
        </row>
        <row r="3626">
          <cell r="K3626" t="str">
            <v>00111123P.2</v>
          </cell>
        </row>
        <row r="3627">
          <cell r="K3627" t="str">
            <v>00111123P.2</v>
          </cell>
        </row>
        <row r="3628">
          <cell r="K3628" t="str">
            <v>00111123P.2</v>
          </cell>
        </row>
        <row r="3629">
          <cell r="K3629" t="str">
            <v>00111123P.2</v>
          </cell>
        </row>
        <row r="3630">
          <cell r="K3630" t="str">
            <v>00111124P.2</v>
          </cell>
        </row>
        <row r="3631">
          <cell r="K3631" t="str">
            <v>00111124P.2</v>
          </cell>
        </row>
        <row r="3632">
          <cell r="K3632" t="str">
            <v>00111124P.2</v>
          </cell>
        </row>
        <row r="3633">
          <cell r="K3633" t="str">
            <v>00111124P.2</v>
          </cell>
        </row>
        <row r="3634">
          <cell r="K3634" t="str">
            <v>00111124P.2</v>
          </cell>
        </row>
        <row r="3635">
          <cell r="K3635" t="str">
            <v>00111125P.2</v>
          </cell>
        </row>
        <row r="3636">
          <cell r="K3636" t="str">
            <v>00111125P.2</v>
          </cell>
        </row>
        <row r="3637">
          <cell r="K3637" t="str">
            <v>00111125P.2</v>
          </cell>
        </row>
        <row r="3638">
          <cell r="K3638" t="str">
            <v>00111125P.2</v>
          </cell>
        </row>
        <row r="3639">
          <cell r="K3639" t="str">
            <v>00111125P.2</v>
          </cell>
        </row>
        <row r="3640">
          <cell r="K3640" t="str">
            <v>00111125P.2</v>
          </cell>
        </row>
        <row r="3641">
          <cell r="K3641" t="str">
            <v>00111125P.2</v>
          </cell>
        </row>
        <row r="3642">
          <cell r="K3642" t="str">
            <v>00111125P.2</v>
          </cell>
        </row>
        <row r="3643">
          <cell r="K3643" t="str">
            <v>00111125P.2</v>
          </cell>
        </row>
        <row r="3644">
          <cell r="K3644" t="str">
            <v>00111125P.2</v>
          </cell>
        </row>
        <row r="3645">
          <cell r="K3645" t="str">
            <v>00111126P.2</v>
          </cell>
        </row>
        <row r="3646">
          <cell r="K3646" t="str">
            <v>00111126P.2</v>
          </cell>
        </row>
        <row r="3647">
          <cell r="K3647" t="str">
            <v>00111126P.2</v>
          </cell>
        </row>
        <row r="3648">
          <cell r="K3648" t="str">
            <v>00111126P.2</v>
          </cell>
        </row>
        <row r="3649">
          <cell r="K3649" t="str">
            <v>00111126P.2</v>
          </cell>
        </row>
        <row r="3650">
          <cell r="K3650" t="str">
            <v>00111127P.2</v>
          </cell>
        </row>
        <row r="3651">
          <cell r="K3651" t="str">
            <v>00111127P.2</v>
          </cell>
        </row>
        <row r="3652">
          <cell r="K3652" t="str">
            <v>00111127P.2</v>
          </cell>
        </row>
        <row r="3653">
          <cell r="K3653" t="str">
            <v>00111127P.2</v>
          </cell>
        </row>
        <row r="3654">
          <cell r="K3654" t="str">
            <v>00111128P.2</v>
          </cell>
        </row>
        <row r="3655">
          <cell r="K3655" t="str">
            <v>00111128P.2</v>
          </cell>
        </row>
        <row r="3656">
          <cell r="K3656" t="str">
            <v>00111128P.2</v>
          </cell>
        </row>
        <row r="3657">
          <cell r="K3657" t="str">
            <v>00111128P.2</v>
          </cell>
        </row>
        <row r="3658">
          <cell r="K3658" t="str">
            <v>00111128P.2</v>
          </cell>
        </row>
        <row r="3659">
          <cell r="K3659" t="str">
            <v>00111128P.2</v>
          </cell>
        </row>
        <row r="3660">
          <cell r="K3660" t="str">
            <v>00111128P.2</v>
          </cell>
        </row>
        <row r="3661">
          <cell r="K3661" t="str">
            <v>00111128P.2</v>
          </cell>
        </row>
        <row r="3662">
          <cell r="K3662" t="str">
            <v>00111128P.2</v>
          </cell>
        </row>
        <row r="3663">
          <cell r="K3663" t="str">
            <v>00111128P.2</v>
          </cell>
        </row>
        <row r="3664">
          <cell r="K3664" t="str">
            <v>00111128P.2</v>
          </cell>
        </row>
        <row r="3665">
          <cell r="K3665" t="str">
            <v>00111128P.2</v>
          </cell>
        </row>
        <row r="3666">
          <cell r="K3666" t="str">
            <v>00111128P.2</v>
          </cell>
        </row>
        <row r="3667">
          <cell r="K3667" t="str">
            <v>00111128P.2</v>
          </cell>
        </row>
        <row r="3668">
          <cell r="K3668" t="str">
            <v>00111128P.2</v>
          </cell>
        </row>
        <row r="3669">
          <cell r="K3669" t="str">
            <v>00111129P.2</v>
          </cell>
        </row>
        <row r="3670">
          <cell r="K3670" t="str">
            <v>00111129P.2</v>
          </cell>
        </row>
        <row r="3671">
          <cell r="K3671" t="str">
            <v>00111129P.2</v>
          </cell>
        </row>
        <row r="3672">
          <cell r="K3672" t="str">
            <v>00111129P.2</v>
          </cell>
        </row>
        <row r="3673">
          <cell r="K3673" t="str">
            <v>00111129P.2</v>
          </cell>
        </row>
        <row r="3674">
          <cell r="K3674" t="str">
            <v>00111129P.2</v>
          </cell>
        </row>
        <row r="3675">
          <cell r="K3675" t="str">
            <v>00111129P.2</v>
          </cell>
        </row>
        <row r="3676">
          <cell r="K3676" t="str">
            <v>00111129P.2</v>
          </cell>
        </row>
        <row r="3677">
          <cell r="K3677" t="str">
            <v>00111129P.2</v>
          </cell>
        </row>
        <row r="3678">
          <cell r="K3678" t="str">
            <v>00111130P.2</v>
          </cell>
        </row>
        <row r="3679">
          <cell r="K3679" t="str">
            <v>00111130P.2</v>
          </cell>
        </row>
        <row r="3680">
          <cell r="K3680" t="str">
            <v>00111130P.2</v>
          </cell>
        </row>
        <row r="3681">
          <cell r="K3681" t="str">
            <v>00111130P.2</v>
          </cell>
        </row>
        <row r="3682">
          <cell r="K3682" t="str">
            <v>00111130P.2</v>
          </cell>
        </row>
        <row r="3683">
          <cell r="K3683" t="str">
            <v>00111130P.2</v>
          </cell>
        </row>
        <row r="3684">
          <cell r="K3684" t="str">
            <v>00111130P.2</v>
          </cell>
        </row>
        <row r="3685">
          <cell r="K3685" t="str">
            <v>00111130P.2</v>
          </cell>
        </row>
        <row r="3686">
          <cell r="K3686" t="str">
            <v>00111130P.2</v>
          </cell>
        </row>
        <row r="3687">
          <cell r="K3687" t="str">
            <v>00111131P.2</v>
          </cell>
        </row>
        <row r="3688">
          <cell r="K3688" t="str">
            <v>00111131P.2</v>
          </cell>
        </row>
        <row r="3689">
          <cell r="K3689" t="str">
            <v>00111131P.2</v>
          </cell>
        </row>
        <row r="3690">
          <cell r="K3690" t="str">
            <v>00111131P.2</v>
          </cell>
        </row>
        <row r="3691">
          <cell r="K3691" t="str">
            <v>00111131P.2</v>
          </cell>
        </row>
        <row r="3692">
          <cell r="K3692" t="str">
            <v>00111131P.2</v>
          </cell>
        </row>
        <row r="3693">
          <cell r="K3693" t="str">
            <v>00111131P.2</v>
          </cell>
        </row>
        <row r="3694">
          <cell r="K3694" t="str">
            <v>00111131P.2</v>
          </cell>
        </row>
        <row r="3695">
          <cell r="K3695" t="str">
            <v>00111131P.2</v>
          </cell>
        </row>
        <row r="3696">
          <cell r="K3696" t="str">
            <v>00111132P.2</v>
          </cell>
        </row>
        <row r="3697">
          <cell r="K3697" t="str">
            <v>00111132P.2</v>
          </cell>
        </row>
        <row r="3698">
          <cell r="K3698" t="str">
            <v>00111132P.2</v>
          </cell>
        </row>
        <row r="3699">
          <cell r="K3699" t="str">
            <v>00111132P.2</v>
          </cell>
        </row>
        <row r="3700">
          <cell r="K3700" t="str">
            <v>00111132P.2</v>
          </cell>
        </row>
        <row r="3701">
          <cell r="K3701" t="str">
            <v>00111132P.2</v>
          </cell>
        </row>
        <row r="3702">
          <cell r="K3702" t="str">
            <v>00111132P.2</v>
          </cell>
        </row>
        <row r="3703">
          <cell r="K3703" t="str">
            <v>00111132P.2</v>
          </cell>
        </row>
        <row r="3704">
          <cell r="K3704" t="str">
            <v>00111132P.2</v>
          </cell>
        </row>
        <row r="3705">
          <cell r="K3705" t="str">
            <v>00111132P.2</v>
          </cell>
        </row>
        <row r="3706">
          <cell r="K3706" t="str">
            <v>00111132P.2</v>
          </cell>
        </row>
        <row r="3707">
          <cell r="K3707" t="str">
            <v>00111132P.2</v>
          </cell>
        </row>
        <row r="3708">
          <cell r="K3708" t="str">
            <v>00111132P.2</v>
          </cell>
        </row>
        <row r="3709">
          <cell r="K3709" t="str">
            <v>00111132P.2</v>
          </cell>
        </row>
        <row r="3710">
          <cell r="K3710" t="str">
            <v>00111132P.2</v>
          </cell>
        </row>
        <row r="3711">
          <cell r="K3711" t="str">
            <v>00111132P.2</v>
          </cell>
        </row>
        <row r="3712">
          <cell r="K3712" t="str">
            <v>00111133P.2</v>
          </cell>
        </row>
        <row r="3713">
          <cell r="K3713" t="str">
            <v>00111133P.2</v>
          </cell>
        </row>
        <row r="3714">
          <cell r="K3714" t="str">
            <v>00111133P.2</v>
          </cell>
        </row>
        <row r="3715">
          <cell r="K3715" t="str">
            <v>00111133P.2</v>
          </cell>
        </row>
        <row r="3716">
          <cell r="K3716" t="str">
            <v>00111133P.2</v>
          </cell>
        </row>
        <row r="3717">
          <cell r="K3717" t="str">
            <v>00111134P.2</v>
          </cell>
        </row>
        <row r="3718">
          <cell r="K3718" t="str">
            <v>00111134P.2</v>
          </cell>
        </row>
        <row r="3719">
          <cell r="K3719" t="str">
            <v>00111134P.2</v>
          </cell>
        </row>
        <row r="3720">
          <cell r="K3720" t="str">
            <v>00111134P.2</v>
          </cell>
        </row>
        <row r="3721">
          <cell r="K3721" t="str">
            <v>00111134P.2</v>
          </cell>
        </row>
        <row r="3722">
          <cell r="K3722" t="str">
            <v>00111134P.2</v>
          </cell>
        </row>
        <row r="3723">
          <cell r="K3723" t="str">
            <v>00111134P.2</v>
          </cell>
        </row>
        <row r="3724">
          <cell r="K3724" t="str">
            <v>00111134P.2</v>
          </cell>
        </row>
        <row r="3725">
          <cell r="K3725" t="str">
            <v>00111134P.2</v>
          </cell>
        </row>
        <row r="3726">
          <cell r="K3726" t="str">
            <v>00111135P.2</v>
          </cell>
        </row>
        <row r="3727">
          <cell r="K3727" t="str">
            <v>00111135P.2</v>
          </cell>
        </row>
        <row r="3728">
          <cell r="K3728" t="str">
            <v>00111135P.2</v>
          </cell>
        </row>
        <row r="3729">
          <cell r="K3729" t="str">
            <v>00111135P.2</v>
          </cell>
        </row>
        <row r="3730">
          <cell r="K3730" t="str">
            <v>00111135P.2</v>
          </cell>
        </row>
        <row r="3731">
          <cell r="K3731" t="str">
            <v>00111135P.2</v>
          </cell>
        </row>
        <row r="3732">
          <cell r="K3732" t="str">
            <v>00111135P.2</v>
          </cell>
        </row>
        <row r="3733">
          <cell r="K3733" t="str">
            <v>00111136P.2</v>
          </cell>
        </row>
        <row r="3734">
          <cell r="K3734" t="str">
            <v>00111136P.2</v>
          </cell>
        </row>
        <row r="3735">
          <cell r="K3735" t="str">
            <v>00111136P.2</v>
          </cell>
        </row>
        <row r="3736">
          <cell r="K3736" t="str">
            <v>00111136P.2</v>
          </cell>
        </row>
        <row r="3737">
          <cell r="K3737" t="str">
            <v>00111136P.2</v>
          </cell>
        </row>
        <row r="3738">
          <cell r="K3738" t="str">
            <v>00111158P.2</v>
          </cell>
        </row>
        <row r="3739">
          <cell r="K3739" t="str">
            <v>00111158P.2</v>
          </cell>
        </row>
        <row r="3740">
          <cell r="K3740" t="str">
            <v>00111158P.2</v>
          </cell>
        </row>
        <row r="3741">
          <cell r="K3741" t="str">
            <v>00111158P.2</v>
          </cell>
        </row>
        <row r="3742">
          <cell r="K3742" t="str">
            <v>00111138P.2</v>
          </cell>
        </row>
        <row r="3743">
          <cell r="K3743" t="str">
            <v>00111138P.2</v>
          </cell>
        </row>
        <row r="3744">
          <cell r="K3744" t="str">
            <v>00111138P.2</v>
          </cell>
        </row>
        <row r="3745">
          <cell r="K3745" t="str">
            <v>00111138P.2</v>
          </cell>
        </row>
        <row r="3746">
          <cell r="K3746" t="str">
            <v>00111138P.2</v>
          </cell>
        </row>
        <row r="3747">
          <cell r="K3747" t="str">
            <v>00111138P.2</v>
          </cell>
        </row>
        <row r="3748">
          <cell r="K3748" t="str">
            <v>00111138P.2</v>
          </cell>
        </row>
        <row r="3749">
          <cell r="K3749" t="str">
            <v>00111138P.2</v>
          </cell>
        </row>
        <row r="3750">
          <cell r="K3750" t="str">
            <v>00111138P.2</v>
          </cell>
        </row>
        <row r="3751">
          <cell r="K3751" t="str">
            <v>00111138P.2</v>
          </cell>
        </row>
        <row r="3752">
          <cell r="K3752" t="str">
            <v>00111138P.2</v>
          </cell>
        </row>
        <row r="3753">
          <cell r="K3753" t="str">
            <v>00111138P.2</v>
          </cell>
        </row>
        <row r="3754">
          <cell r="K3754" t="str">
            <v>00111138P.2</v>
          </cell>
        </row>
        <row r="3755">
          <cell r="K3755" t="str">
            <v>00111139P.2</v>
          </cell>
        </row>
        <row r="3756">
          <cell r="K3756" t="str">
            <v>00111139P.2</v>
          </cell>
        </row>
        <row r="3757">
          <cell r="K3757" t="str">
            <v>00111139P.2</v>
          </cell>
        </row>
        <row r="3758">
          <cell r="K3758" t="str">
            <v>00111140P.2</v>
          </cell>
        </row>
        <row r="3759">
          <cell r="K3759" t="str">
            <v>00111140P.2</v>
          </cell>
        </row>
        <row r="3760">
          <cell r="K3760" t="str">
            <v>00111140P.2</v>
          </cell>
        </row>
        <row r="3761">
          <cell r="K3761" t="str">
            <v>00111140P.2</v>
          </cell>
        </row>
        <row r="3762">
          <cell r="K3762" t="str">
            <v>00111140P.2</v>
          </cell>
        </row>
        <row r="3763">
          <cell r="K3763" t="str">
            <v>00111140P.2</v>
          </cell>
        </row>
        <row r="3764">
          <cell r="K3764" t="str">
            <v>00111140P.2</v>
          </cell>
        </row>
        <row r="3765">
          <cell r="K3765" t="str">
            <v>00111145P.2</v>
          </cell>
        </row>
        <row r="3766">
          <cell r="K3766" t="str">
            <v>00111145P.2</v>
          </cell>
        </row>
        <row r="3767">
          <cell r="K3767" t="str">
            <v>00111145P.2</v>
          </cell>
        </row>
        <row r="3768">
          <cell r="K3768" t="str">
            <v>00111145P.2</v>
          </cell>
        </row>
        <row r="3769">
          <cell r="K3769" t="str">
            <v>00111145P.2</v>
          </cell>
        </row>
        <row r="3770">
          <cell r="K3770" t="str">
            <v>00111145P.2</v>
          </cell>
        </row>
        <row r="3771">
          <cell r="K3771" t="str">
            <v>00111145P.2</v>
          </cell>
        </row>
        <row r="3772">
          <cell r="K3772" t="str">
            <v>00111148P.2</v>
          </cell>
        </row>
        <row r="3773">
          <cell r="K3773" t="str">
            <v>00111148P.2</v>
          </cell>
        </row>
        <row r="3774">
          <cell r="K3774" t="str">
            <v>00111148P.2</v>
          </cell>
        </row>
        <row r="3775">
          <cell r="K3775" t="str">
            <v>00111148P.2</v>
          </cell>
        </row>
        <row r="3776">
          <cell r="K3776" t="str">
            <v>00111148P.2</v>
          </cell>
        </row>
        <row r="3777">
          <cell r="K3777" t="str">
            <v>00111148P.2</v>
          </cell>
        </row>
        <row r="3778">
          <cell r="K3778" t="str">
            <v>00111148P.2</v>
          </cell>
        </row>
        <row r="3779">
          <cell r="K3779" t="str">
            <v>00111148P.2</v>
          </cell>
        </row>
        <row r="3780">
          <cell r="K3780" t="str">
            <v>00111149P.2</v>
          </cell>
        </row>
        <row r="3781">
          <cell r="K3781" t="str">
            <v>00111149P.2</v>
          </cell>
        </row>
        <row r="3782">
          <cell r="K3782" t="str">
            <v>00111149P.2</v>
          </cell>
        </row>
        <row r="3783">
          <cell r="K3783" t="str">
            <v>00111149P.2</v>
          </cell>
        </row>
        <row r="3784">
          <cell r="K3784" t="str">
            <v>00111149P.2</v>
          </cell>
        </row>
        <row r="3785">
          <cell r="K3785" t="str">
            <v>00111149P.2</v>
          </cell>
        </row>
        <row r="3786">
          <cell r="K3786" t="str">
            <v>00111149P.2</v>
          </cell>
        </row>
        <row r="3787">
          <cell r="K3787" t="str">
            <v>00111149P.2</v>
          </cell>
        </row>
        <row r="3788">
          <cell r="K3788" t="str">
            <v>00111149P.2</v>
          </cell>
        </row>
        <row r="3789">
          <cell r="K3789" t="str">
            <v>00111149P.2</v>
          </cell>
        </row>
        <row r="3790">
          <cell r="K3790" t="str">
            <v>00111149P.2</v>
          </cell>
        </row>
        <row r="3791">
          <cell r="K3791" t="str">
            <v>00111149P.2</v>
          </cell>
        </row>
        <row r="3792">
          <cell r="K3792" t="str">
            <v>00111149P.2</v>
          </cell>
        </row>
        <row r="3793">
          <cell r="K3793" t="str">
            <v>00111149P.2</v>
          </cell>
        </row>
        <row r="3794">
          <cell r="K3794" t="str">
            <v>00111149P.2</v>
          </cell>
        </row>
        <row r="3795">
          <cell r="K3795" t="str">
            <v>00111149P.2</v>
          </cell>
        </row>
        <row r="3796">
          <cell r="K3796" t="str">
            <v>00111149P.2</v>
          </cell>
        </row>
        <row r="3797">
          <cell r="K3797" t="str">
            <v>00111149P.2</v>
          </cell>
        </row>
        <row r="3798">
          <cell r="K3798" t="str">
            <v>00111149P.2</v>
          </cell>
        </row>
        <row r="3799">
          <cell r="K3799" t="str">
            <v>00111149P.2</v>
          </cell>
        </row>
        <row r="3800">
          <cell r="K3800" t="str">
            <v>00111150P.2</v>
          </cell>
        </row>
        <row r="3801">
          <cell r="K3801" t="str">
            <v>00111150P.2</v>
          </cell>
        </row>
        <row r="3802">
          <cell r="K3802" t="str">
            <v>00111150P.2</v>
          </cell>
        </row>
        <row r="3803">
          <cell r="K3803" t="str">
            <v>00111150P.2</v>
          </cell>
        </row>
        <row r="3804">
          <cell r="K3804" t="str">
            <v>00111150P.2</v>
          </cell>
        </row>
        <row r="3805">
          <cell r="K3805" t="str">
            <v>00111150P.2</v>
          </cell>
        </row>
        <row r="3806">
          <cell r="K3806" t="str">
            <v>00111153P.2</v>
          </cell>
        </row>
        <row r="3807">
          <cell r="K3807" t="str">
            <v>00111153P.2</v>
          </cell>
        </row>
        <row r="3808">
          <cell r="K3808" t="str">
            <v>00111153P.2</v>
          </cell>
        </row>
        <row r="3809">
          <cell r="K3809" t="str">
            <v>00111153P.2</v>
          </cell>
        </row>
        <row r="3810">
          <cell r="K3810" t="str">
            <v>00111157P.2</v>
          </cell>
        </row>
        <row r="3811">
          <cell r="K3811" t="str">
            <v>00111157P.2</v>
          </cell>
        </row>
        <row r="3812">
          <cell r="K3812" t="str">
            <v>00111157P.2</v>
          </cell>
        </row>
        <row r="3813">
          <cell r="K3813" t="str">
            <v>00111157P.2</v>
          </cell>
        </row>
        <row r="3814">
          <cell r="K3814" t="str">
            <v>00111157P.2</v>
          </cell>
        </row>
        <row r="3815">
          <cell r="K3815" t="str">
            <v>00111157P.2</v>
          </cell>
        </row>
        <row r="3816">
          <cell r="K3816" t="str">
            <v>00111157P.2</v>
          </cell>
        </row>
        <row r="3817">
          <cell r="K3817" t="str">
            <v>00111157P.2</v>
          </cell>
        </row>
        <row r="3818">
          <cell r="K3818" t="str">
            <v>00111157P.2</v>
          </cell>
        </row>
        <row r="3819">
          <cell r="K3819" t="str">
            <v>00111158P.2</v>
          </cell>
        </row>
        <row r="3820">
          <cell r="K3820" t="str">
            <v>00111158P.2</v>
          </cell>
        </row>
        <row r="3821">
          <cell r="K3821" t="str">
            <v>00111158P.2</v>
          </cell>
        </row>
        <row r="3822">
          <cell r="K3822" t="str">
            <v>00111158P.2</v>
          </cell>
        </row>
        <row r="3823">
          <cell r="K3823" t="str">
            <v>00111159P.2</v>
          </cell>
        </row>
        <row r="3824">
          <cell r="K3824" t="str">
            <v>00111159P.2</v>
          </cell>
        </row>
        <row r="3825">
          <cell r="K3825" t="str">
            <v>00111159P.2</v>
          </cell>
        </row>
        <row r="3826">
          <cell r="K3826" t="str">
            <v>00111159P.2</v>
          </cell>
        </row>
        <row r="3827">
          <cell r="K3827" t="str">
            <v>00111159P.2</v>
          </cell>
        </row>
        <row r="3828">
          <cell r="K3828" t="str">
            <v>00111159P.2</v>
          </cell>
        </row>
        <row r="3829">
          <cell r="K3829" t="str">
            <v>00111159P.2</v>
          </cell>
        </row>
        <row r="3830">
          <cell r="K3830" t="str">
            <v>00111159P.2</v>
          </cell>
        </row>
        <row r="3831">
          <cell r="K3831" t="str">
            <v>00111159P.2</v>
          </cell>
        </row>
        <row r="3832">
          <cell r="K3832" t="str">
            <v>00111159P.2</v>
          </cell>
        </row>
        <row r="3833">
          <cell r="K3833" t="str">
            <v>00111143P.2</v>
          </cell>
        </row>
        <row r="3834">
          <cell r="K3834" t="str">
            <v>00111143P.2</v>
          </cell>
        </row>
        <row r="3835">
          <cell r="K3835" t="str">
            <v>00111143P.2</v>
          </cell>
        </row>
        <row r="3836">
          <cell r="K3836" t="str">
            <v>00111143P.2</v>
          </cell>
        </row>
        <row r="3837">
          <cell r="K3837" t="str">
            <v>00111143P.2</v>
          </cell>
        </row>
        <row r="3838">
          <cell r="K3838" t="str">
            <v>00111143P.2</v>
          </cell>
        </row>
        <row r="3839">
          <cell r="K3839" t="str">
            <v>00111143P.2</v>
          </cell>
        </row>
        <row r="3840">
          <cell r="K3840" t="str">
            <v>00111143P.2</v>
          </cell>
        </row>
        <row r="3841">
          <cell r="K3841" t="str">
            <v>00111140P.2</v>
          </cell>
        </row>
        <row r="3842">
          <cell r="K3842" t="str">
            <v>00111128P.2</v>
          </cell>
        </row>
        <row r="3843">
          <cell r="K3843" t="str">
            <v>00111128P.2</v>
          </cell>
        </row>
        <row r="3844">
          <cell r="K3844" t="str">
            <v>00111128P.2</v>
          </cell>
        </row>
        <row r="3845">
          <cell r="K3845" t="str">
            <v>00111128P.2</v>
          </cell>
        </row>
        <row r="3846">
          <cell r="K3846" t="str">
            <v>00111128P.2</v>
          </cell>
        </row>
        <row r="3847">
          <cell r="K3847" t="str">
            <v>00111128P.2</v>
          </cell>
        </row>
        <row r="3848">
          <cell r="K3848" t="str">
            <v>00111128P.2</v>
          </cell>
        </row>
        <row r="3849">
          <cell r="K3849" t="str">
            <v>00111128P.2</v>
          </cell>
        </row>
        <row r="3850">
          <cell r="K3850" t="str">
            <v>00111128P.2</v>
          </cell>
        </row>
        <row r="3851">
          <cell r="K3851" t="str">
            <v>00111128P.2</v>
          </cell>
        </row>
        <row r="3852">
          <cell r="K3852" t="str">
            <v>00111122P.2</v>
          </cell>
        </row>
        <row r="3853">
          <cell r="K3853" t="str">
            <v>00111122P.2</v>
          </cell>
        </row>
        <row r="3854">
          <cell r="K3854" t="str">
            <v>00111122P.2</v>
          </cell>
        </row>
        <row r="3855">
          <cell r="K3855" t="str">
            <v>00111122P.2</v>
          </cell>
        </row>
        <row r="3856">
          <cell r="K3856" t="str">
            <v>00111122P.2</v>
          </cell>
        </row>
        <row r="3857">
          <cell r="K3857" t="str">
            <v>00111122P.2</v>
          </cell>
        </row>
        <row r="3858">
          <cell r="K3858" t="str">
            <v>00111122P.2</v>
          </cell>
        </row>
        <row r="3859">
          <cell r="K3859" t="str">
            <v>00111122P.2</v>
          </cell>
        </row>
        <row r="3860">
          <cell r="K3860" t="str">
            <v>00111122P.2</v>
          </cell>
        </row>
        <row r="3861">
          <cell r="K3861" t="str">
            <v>00111122P.2</v>
          </cell>
        </row>
        <row r="3862">
          <cell r="K3862" t="str">
            <v>00111132P.2</v>
          </cell>
        </row>
        <row r="3863">
          <cell r="K3863" t="str">
            <v>00111154P.2</v>
          </cell>
        </row>
        <row r="3864">
          <cell r="K3864" t="str">
            <v>00111143P.2</v>
          </cell>
        </row>
        <row r="3865">
          <cell r="K3865" t="str">
            <v>00111143P.2</v>
          </cell>
        </row>
        <row r="3866">
          <cell r="K3866" t="str">
            <v>00111157P.2</v>
          </cell>
        </row>
        <row r="3867">
          <cell r="K3867" t="str">
            <v>00111157P.2</v>
          </cell>
        </row>
        <row r="3868">
          <cell r="K3868" t="str">
            <v>00111157P.2</v>
          </cell>
        </row>
        <row r="3869">
          <cell r="K3869" t="str">
            <v>00111157P.2</v>
          </cell>
        </row>
        <row r="3870">
          <cell r="K3870" t="str">
            <v>00111156P.2</v>
          </cell>
        </row>
        <row r="3871">
          <cell r="K3871" t="str">
            <v>00111156P.2</v>
          </cell>
        </row>
        <row r="3872">
          <cell r="K3872" t="str">
            <v>00111160P.2</v>
          </cell>
        </row>
        <row r="3873">
          <cell r="K3873" t="str">
            <v>00111160P.2</v>
          </cell>
        </row>
        <row r="3874">
          <cell r="K3874" t="str">
            <v>00111160P.2</v>
          </cell>
        </row>
        <row r="3875">
          <cell r="K3875" t="str">
            <v>00111160P.2</v>
          </cell>
        </row>
        <row r="3876">
          <cell r="K3876" t="str">
            <v>00111160P.2</v>
          </cell>
        </row>
        <row r="3877">
          <cell r="K3877" t="str">
            <v>00111160P.2</v>
          </cell>
        </row>
        <row r="3878">
          <cell r="K3878" t="str">
            <v>00111160P.2</v>
          </cell>
        </row>
        <row r="3879">
          <cell r="K3879" t="str">
            <v>00111153P.2</v>
          </cell>
        </row>
        <row r="3880">
          <cell r="K3880" t="str">
            <v>00111147P.2</v>
          </cell>
        </row>
        <row r="3881">
          <cell r="K3881" t="str">
            <v>00111147P.2</v>
          </cell>
        </row>
        <row r="3882">
          <cell r="K3882" t="str">
            <v>00111147P.2</v>
          </cell>
        </row>
        <row r="3883">
          <cell r="K3883" t="str">
            <v>00111147P.2</v>
          </cell>
        </row>
        <row r="3884">
          <cell r="K3884" t="str">
            <v>00111154P.2</v>
          </cell>
        </row>
        <row r="3885">
          <cell r="K3885" t="str">
            <v>00111154P.2</v>
          </cell>
        </row>
        <row r="3886">
          <cell r="K3886" t="str">
            <v>00111154P.2</v>
          </cell>
        </row>
        <row r="3887">
          <cell r="K3887" t="str">
            <v>00111154P.2</v>
          </cell>
        </row>
        <row r="3888">
          <cell r="K3888" t="str">
            <v>00111154P.2</v>
          </cell>
        </row>
        <row r="3889">
          <cell r="K3889" t="str">
            <v>00111154P.2</v>
          </cell>
        </row>
        <row r="3890">
          <cell r="K3890" t="str">
            <v>00111154P.2</v>
          </cell>
        </row>
        <row r="3891">
          <cell r="K3891" t="str">
            <v>00111154P.2</v>
          </cell>
        </row>
        <row r="3892">
          <cell r="K3892" t="str">
            <v>00111154P.2</v>
          </cell>
        </row>
        <row r="3893">
          <cell r="K3893" t="str">
            <v>00111154P.2</v>
          </cell>
        </row>
        <row r="3894">
          <cell r="K3894" t="str">
            <v>00111154P.2</v>
          </cell>
        </row>
        <row r="3895">
          <cell r="K3895" t="str">
            <v>00111154P.2</v>
          </cell>
        </row>
        <row r="3896">
          <cell r="K3896" t="str">
            <v>00111154P.2</v>
          </cell>
        </row>
        <row r="3897">
          <cell r="K3897" t="str">
            <v>00111154P.2</v>
          </cell>
        </row>
        <row r="3898">
          <cell r="K3898" t="str">
            <v>00111104P.2</v>
          </cell>
        </row>
        <row r="3899">
          <cell r="K3899" t="str">
            <v>00111105P.2</v>
          </cell>
        </row>
        <row r="3900">
          <cell r="K3900" t="str">
            <v>00111104P.2</v>
          </cell>
        </row>
        <row r="3901">
          <cell r="K3901" t="str">
            <v>00111110P.2</v>
          </cell>
        </row>
        <row r="3902">
          <cell r="K3902" t="str">
            <v>00111104P.2</v>
          </cell>
        </row>
        <row r="3903">
          <cell r="K3903" t="str">
            <v>00111112P.2</v>
          </cell>
        </row>
        <row r="3904">
          <cell r="K3904" t="str">
            <v>00111110P.2</v>
          </cell>
        </row>
        <row r="3905">
          <cell r="K3905" t="str">
            <v>00111110P.2</v>
          </cell>
        </row>
        <row r="3906">
          <cell r="K3906" t="str">
            <v>00111110P.2</v>
          </cell>
        </row>
        <row r="3907">
          <cell r="K3907" t="str">
            <v>00111110P.2</v>
          </cell>
        </row>
        <row r="3908">
          <cell r="K3908" t="str">
            <v>00111133P.2</v>
          </cell>
        </row>
        <row r="3909">
          <cell r="K3909" t="str">
            <v>00111144P.2</v>
          </cell>
        </row>
        <row r="3910">
          <cell r="K3910" t="str">
            <v>00111141P.2</v>
          </cell>
        </row>
        <row r="3911">
          <cell r="K3911" t="str">
            <v>00111144P.2</v>
          </cell>
        </row>
        <row r="3912">
          <cell r="K3912" t="str">
            <v>00111144P.2</v>
          </cell>
        </row>
        <row r="3913">
          <cell r="K3913" t="str">
            <v>00111144P.2</v>
          </cell>
        </row>
        <row r="3914">
          <cell r="K3914" t="str">
            <v>00111144P.2</v>
          </cell>
        </row>
        <row r="3915">
          <cell r="K3915" t="str">
            <v>00111144P.2</v>
          </cell>
        </row>
        <row r="3916">
          <cell r="K3916" t="str">
            <v>00111142P.2</v>
          </cell>
        </row>
        <row r="3917">
          <cell r="K3917" t="str">
            <v>00111141P.2</v>
          </cell>
        </row>
        <row r="3918">
          <cell r="K3918" t="str">
            <v>00111141P.2</v>
          </cell>
        </row>
        <row r="3919">
          <cell r="K3919" t="str">
            <v>00111141P.2</v>
          </cell>
        </row>
        <row r="3920">
          <cell r="K3920" t="str">
            <v>00111141P.2</v>
          </cell>
        </row>
        <row r="3921">
          <cell r="K3921" t="str">
            <v>00111102P.2</v>
          </cell>
        </row>
        <row r="3922">
          <cell r="K3922" t="str">
            <v>00111102P.2</v>
          </cell>
        </row>
        <row r="3923">
          <cell r="K3923" t="str">
            <v>00111102P.2</v>
          </cell>
        </row>
        <row r="3924">
          <cell r="K3924" t="str">
            <v>00111102P.2</v>
          </cell>
        </row>
        <row r="3925">
          <cell r="K3925" t="str">
            <v>00111102P.2</v>
          </cell>
        </row>
        <row r="3926">
          <cell r="K3926" t="str">
            <v>00111102P.2</v>
          </cell>
        </row>
        <row r="3927">
          <cell r="K3927" t="str">
            <v>00111102P.2</v>
          </cell>
        </row>
        <row r="3928">
          <cell r="K3928" t="str">
            <v>00111103P.2</v>
          </cell>
        </row>
        <row r="3929">
          <cell r="K3929" t="str">
            <v>00111103P.2</v>
          </cell>
        </row>
        <row r="3930">
          <cell r="K3930" t="str">
            <v>00111103P.2</v>
          </cell>
        </row>
        <row r="3931">
          <cell r="K3931" t="str">
            <v>00111103P.2</v>
          </cell>
        </row>
        <row r="3932">
          <cell r="K3932" t="str">
            <v>00111105P.2</v>
          </cell>
        </row>
        <row r="3933">
          <cell r="K3933" t="str">
            <v>00111105P.2</v>
          </cell>
        </row>
        <row r="3934">
          <cell r="K3934" t="str">
            <v>00111105P.2</v>
          </cell>
        </row>
        <row r="3935">
          <cell r="K3935" t="str">
            <v>00111102P.2</v>
          </cell>
        </row>
        <row r="3936">
          <cell r="K3936" t="str">
            <v>00111102P.2</v>
          </cell>
        </row>
        <row r="3937">
          <cell r="K3937" t="str">
            <v>00111102P.2</v>
          </cell>
        </row>
        <row r="3938">
          <cell r="K3938" t="str">
            <v>00111102P.2</v>
          </cell>
        </row>
        <row r="3939">
          <cell r="K3939" t="str">
            <v>00111102P.2</v>
          </cell>
        </row>
        <row r="3940">
          <cell r="K3940" t="str">
            <v>00111102P.2</v>
          </cell>
        </row>
        <row r="3941">
          <cell r="K3941" t="str">
            <v>00111102P.2</v>
          </cell>
        </row>
        <row r="3942">
          <cell r="K3942" t="str">
            <v>00111102P.2</v>
          </cell>
        </row>
        <row r="3943">
          <cell r="K3943" t="str">
            <v>00111102P.2</v>
          </cell>
        </row>
        <row r="3944">
          <cell r="K3944" t="str">
            <v>00111102P.2</v>
          </cell>
        </row>
        <row r="3945">
          <cell r="K3945" t="str">
            <v>00111102P.2</v>
          </cell>
        </row>
        <row r="3946">
          <cell r="K3946" t="str">
            <v>00111102P.2</v>
          </cell>
        </row>
        <row r="3947">
          <cell r="K3947" t="str">
            <v>00111102P.2</v>
          </cell>
        </row>
        <row r="3948">
          <cell r="K3948" t="str">
            <v>00111102P.2</v>
          </cell>
        </row>
        <row r="3949">
          <cell r="K3949" t="str">
            <v>00111102P.2</v>
          </cell>
        </row>
        <row r="3950">
          <cell r="K3950" t="str">
            <v>00111102P.2</v>
          </cell>
        </row>
        <row r="3951">
          <cell r="K3951" t="str">
            <v>00111102P.2</v>
          </cell>
        </row>
        <row r="3952">
          <cell r="K3952" t="str">
            <v>00111102P.2</v>
          </cell>
        </row>
        <row r="3953">
          <cell r="K3953" t="str">
            <v>00111102P.2</v>
          </cell>
        </row>
        <row r="3954">
          <cell r="K3954" t="str">
            <v>00111102P.2</v>
          </cell>
        </row>
        <row r="3955">
          <cell r="K3955" t="str">
            <v>00111102P.2</v>
          </cell>
        </row>
        <row r="3956">
          <cell r="K3956" t="str">
            <v>00111102P.2</v>
          </cell>
        </row>
        <row r="3957">
          <cell r="K3957" t="str">
            <v>00111102P.2</v>
          </cell>
        </row>
        <row r="3958">
          <cell r="K3958" t="str">
            <v>00111102P.2</v>
          </cell>
        </row>
        <row r="3959">
          <cell r="K3959" t="str">
            <v>00111102P.2</v>
          </cell>
        </row>
        <row r="3960">
          <cell r="K3960" t="str">
            <v>00111102P.2</v>
          </cell>
        </row>
        <row r="3961">
          <cell r="K3961" t="str">
            <v>00111102P.2</v>
          </cell>
        </row>
        <row r="3962">
          <cell r="K3962" t="str">
            <v>00111102P.2</v>
          </cell>
        </row>
        <row r="3963">
          <cell r="K3963" t="str">
            <v>00111102P.2</v>
          </cell>
        </row>
        <row r="3964">
          <cell r="K3964" t="str">
            <v>00111102P.2</v>
          </cell>
        </row>
        <row r="3965">
          <cell r="K3965" t="str">
            <v>00111102P.2</v>
          </cell>
        </row>
        <row r="3966">
          <cell r="K3966" t="str">
            <v>00111102P.2</v>
          </cell>
        </row>
        <row r="3967">
          <cell r="K3967" t="str">
            <v>00111102P.2</v>
          </cell>
        </row>
        <row r="3968">
          <cell r="K3968" t="str">
            <v>00111102P.2</v>
          </cell>
        </row>
        <row r="3969">
          <cell r="K3969" t="str">
            <v>00111113P.2</v>
          </cell>
        </row>
        <row r="3970">
          <cell r="K3970" t="str">
            <v>00111113P.2</v>
          </cell>
        </row>
        <row r="3971">
          <cell r="K3971" t="str">
            <v>00111113P.2</v>
          </cell>
        </row>
        <row r="3972">
          <cell r="K3972" t="str">
            <v>00111113P.2</v>
          </cell>
        </row>
        <row r="3973">
          <cell r="K3973" t="str">
            <v>00111113P.2</v>
          </cell>
        </row>
        <row r="3974">
          <cell r="K3974" t="str">
            <v>00111113P.2</v>
          </cell>
        </row>
        <row r="3975">
          <cell r="K3975" t="str">
            <v>00111113P.2</v>
          </cell>
        </row>
        <row r="3976">
          <cell r="K3976" t="str">
            <v>00111113P.2</v>
          </cell>
        </row>
        <row r="3977">
          <cell r="K3977" t="str">
            <v>00111113P.2</v>
          </cell>
        </row>
        <row r="3978">
          <cell r="K3978" t="str">
            <v>00111113P.2</v>
          </cell>
        </row>
        <row r="3979">
          <cell r="K3979" t="str">
            <v>00111113P.2</v>
          </cell>
        </row>
        <row r="3980">
          <cell r="K3980" t="str">
            <v>00111113P.2</v>
          </cell>
        </row>
        <row r="3981">
          <cell r="K3981" t="str">
            <v>00111113P.2</v>
          </cell>
        </row>
        <row r="3982">
          <cell r="K3982" t="str">
            <v>00111113P.2</v>
          </cell>
        </row>
        <row r="3983">
          <cell r="K3983" t="str">
            <v>00111113P.2</v>
          </cell>
        </row>
        <row r="3984">
          <cell r="K3984" t="str">
            <v>00111113P.2</v>
          </cell>
        </row>
        <row r="3985">
          <cell r="K3985" t="str">
            <v>00111113P.2</v>
          </cell>
        </row>
        <row r="3986">
          <cell r="K3986" t="str">
            <v>00111113P.2</v>
          </cell>
        </row>
        <row r="3987">
          <cell r="K3987" t="str">
            <v>00111113P.2</v>
          </cell>
        </row>
        <row r="3988">
          <cell r="K3988" t="str">
            <v>00111113P.2</v>
          </cell>
        </row>
        <row r="3989">
          <cell r="K3989" t="str">
            <v>00111113P.2</v>
          </cell>
        </row>
        <row r="3990">
          <cell r="K3990" t="str">
            <v>00111113P.2</v>
          </cell>
        </row>
        <row r="3991">
          <cell r="K3991" t="str">
            <v>00111113P.2</v>
          </cell>
        </row>
        <row r="3992">
          <cell r="K3992" t="str">
            <v>00111110P.2</v>
          </cell>
        </row>
        <row r="3993">
          <cell r="K3993" t="str">
            <v>00111110P.2</v>
          </cell>
        </row>
        <row r="3994">
          <cell r="K3994" t="str">
            <v>00111110P.2</v>
          </cell>
        </row>
        <row r="3995">
          <cell r="K3995" t="str">
            <v>00111110P.2</v>
          </cell>
        </row>
        <row r="3996">
          <cell r="K3996" t="str">
            <v>00111110P.2</v>
          </cell>
        </row>
        <row r="3997">
          <cell r="K3997" t="str">
            <v>00111110P.2</v>
          </cell>
        </row>
        <row r="3998">
          <cell r="K3998" t="str">
            <v>00111110P.2</v>
          </cell>
        </row>
        <row r="3999">
          <cell r="K3999" t="str">
            <v>00111110P.2</v>
          </cell>
        </row>
        <row r="4000">
          <cell r="K4000" t="str">
            <v>00111110P.2</v>
          </cell>
        </row>
        <row r="4001">
          <cell r="K4001" t="str">
            <v>00111110P.2</v>
          </cell>
        </row>
        <row r="4002">
          <cell r="K4002" t="str">
            <v>00111114P.2</v>
          </cell>
        </row>
        <row r="4003">
          <cell r="K4003" t="str">
            <v>00111112P.2</v>
          </cell>
        </row>
        <row r="4004">
          <cell r="K4004" t="str">
            <v>00111112P.2</v>
          </cell>
        </row>
        <row r="4005">
          <cell r="K4005" t="str">
            <v>00111131P.2</v>
          </cell>
        </row>
        <row r="4006">
          <cell r="K4006" t="str">
            <v>00111110P.2</v>
          </cell>
        </row>
        <row r="4007">
          <cell r="K4007" t="str">
            <v>00111110P.2</v>
          </cell>
        </row>
        <row r="4008">
          <cell r="K4008" t="str">
            <v>00111110P.2</v>
          </cell>
        </row>
        <row r="4009">
          <cell r="K4009" t="str">
            <v>00111111P.2</v>
          </cell>
        </row>
        <row r="4010">
          <cell r="K4010" t="str">
            <v>00111151P.2</v>
          </cell>
        </row>
        <row r="4011">
          <cell r="K4011" t="str">
            <v>00111151P.2</v>
          </cell>
        </row>
        <row r="4012">
          <cell r="K4012" t="str">
            <v>00111151P.2</v>
          </cell>
        </row>
        <row r="4013">
          <cell r="K4013" t="str">
            <v>00111151P.2</v>
          </cell>
        </row>
        <row r="4014">
          <cell r="K4014" t="str">
            <v>00111151P.2</v>
          </cell>
        </row>
        <row r="4015">
          <cell r="K4015" t="str">
            <v>00111151P.2</v>
          </cell>
        </row>
        <row r="4016">
          <cell r="K4016" t="str">
            <v>00111151P.2</v>
          </cell>
        </row>
        <row r="4017">
          <cell r="K4017" t="str">
            <v>00111151P.2</v>
          </cell>
        </row>
        <row r="4018">
          <cell r="K4018" t="str">
            <v>00111151P.2</v>
          </cell>
        </row>
        <row r="4019">
          <cell r="K4019" t="str">
            <v>00111151P.2</v>
          </cell>
        </row>
        <row r="4020">
          <cell r="K4020" t="str">
            <v>00111151P.2</v>
          </cell>
        </row>
        <row r="4021">
          <cell r="K4021" t="str">
            <v>00111151P.2</v>
          </cell>
        </row>
        <row r="4022">
          <cell r="K4022" t="str">
            <v>00111151P.2</v>
          </cell>
        </row>
        <row r="4023">
          <cell r="K4023" t="str">
            <v>00111151P.2</v>
          </cell>
        </row>
        <row r="4024">
          <cell r="K4024" t="str">
            <v>00111151P.2</v>
          </cell>
        </row>
        <row r="4025">
          <cell r="K4025" t="str">
            <v>00111151P.2</v>
          </cell>
        </row>
        <row r="4026">
          <cell r="K4026" t="str">
            <v>00111151P.2</v>
          </cell>
        </row>
        <row r="4027">
          <cell r="K4027" t="str">
            <v>00111151P.2</v>
          </cell>
        </row>
        <row r="4028">
          <cell r="K4028" t="str">
            <v>00111151P.2</v>
          </cell>
        </row>
        <row r="4029">
          <cell r="K4029" t="str">
            <v>00111151P.2</v>
          </cell>
        </row>
        <row r="4030">
          <cell r="K4030" t="str">
            <v>00111151P.2</v>
          </cell>
        </row>
        <row r="4031">
          <cell r="K4031" t="str">
            <v>00111151P.2</v>
          </cell>
        </row>
        <row r="4032">
          <cell r="K4032" t="str">
            <v>00111151P.2</v>
          </cell>
        </row>
        <row r="4033">
          <cell r="K4033" t="str">
            <v>00111151P.2</v>
          </cell>
        </row>
        <row r="4034">
          <cell r="K4034" t="str">
            <v>00111151P.2</v>
          </cell>
        </row>
        <row r="4035">
          <cell r="K4035" t="str">
            <v>00111151P.2</v>
          </cell>
        </row>
        <row r="4036">
          <cell r="K4036" t="str">
            <v>00111151P.2</v>
          </cell>
        </row>
        <row r="4037">
          <cell r="K4037" t="str">
            <v>00111151P.2</v>
          </cell>
        </row>
        <row r="4038">
          <cell r="K4038" t="str">
            <v>00111151P.2</v>
          </cell>
        </row>
        <row r="4039">
          <cell r="K4039" t="str">
            <v>00111151P.2</v>
          </cell>
        </row>
        <row r="4040">
          <cell r="K4040" t="str">
            <v>00111151P.2</v>
          </cell>
        </row>
        <row r="4041">
          <cell r="K4041" t="str">
            <v>00111151P.2</v>
          </cell>
        </row>
        <row r="4042">
          <cell r="K4042" t="str">
            <v>00111151P.2</v>
          </cell>
        </row>
        <row r="4043">
          <cell r="K4043" t="str">
            <v>00111151P.2</v>
          </cell>
        </row>
        <row r="4044">
          <cell r="K4044" t="str">
            <v>00111151P.2</v>
          </cell>
        </row>
        <row r="4045">
          <cell r="K4045" t="str">
            <v>00111151P.2</v>
          </cell>
        </row>
        <row r="4046">
          <cell r="K4046" t="str">
            <v>00111151P.2</v>
          </cell>
        </row>
        <row r="4047">
          <cell r="K4047" t="str">
            <v>00111151P.2</v>
          </cell>
        </row>
        <row r="4048">
          <cell r="K4048" t="str">
            <v>00111151P.2</v>
          </cell>
        </row>
        <row r="4049">
          <cell r="K4049" t="str">
            <v>00111151P.2</v>
          </cell>
        </row>
        <row r="4050">
          <cell r="K4050" t="str">
            <v>00111151P.2</v>
          </cell>
        </row>
        <row r="4051">
          <cell r="K4051" t="str">
            <v>00111154P.2</v>
          </cell>
        </row>
        <row r="4052">
          <cell r="K4052" t="str">
            <v>00111154P.2</v>
          </cell>
        </row>
        <row r="4053">
          <cell r="K4053" t="str">
            <v>00111154P.2</v>
          </cell>
        </row>
        <row r="4054">
          <cell r="K4054" t="str">
            <v>00111154P.2</v>
          </cell>
        </row>
        <row r="4055">
          <cell r="K4055" t="str">
            <v>00111154P.2</v>
          </cell>
        </row>
        <row r="4056">
          <cell r="K4056" t="str">
            <v>00111154P.2</v>
          </cell>
        </row>
        <row r="4057">
          <cell r="K4057" t="str">
            <v>00111154P.2</v>
          </cell>
        </row>
        <row r="4058">
          <cell r="K4058" t="str">
            <v>00111154P.2</v>
          </cell>
        </row>
        <row r="4059">
          <cell r="K4059" t="str">
            <v>00111154P.2</v>
          </cell>
        </row>
        <row r="4060">
          <cell r="K4060" t="str">
            <v>00111154P.2</v>
          </cell>
        </row>
        <row r="4061">
          <cell r="K4061" t="str">
            <v>00111154P.2</v>
          </cell>
        </row>
        <row r="4062">
          <cell r="K4062" t="str">
            <v>00111154P.2</v>
          </cell>
        </row>
        <row r="4063">
          <cell r="K4063" t="str">
            <v>00111154P.2</v>
          </cell>
        </row>
        <row r="4064">
          <cell r="K4064" t="str">
            <v>00111154P.2</v>
          </cell>
        </row>
        <row r="4065">
          <cell r="K4065" t="str">
            <v>00111154P.2</v>
          </cell>
        </row>
        <row r="4066">
          <cell r="K4066" t="str">
            <v>00111154P.2</v>
          </cell>
        </row>
        <row r="4067">
          <cell r="K4067" t="str">
            <v>00111154P.2</v>
          </cell>
        </row>
        <row r="4068">
          <cell r="K4068" t="str">
            <v>00111154P.2</v>
          </cell>
        </row>
        <row r="4069">
          <cell r="K4069" t="str">
            <v>00111154P.2</v>
          </cell>
        </row>
        <row r="4070">
          <cell r="K4070" t="str">
            <v>00111154P.2</v>
          </cell>
        </row>
        <row r="4071">
          <cell r="K4071" t="str">
            <v>00111156P.2</v>
          </cell>
        </row>
        <row r="4072">
          <cell r="K4072" t="str">
            <v>00111156P.2</v>
          </cell>
        </row>
        <row r="4073">
          <cell r="K4073" t="str">
            <v>00111156P.2</v>
          </cell>
        </row>
        <row r="4074">
          <cell r="K4074" t="str">
            <v>00111156P.2</v>
          </cell>
        </row>
        <row r="4075">
          <cell r="K4075" t="str">
            <v>00111156P.2</v>
          </cell>
        </row>
        <row r="4076">
          <cell r="K4076" t="str">
            <v>00111160P.2</v>
          </cell>
        </row>
        <row r="4077">
          <cell r="K4077" t="str">
            <v>00111143P.2</v>
          </cell>
        </row>
        <row r="4078">
          <cell r="K4078" t="str">
            <v>00111143P.2</v>
          </cell>
        </row>
        <row r="4079">
          <cell r="K4079" t="str">
            <v>00111143P.2</v>
          </cell>
        </row>
        <row r="4080">
          <cell r="K4080" t="str">
            <v>00111143P.2</v>
          </cell>
        </row>
        <row r="4081">
          <cell r="K4081" t="str">
            <v>00111143P.2</v>
          </cell>
        </row>
        <row r="4082">
          <cell r="K4082" t="str">
            <v>00111153P.2</v>
          </cell>
        </row>
        <row r="4083">
          <cell r="K4083" t="str">
            <v>00111153P.2</v>
          </cell>
        </row>
        <row r="4084">
          <cell r="K4084" t="str">
            <v>00111153P.2</v>
          </cell>
        </row>
        <row r="4085">
          <cell r="K4085" t="str">
            <v>00111153P.2</v>
          </cell>
        </row>
        <row r="4086">
          <cell r="K4086" t="str">
            <v>00111157P.2</v>
          </cell>
        </row>
        <row r="4087">
          <cell r="K4087" t="str">
            <v>00111157P.2</v>
          </cell>
        </row>
        <row r="4088">
          <cell r="K4088" t="str">
            <v>00111157P.2</v>
          </cell>
        </row>
        <row r="4089">
          <cell r="K4089" t="str">
            <v>00111156P.2</v>
          </cell>
        </row>
        <row r="4090">
          <cell r="K4090" t="str">
            <v>00111156P.2</v>
          </cell>
        </row>
        <row r="4091">
          <cell r="K4091" t="str">
            <v>00111156P.2</v>
          </cell>
        </row>
        <row r="4092">
          <cell r="K4092" t="str">
            <v>00111156P.2</v>
          </cell>
        </row>
        <row r="4093">
          <cell r="K4093" t="str">
            <v>00111156P.2</v>
          </cell>
        </row>
        <row r="4094">
          <cell r="K4094" t="str">
            <v>00111156P.2</v>
          </cell>
        </row>
        <row r="4095">
          <cell r="K4095" t="str">
            <v>00111156P.2</v>
          </cell>
        </row>
        <row r="4096">
          <cell r="K4096" t="str">
            <v>00111157P.2</v>
          </cell>
        </row>
        <row r="4097">
          <cell r="K4097" t="str">
            <v>00111157P.2</v>
          </cell>
        </row>
        <row r="4098">
          <cell r="K4098" t="str">
            <v>00111154P.2</v>
          </cell>
        </row>
        <row r="4099">
          <cell r="K4099" t="str">
            <v>00111154P.2</v>
          </cell>
        </row>
        <row r="4100">
          <cell r="K4100" t="str">
            <v>00111154P.2</v>
          </cell>
        </row>
        <row r="4101">
          <cell r="K4101" t="str">
            <v>00111154P.2</v>
          </cell>
        </row>
        <row r="4102">
          <cell r="K4102" t="str">
            <v>00111154P.2</v>
          </cell>
        </row>
        <row r="4103">
          <cell r="K4103" t="str">
            <v>00111154P.2</v>
          </cell>
        </row>
        <row r="4104">
          <cell r="K4104" t="str">
            <v>00111154P.2</v>
          </cell>
        </row>
        <row r="4105">
          <cell r="K4105" t="str">
            <v>00111154P.2</v>
          </cell>
        </row>
        <row r="4106">
          <cell r="K4106" t="str">
            <v>00111154P.2</v>
          </cell>
        </row>
        <row r="4107">
          <cell r="K4107" t="str">
            <v>00111154P.2</v>
          </cell>
        </row>
        <row r="4108">
          <cell r="K4108" t="str">
            <v>00111156P.2</v>
          </cell>
        </row>
        <row r="4109">
          <cell r="K4109" t="str">
            <v>00111156P.2</v>
          </cell>
        </row>
        <row r="4110">
          <cell r="K4110" t="str">
            <v>00111156P.2</v>
          </cell>
        </row>
        <row r="4111">
          <cell r="K4111" t="str">
            <v>00111156P.2</v>
          </cell>
        </row>
        <row r="4112">
          <cell r="K4112" t="str">
            <v>00111156P.2</v>
          </cell>
        </row>
        <row r="4113">
          <cell r="K4113" t="str">
            <v>00111156P.2</v>
          </cell>
        </row>
        <row r="4114">
          <cell r="K4114" t="str">
            <v>00111156P.2</v>
          </cell>
        </row>
        <row r="4115">
          <cell r="K4115" t="str">
            <v>00111156P.2</v>
          </cell>
        </row>
        <row r="4116">
          <cell r="K4116" t="str">
            <v>00111156P.2</v>
          </cell>
        </row>
        <row r="4117">
          <cell r="K4117" t="str">
            <v>00111156P.2</v>
          </cell>
        </row>
        <row r="4118">
          <cell r="K4118" t="str">
            <v>00111156P.2</v>
          </cell>
        </row>
        <row r="4119">
          <cell r="K4119" t="str">
            <v>00111156P.2</v>
          </cell>
        </row>
        <row r="4120">
          <cell r="K4120" t="str">
            <v>00111156P.2</v>
          </cell>
        </row>
        <row r="4121">
          <cell r="K4121" t="str">
            <v>00111156P.2</v>
          </cell>
        </row>
        <row r="4122">
          <cell r="K4122" t="str">
            <v>00111157P.2</v>
          </cell>
        </row>
        <row r="4123">
          <cell r="K4123" t="str">
            <v>00111157P.2</v>
          </cell>
        </row>
        <row r="4124">
          <cell r="K4124" t="str">
            <v>00111157P.2</v>
          </cell>
        </row>
        <row r="4125">
          <cell r="K4125" t="str">
            <v>00111157P.2</v>
          </cell>
        </row>
        <row r="4126">
          <cell r="K4126" t="str">
            <v>00111160P.2</v>
          </cell>
        </row>
        <row r="4127">
          <cell r="K4127" t="str">
            <v>00111160P.2</v>
          </cell>
        </row>
        <row r="4128">
          <cell r="K4128" t="str">
            <v>00111118P.2</v>
          </cell>
        </row>
        <row r="4129">
          <cell r="K4129" t="str">
            <v>00111118P.2</v>
          </cell>
        </row>
        <row r="4130">
          <cell r="K4130" t="str">
            <v>00111118P.2</v>
          </cell>
        </row>
        <row r="4131">
          <cell r="K4131" t="str">
            <v>00111157P.2</v>
          </cell>
        </row>
        <row r="4132">
          <cell r="K4132" t="str">
            <v>00111157P.2</v>
          </cell>
        </row>
        <row r="4133">
          <cell r="K4133" t="str">
            <v>00111157P.2</v>
          </cell>
        </row>
        <row r="4134">
          <cell r="K4134" t="str">
            <v>00111157P.2</v>
          </cell>
        </row>
        <row r="4135">
          <cell r="K4135" t="str">
            <v>00111157P.2</v>
          </cell>
        </row>
        <row r="4136">
          <cell r="K4136" t="str">
            <v>00111157P.2</v>
          </cell>
        </row>
        <row r="4137">
          <cell r="K4137" t="str">
            <v>00111157P.2</v>
          </cell>
        </row>
        <row r="4138">
          <cell r="K4138" t="str">
            <v>00111157P.2</v>
          </cell>
        </row>
        <row r="4139">
          <cell r="K4139" t="str">
            <v>00111157P.2</v>
          </cell>
        </row>
        <row r="4140">
          <cell r="K4140" t="str">
            <v>00111146P.2</v>
          </cell>
        </row>
        <row r="4141">
          <cell r="K4141" t="str">
            <v>00111146P.2</v>
          </cell>
        </row>
        <row r="4142">
          <cell r="K4142" t="str">
            <v>00111146P.2</v>
          </cell>
        </row>
        <row r="4143">
          <cell r="K4143" t="str">
            <v>00111146P.2</v>
          </cell>
        </row>
        <row r="4144">
          <cell r="K4144" t="str">
            <v>00111146P.2</v>
          </cell>
        </row>
        <row r="4145">
          <cell r="K4145" t="str">
            <v>00111146P.2</v>
          </cell>
        </row>
        <row r="4146">
          <cell r="K4146" t="str">
            <v>00111146P.2</v>
          </cell>
        </row>
        <row r="4147">
          <cell r="K4147" t="str">
            <v>00111140P.2</v>
          </cell>
        </row>
        <row r="4148">
          <cell r="K4148" t="str">
            <v>00111140P.2</v>
          </cell>
        </row>
        <row r="4149">
          <cell r="K4149" t="str">
            <v>00111140P.2</v>
          </cell>
        </row>
        <row r="4150">
          <cell r="K4150" t="str">
            <v>00111140P.2</v>
          </cell>
        </row>
        <row r="4151">
          <cell r="K4151" t="str">
            <v>00111140P.2</v>
          </cell>
        </row>
        <row r="4152">
          <cell r="K4152" t="str">
            <v>00111140P.2</v>
          </cell>
        </row>
        <row r="4153">
          <cell r="K4153" t="str">
            <v>00111140P.2</v>
          </cell>
        </row>
        <row r="4154">
          <cell r="K4154" t="str">
            <v>00111140P.2</v>
          </cell>
        </row>
        <row r="4155">
          <cell r="K4155" t="str">
            <v>00111140P.2</v>
          </cell>
        </row>
        <row r="4156">
          <cell r="K4156" t="str">
            <v>00111140P.2</v>
          </cell>
        </row>
        <row r="4157">
          <cell r="K4157" t="str">
            <v>00111140P.2</v>
          </cell>
        </row>
        <row r="4158">
          <cell r="K4158" t="str">
            <v>00111140P.2</v>
          </cell>
        </row>
        <row r="4159">
          <cell r="K4159" t="str">
            <v>00111158P.2</v>
          </cell>
        </row>
        <row r="4160">
          <cell r="K4160" t="str">
            <v>00111158P.2</v>
          </cell>
        </row>
        <row r="4161">
          <cell r="K4161" t="str">
            <v>00111158P.2</v>
          </cell>
        </row>
        <row r="4162">
          <cell r="K4162" t="str">
            <v>00111158P.2</v>
          </cell>
        </row>
        <row r="4163">
          <cell r="K4163" t="str">
            <v>00111158P.2</v>
          </cell>
        </row>
        <row r="4164">
          <cell r="K4164" t="str">
            <v>00111158P.2</v>
          </cell>
        </row>
        <row r="4165">
          <cell r="K4165" t="str">
            <v>00111158P.2</v>
          </cell>
        </row>
        <row r="4166">
          <cell r="K4166" t="str">
            <v>00111158P.2</v>
          </cell>
        </row>
        <row r="4167">
          <cell r="K4167" t="str">
            <v>00111158P.2</v>
          </cell>
        </row>
        <row r="4168">
          <cell r="K4168" t="str">
            <v>00111158P.2</v>
          </cell>
        </row>
        <row r="4169">
          <cell r="K4169" t="str">
            <v>00111158P.2</v>
          </cell>
        </row>
        <row r="4170">
          <cell r="K4170" t="str">
            <v>00111158P.2</v>
          </cell>
        </row>
        <row r="4171">
          <cell r="K4171" t="str">
            <v>00111158P.2</v>
          </cell>
        </row>
        <row r="4172">
          <cell r="K4172" t="str">
            <v>00111158P.2</v>
          </cell>
        </row>
        <row r="4173">
          <cell r="K4173" t="str">
            <v>00111110P.2</v>
          </cell>
        </row>
        <row r="4174">
          <cell r="K4174" t="str">
            <v>00111110P.2</v>
          </cell>
        </row>
        <row r="4175">
          <cell r="K4175" t="str">
            <v>00111110P.2</v>
          </cell>
        </row>
        <row r="4176">
          <cell r="K4176" t="str">
            <v>00111110P.2</v>
          </cell>
        </row>
        <row r="4177">
          <cell r="K4177" t="str">
            <v>00111110P.2</v>
          </cell>
        </row>
        <row r="4178">
          <cell r="K4178" t="str">
            <v>00111110P.2</v>
          </cell>
        </row>
        <row r="4179">
          <cell r="K4179" t="str">
            <v>00111110P.2</v>
          </cell>
        </row>
        <row r="4180">
          <cell r="K4180" t="str">
            <v>00111110P.2</v>
          </cell>
        </row>
        <row r="4181">
          <cell r="K4181" t="str">
            <v>00111110P.2</v>
          </cell>
        </row>
        <row r="4182">
          <cell r="K4182" t="str">
            <v>00111110P.2</v>
          </cell>
        </row>
        <row r="4183">
          <cell r="K4183" t="str">
            <v>00111112P.2</v>
          </cell>
        </row>
        <row r="4184">
          <cell r="K4184" t="str">
            <v>00111112P.2</v>
          </cell>
        </row>
        <row r="4185">
          <cell r="K4185" t="str">
            <v>00111112P.2</v>
          </cell>
        </row>
        <row r="4186">
          <cell r="K4186" t="str">
            <v>00111112P.2</v>
          </cell>
        </row>
        <row r="4187">
          <cell r="K4187" t="str">
            <v>00111112P.2</v>
          </cell>
        </row>
        <row r="4188">
          <cell r="K4188" t="str">
            <v>00111112P.2</v>
          </cell>
        </row>
        <row r="4189">
          <cell r="K4189" t="str">
            <v>00111112P.2</v>
          </cell>
        </row>
        <row r="4190">
          <cell r="K4190" t="str">
            <v>00111112P.2</v>
          </cell>
        </row>
        <row r="4191">
          <cell r="K4191" t="str">
            <v>00111112P.2</v>
          </cell>
        </row>
        <row r="4192">
          <cell r="K4192" t="str">
            <v>00111112P.2</v>
          </cell>
        </row>
        <row r="4193">
          <cell r="K4193" t="str">
            <v>00111113P.2</v>
          </cell>
        </row>
        <row r="4194">
          <cell r="K4194" t="str">
            <v>00111113P.2</v>
          </cell>
        </row>
        <row r="4195">
          <cell r="K4195" t="str">
            <v>00111113P.2</v>
          </cell>
        </row>
        <row r="4196">
          <cell r="K4196" t="str">
            <v>00111113P.2</v>
          </cell>
        </row>
        <row r="4197">
          <cell r="K4197" t="str">
            <v>00111113P.2</v>
          </cell>
        </row>
        <row r="4198">
          <cell r="K4198" t="str">
            <v>00111113P.2</v>
          </cell>
        </row>
        <row r="4199">
          <cell r="K4199" t="str">
            <v>00111113P.2</v>
          </cell>
        </row>
        <row r="4200">
          <cell r="K4200" t="str">
            <v>00111113P.2</v>
          </cell>
        </row>
        <row r="4201">
          <cell r="K4201" t="str">
            <v>00111113P.2</v>
          </cell>
        </row>
        <row r="4202">
          <cell r="K4202" t="str">
            <v>00111113P.2</v>
          </cell>
        </row>
        <row r="4203">
          <cell r="K4203" t="str">
            <v>00111113P.2</v>
          </cell>
        </row>
        <row r="4204">
          <cell r="K4204" t="str">
            <v>00111113P.2</v>
          </cell>
        </row>
        <row r="4205">
          <cell r="K4205" t="str">
            <v>00111113P.2</v>
          </cell>
        </row>
        <row r="4206">
          <cell r="K4206" t="str">
            <v>00111113P.2</v>
          </cell>
        </row>
        <row r="4207">
          <cell r="K4207" t="str">
            <v>00111113P.2</v>
          </cell>
        </row>
        <row r="4208">
          <cell r="K4208" t="str">
            <v>00111113P.2</v>
          </cell>
        </row>
        <row r="4209">
          <cell r="K4209" t="str">
            <v>00111113P.2</v>
          </cell>
        </row>
        <row r="4210">
          <cell r="K4210" t="str">
            <v>00111113P.2</v>
          </cell>
        </row>
        <row r="4211">
          <cell r="K4211" t="str">
            <v>00111113P.2</v>
          </cell>
        </row>
        <row r="4212">
          <cell r="K4212" t="str">
            <v>00111113P.2</v>
          </cell>
        </row>
        <row r="4213">
          <cell r="K4213" t="str">
            <v>00111113P.2</v>
          </cell>
        </row>
        <row r="4214">
          <cell r="K4214" t="str">
            <v>00111113P.2</v>
          </cell>
        </row>
        <row r="4215">
          <cell r="K4215" t="str">
            <v>00111113P.2</v>
          </cell>
        </row>
        <row r="4216">
          <cell r="K4216" t="str">
            <v>00111113P.2</v>
          </cell>
        </row>
        <row r="4217">
          <cell r="K4217" t="str">
            <v>00111114P.2</v>
          </cell>
        </row>
        <row r="4218">
          <cell r="K4218" t="str">
            <v>00111114P.2</v>
          </cell>
        </row>
        <row r="4219">
          <cell r="K4219" t="str">
            <v>00111114P.2</v>
          </cell>
        </row>
        <row r="4220">
          <cell r="K4220" t="str">
            <v>00111114P.2</v>
          </cell>
        </row>
        <row r="4221">
          <cell r="K4221" t="str">
            <v>00111114P.2</v>
          </cell>
        </row>
        <row r="4222">
          <cell r="K4222" t="str">
            <v>00111115P.2</v>
          </cell>
        </row>
        <row r="4223">
          <cell r="K4223" t="str">
            <v>00111115P.2</v>
          </cell>
        </row>
        <row r="4224">
          <cell r="K4224" t="str">
            <v>00111115P.2</v>
          </cell>
        </row>
        <row r="4225">
          <cell r="K4225" t="str">
            <v>00111115P.2</v>
          </cell>
        </row>
        <row r="4226">
          <cell r="K4226" t="str">
            <v>00111115P.2</v>
          </cell>
        </row>
        <row r="4227">
          <cell r="K4227" t="str">
            <v>00111115P.2</v>
          </cell>
        </row>
        <row r="4228">
          <cell r="K4228" t="str">
            <v>00111115P.2</v>
          </cell>
        </row>
        <row r="4229">
          <cell r="K4229" t="str">
            <v>00111115P.2</v>
          </cell>
        </row>
        <row r="4230">
          <cell r="K4230" t="str">
            <v>00111115P.2</v>
          </cell>
        </row>
        <row r="4231">
          <cell r="K4231" t="str">
            <v>00111115P.2</v>
          </cell>
        </row>
        <row r="4232">
          <cell r="K4232" t="str">
            <v>00111116P.2</v>
          </cell>
        </row>
        <row r="4233">
          <cell r="K4233" t="str">
            <v>00111116P.2</v>
          </cell>
        </row>
        <row r="4234">
          <cell r="K4234" t="str">
            <v>00111116P.2</v>
          </cell>
        </row>
        <row r="4235">
          <cell r="K4235" t="str">
            <v>00111116P.2</v>
          </cell>
        </row>
        <row r="4236">
          <cell r="K4236" t="str">
            <v>00111116P.2</v>
          </cell>
        </row>
        <row r="4237">
          <cell r="K4237" t="str">
            <v>00111116P.2</v>
          </cell>
        </row>
        <row r="4238">
          <cell r="K4238" t="str">
            <v>00111116P.2</v>
          </cell>
        </row>
        <row r="4239">
          <cell r="K4239" t="str">
            <v>00111116P.2</v>
          </cell>
        </row>
        <row r="4240">
          <cell r="K4240" t="str">
            <v>00111116P.2</v>
          </cell>
        </row>
        <row r="4241">
          <cell r="K4241" t="str">
            <v>00111116P.2</v>
          </cell>
        </row>
        <row r="4242">
          <cell r="K4242" t="str">
            <v>00111117P.2</v>
          </cell>
        </row>
        <row r="4243">
          <cell r="K4243" t="str">
            <v>00111117P.2</v>
          </cell>
        </row>
        <row r="4244">
          <cell r="K4244" t="str">
            <v>00111117P.2</v>
          </cell>
        </row>
        <row r="4245">
          <cell r="K4245" t="str">
            <v>00111117P.2</v>
          </cell>
        </row>
        <row r="4246">
          <cell r="K4246" t="str">
            <v>00111117P.2</v>
          </cell>
        </row>
        <row r="4247">
          <cell r="K4247" t="str">
            <v>00111117P.2</v>
          </cell>
        </row>
        <row r="4248">
          <cell r="K4248" t="str">
            <v>00111117P.2</v>
          </cell>
        </row>
        <row r="4249">
          <cell r="K4249" t="str">
            <v>00111117P.2</v>
          </cell>
        </row>
        <row r="4250">
          <cell r="K4250" t="str">
            <v>00111117P.2</v>
          </cell>
        </row>
        <row r="4251">
          <cell r="K4251" t="str">
            <v>00111117P.2</v>
          </cell>
        </row>
        <row r="4252">
          <cell r="K4252" t="str">
            <v>00111117P.2</v>
          </cell>
        </row>
        <row r="4253">
          <cell r="K4253" t="str">
            <v>00111117P.2</v>
          </cell>
        </row>
        <row r="4254">
          <cell r="K4254" t="str">
            <v>00111118P.2</v>
          </cell>
        </row>
        <row r="4255">
          <cell r="K4255" t="str">
            <v>00111118P.2</v>
          </cell>
        </row>
        <row r="4256">
          <cell r="K4256" t="str">
            <v>00111118P.2</v>
          </cell>
        </row>
        <row r="4257">
          <cell r="K4257" t="str">
            <v>00111118P.2</v>
          </cell>
        </row>
        <row r="4258">
          <cell r="K4258" t="str">
            <v>00111118P.2</v>
          </cell>
        </row>
        <row r="4259">
          <cell r="K4259" t="str">
            <v>00111118P.2</v>
          </cell>
        </row>
        <row r="4260">
          <cell r="K4260" t="str">
            <v>00111118P.2</v>
          </cell>
        </row>
        <row r="4261">
          <cell r="K4261" t="str">
            <v>00111118P.2</v>
          </cell>
        </row>
        <row r="4262">
          <cell r="K4262" t="str">
            <v>00111119P.2</v>
          </cell>
        </row>
        <row r="4263">
          <cell r="K4263" t="str">
            <v>00111119P.2</v>
          </cell>
        </row>
        <row r="4264">
          <cell r="K4264" t="str">
            <v>00111120P.2</v>
          </cell>
        </row>
        <row r="4265">
          <cell r="K4265" t="str">
            <v>00111120P.2</v>
          </cell>
        </row>
        <row r="4266">
          <cell r="K4266" t="str">
            <v>00111120P.2</v>
          </cell>
        </row>
        <row r="4267">
          <cell r="K4267" t="str">
            <v>00111120P.2</v>
          </cell>
        </row>
        <row r="4268">
          <cell r="K4268" t="str">
            <v>00111120P.2</v>
          </cell>
        </row>
        <row r="4269">
          <cell r="K4269" t="str">
            <v>00111120P.2</v>
          </cell>
        </row>
        <row r="4270">
          <cell r="K4270" t="str">
            <v>00111120P.2</v>
          </cell>
        </row>
        <row r="4271">
          <cell r="K4271" t="str">
            <v>00111120P.2</v>
          </cell>
        </row>
        <row r="4272">
          <cell r="K4272" t="str">
            <v>00111121P.2</v>
          </cell>
        </row>
        <row r="4273">
          <cell r="K4273" t="str">
            <v>00111121P.2</v>
          </cell>
        </row>
        <row r="4274">
          <cell r="K4274" t="str">
            <v>00111121P.2</v>
          </cell>
        </row>
        <row r="4275">
          <cell r="K4275" t="str">
            <v>00111121P.2</v>
          </cell>
        </row>
        <row r="4276">
          <cell r="K4276" t="str">
            <v>00111121P.2</v>
          </cell>
        </row>
        <row r="4277">
          <cell r="K4277" t="str">
            <v>00111121P.2</v>
          </cell>
        </row>
        <row r="4278">
          <cell r="K4278" t="str">
            <v>00111121P.2</v>
          </cell>
        </row>
        <row r="4279">
          <cell r="K4279" t="str">
            <v>00111121P.2</v>
          </cell>
        </row>
        <row r="4280">
          <cell r="K4280" t="str">
            <v>00111121P.2</v>
          </cell>
        </row>
        <row r="4281">
          <cell r="K4281" t="str">
            <v>00111121P.2</v>
          </cell>
        </row>
        <row r="4282">
          <cell r="K4282" t="str">
            <v>00111121P.2</v>
          </cell>
        </row>
        <row r="4283">
          <cell r="K4283" t="str">
            <v>00111121P.2</v>
          </cell>
        </row>
        <row r="4284">
          <cell r="K4284" t="str">
            <v>00111121P.2</v>
          </cell>
        </row>
        <row r="4285">
          <cell r="K4285" t="str">
            <v>00111122P.2</v>
          </cell>
        </row>
        <row r="4286">
          <cell r="K4286" t="str">
            <v>00111122P.2</v>
          </cell>
        </row>
        <row r="4287">
          <cell r="K4287" t="str">
            <v>00111122P.2</v>
          </cell>
        </row>
        <row r="4288">
          <cell r="K4288" t="str">
            <v>00111122P.2</v>
          </cell>
        </row>
        <row r="4289">
          <cell r="K4289" t="str">
            <v>00111122P.2</v>
          </cell>
        </row>
        <row r="4290">
          <cell r="K4290" t="str">
            <v>00111122P.2</v>
          </cell>
        </row>
        <row r="4291">
          <cell r="K4291" t="str">
            <v>00111122P.2</v>
          </cell>
        </row>
        <row r="4292">
          <cell r="K4292" t="str">
            <v>00111122P.2</v>
          </cell>
        </row>
        <row r="4293">
          <cell r="K4293" t="str">
            <v>00111122P.2</v>
          </cell>
        </row>
        <row r="4294">
          <cell r="K4294" t="str">
            <v>00111122P.2</v>
          </cell>
        </row>
        <row r="4295">
          <cell r="K4295" t="str">
            <v>00111122P.2</v>
          </cell>
        </row>
        <row r="4296">
          <cell r="K4296" t="str">
            <v>00111122P.2</v>
          </cell>
        </row>
        <row r="4297">
          <cell r="K4297" t="str">
            <v>00111122P.2</v>
          </cell>
        </row>
        <row r="4298">
          <cell r="K4298" t="str">
            <v>00111122P.2</v>
          </cell>
        </row>
        <row r="4299">
          <cell r="K4299" t="str">
            <v>00111122P.2</v>
          </cell>
        </row>
        <row r="4300">
          <cell r="K4300" t="str">
            <v>00111122P.2</v>
          </cell>
        </row>
        <row r="4301">
          <cell r="K4301" t="str">
            <v>00111122P.2</v>
          </cell>
        </row>
        <row r="4302">
          <cell r="K4302" t="str">
            <v>00111122P.2</v>
          </cell>
        </row>
        <row r="4303">
          <cell r="K4303" t="str">
            <v>00111122P.2</v>
          </cell>
        </row>
        <row r="4304">
          <cell r="K4304" t="str">
            <v>00111122P.2</v>
          </cell>
        </row>
        <row r="4305">
          <cell r="K4305" t="str">
            <v>00111123P.2</v>
          </cell>
        </row>
        <row r="4306">
          <cell r="K4306" t="str">
            <v>00111123P.2</v>
          </cell>
        </row>
        <row r="4307">
          <cell r="K4307" t="str">
            <v>00111123P.2</v>
          </cell>
        </row>
        <row r="4308">
          <cell r="K4308" t="str">
            <v>00111123P.2</v>
          </cell>
        </row>
        <row r="4309">
          <cell r="K4309" t="str">
            <v>00111123P.2</v>
          </cell>
        </row>
        <row r="4310">
          <cell r="K4310" t="str">
            <v>00111123P.2</v>
          </cell>
        </row>
        <row r="4311">
          <cell r="K4311" t="str">
            <v>00111123P.2</v>
          </cell>
        </row>
        <row r="4312">
          <cell r="K4312" t="str">
            <v>00111123P.2</v>
          </cell>
        </row>
        <row r="4313">
          <cell r="K4313" t="str">
            <v>00111123P.2</v>
          </cell>
        </row>
        <row r="4314">
          <cell r="K4314" t="str">
            <v>00111123P.2</v>
          </cell>
        </row>
        <row r="4315">
          <cell r="K4315" t="str">
            <v>00111123P.2</v>
          </cell>
        </row>
        <row r="4316">
          <cell r="K4316" t="str">
            <v>00111123P.2</v>
          </cell>
        </row>
        <row r="4317">
          <cell r="K4317" t="str">
            <v>00111124P.2</v>
          </cell>
        </row>
        <row r="4318">
          <cell r="K4318" t="str">
            <v>00111124P.2</v>
          </cell>
        </row>
        <row r="4319">
          <cell r="K4319" t="str">
            <v>00111124P.2</v>
          </cell>
        </row>
        <row r="4320">
          <cell r="K4320" t="str">
            <v>00111124P.2</v>
          </cell>
        </row>
        <row r="4321">
          <cell r="K4321" t="str">
            <v>00111124P.2</v>
          </cell>
        </row>
        <row r="4322">
          <cell r="K4322" t="str">
            <v>00111124P.2</v>
          </cell>
        </row>
        <row r="4323">
          <cell r="K4323" t="str">
            <v>00111124P.2</v>
          </cell>
        </row>
        <row r="4324">
          <cell r="K4324" t="str">
            <v>00111124P.2</v>
          </cell>
        </row>
        <row r="4325">
          <cell r="K4325" t="str">
            <v>00111124P.2</v>
          </cell>
        </row>
        <row r="4326">
          <cell r="K4326" t="str">
            <v>00111124P.2</v>
          </cell>
        </row>
        <row r="4327">
          <cell r="K4327" t="str">
            <v>00111125P.2</v>
          </cell>
        </row>
        <row r="4328">
          <cell r="K4328" t="str">
            <v>00111125P.2</v>
          </cell>
        </row>
        <row r="4329">
          <cell r="K4329" t="str">
            <v>00111125P.2</v>
          </cell>
        </row>
        <row r="4330">
          <cell r="K4330" t="str">
            <v>00111125P.2</v>
          </cell>
        </row>
        <row r="4331">
          <cell r="K4331" t="str">
            <v>00111125P.2</v>
          </cell>
        </row>
        <row r="4332">
          <cell r="K4332" t="str">
            <v>00111125P.2</v>
          </cell>
        </row>
        <row r="4333">
          <cell r="K4333" t="str">
            <v>00111125P.2</v>
          </cell>
        </row>
        <row r="4334">
          <cell r="K4334" t="str">
            <v>00111126P.2</v>
          </cell>
        </row>
        <row r="4335">
          <cell r="K4335" t="str">
            <v>00111126P.2</v>
          </cell>
        </row>
        <row r="4336">
          <cell r="K4336" t="str">
            <v>00111126P.2</v>
          </cell>
        </row>
        <row r="4337">
          <cell r="K4337" t="str">
            <v>00111126P.2</v>
          </cell>
        </row>
        <row r="4338">
          <cell r="K4338" t="str">
            <v>00111126P.2</v>
          </cell>
        </row>
        <row r="4339">
          <cell r="K4339" t="str">
            <v>00111126P.2</v>
          </cell>
        </row>
        <row r="4340">
          <cell r="K4340" t="str">
            <v>00111127P.2</v>
          </cell>
        </row>
        <row r="4341">
          <cell r="K4341" t="str">
            <v>00111127P.2</v>
          </cell>
        </row>
        <row r="4342">
          <cell r="K4342" t="str">
            <v>00111127P.2</v>
          </cell>
        </row>
        <row r="4343">
          <cell r="K4343" t="str">
            <v>00111127P.2</v>
          </cell>
        </row>
        <row r="4344">
          <cell r="K4344" t="str">
            <v>00111127P.2</v>
          </cell>
        </row>
        <row r="4345">
          <cell r="K4345" t="str">
            <v>00111127P.2</v>
          </cell>
        </row>
        <row r="4346">
          <cell r="K4346" t="str">
            <v>00111127P.2</v>
          </cell>
        </row>
        <row r="4347">
          <cell r="K4347" t="str">
            <v>00111127P.2</v>
          </cell>
        </row>
        <row r="4348">
          <cell r="K4348" t="str">
            <v>00111128P.2</v>
          </cell>
        </row>
        <row r="4349">
          <cell r="K4349" t="str">
            <v>00111128P.2</v>
          </cell>
        </row>
        <row r="4350">
          <cell r="K4350" t="str">
            <v>00111128P.2</v>
          </cell>
        </row>
        <row r="4351">
          <cell r="K4351" t="str">
            <v>00111128P.2</v>
          </cell>
        </row>
        <row r="4352">
          <cell r="K4352" t="str">
            <v>00111128P.2</v>
          </cell>
        </row>
        <row r="4353">
          <cell r="K4353" t="str">
            <v>00111128P.2</v>
          </cell>
        </row>
        <row r="4354">
          <cell r="K4354" t="str">
            <v>00111128P.2</v>
          </cell>
        </row>
        <row r="4355">
          <cell r="K4355" t="str">
            <v>00111128P.2</v>
          </cell>
        </row>
        <row r="4356">
          <cell r="K4356" t="str">
            <v>00111128P.2</v>
          </cell>
        </row>
        <row r="4357">
          <cell r="K4357" t="str">
            <v>00111128P.2</v>
          </cell>
        </row>
        <row r="4358">
          <cell r="K4358" t="str">
            <v>00111128P.2</v>
          </cell>
        </row>
        <row r="4359">
          <cell r="K4359" t="str">
            <v>00111128P.2</v>
          </cell>
        </row>
        <row r="4360">
          <cell r="K4360" t="str">
            <v>00111128P.2</v>
          </cell>
        </row>
        <row r="4361">
          <cell r="K4361" t="str">
            <v>00111128P.2</v>
          </cell>
        </row>
        <row r="4362">
          <cell r="K4362" t="str">
            <v>00111128P.2</v>
          </cell>
        </row>
        <row r="4363">
          <cell r="K4363" t="str">
            <v>00111128P.2</v>
          </cell>
        </row>
        <row r="4364">
          <cell r="K4364" t="str">
            <v>00111128P.2</v>
          </cell>
        </row>
        <row r="4365">
          <cell r="K4365" t="str">
            <v>00111129P.2</v>
          </cell>
        </row>
        <row r="4366">
          <cell r="K4366" t="str">
            <v>00111129P.2</v>
          </cell>
        </row>
        <row r="4367">
          <cell r="K4367" t="str">
            <v>00111129P.2</v>
          </cell>
        </row>
        <row r="4368">
          <cell r="K4368" t="str">
            <v>00111129P.2</v>
          </cell>
        </row>
        <row r="4369">
          <cell r="K4369" t="str">
            <v>00111129P.2</v>
          </cell>
        </row>
        <row r="4370">
          <cell r="K4370" t="str">
            <v>00111129P.2</v>
          </cell>
        </row>
        <row r="4371">
          <cell r="K4371" t="str">
            <v>00111129P.2</v>
          </cell>
        </row>
        <row r="4372">
          <cell r="K4372" t="str">
            <v>00111129P.2</v>
          </cell>
        </row>
        <row r="4373">
          <cell r="K4373" t="str">
            <v>00111129P.2</v>
          </cell>
        </row>
        <row r="4374">
          <cell r="K4374" t="str">
            <v>00111129P.2</v>
          </cell>
        </row>
        <row r="4375">
          <cell r="K4375" t="str">
            <v>00111129P.2</v>
          </cell>
        </row>
        <row r="4376">
          <cell r="K4376" t="str">
            <v>00111129P.2</v>
          </cell>
        </row>
        <row r="4377">
          <cell r="K4377" t="str">
            <v>00111130P.2</v>
          </cell>
        </row>
        <row r="4378">
          <cell r="K4378" t="str">
            <v>00111130P.2</v>
          </cell>
        </row>
        <row r="4379">
          <cell r="K4379" t="str">
            <v>00111130P.2</v>
          </cell>
        </row>
        <row r="4380">
          <cell r="K4380" t="str">
            <v>00111130P.2</v>
          </cell>
        </row>
        <row r="4381">
          <cell r="K4381" t="str">
            <v>00111130P.2</v>
          </cell>
        </row>
        <row r="4382">
          <cell r="K4382" t="str">
            <v>00111130P.2</v>
          </cell>
        </row>
        <row r="4383">
          <cell r="K4383" t="str">
            <v>00111130P.2</v>
          </cell>
        </row>
        <row r="4384">
          <cell r="K4384" t="str">
            <v>00111130P.2</v>
          </cell>
        </row>
        <row r="4385">
          <cell r="K4385" t="str">
            <v>00111130P.2</v>
          </cell>
        </row>
        <row r="4386">
          <cell r="K4386" t="str">
            <v>00111130P.2</v>
          </cell>
        </row>
        <row r="4387">
          <cell r="K4387" t="str">
            <v>00111130P.2</v>
          </cell>
        </row>
        <row r="4388">
          <cell r="K4388" t="str">
            <v>00111130P.2</v>
          </cell>
        </row>
        <row r="4389">
          <cell r="K4389" t="str">
            <v>00111130P.2</v>
          </cell>
        </row>
        <row r="4390">
          <cell r="K4390" t="str">
            <v>00111130P.2</v>
          </cell>
        </row>
        <row r="4391">
          <cell r="K4391" t="str">
            <v>00111130P.2</v>
          </cell>
        </row>
        <row r="4392">
          <cell r="K4392" t="str">
            <v>00111130P.2</v>
          </cell>
        </row>
        <row r="4393">
          <cell r="K4393" t="str">
            <v>00111130P.2</v>
          </cell>
        </row>
        <row r="4394">
          <cell r="K4394" t="str">
            <v>00111130P.2</v>
          </cell>
        </row>
        <row r="4395">
          <cell r="K4395" t="str">
            <v>00111130P.2</v>
          </cell>
        </row>
        <row r="4396">
          <cell r="K4396" t="str">
            <v>00111131P.2</v>
          </cell>
        </row>
        <row r="4397">
          <cell r="K4397" t="str">
            <v>00111131P.2</v>
          </cell>
        </row>
        <row r="4398">
          <cell r="K4398" t="str">
            <v>00111131P.2</v>
          </cell>
        </row>
        <row r="4399">
          <cell r="K4399" t="str">
            <v>00111131P.2</v>
          </cell>
        </row>
        <row r="4400">
          <cell r="K4400" t="str">
            <v>00111131P.2</v>
          </cell>
        </row>
        <row r="4401">
          <cell r="K4401" t="str">
            <v>00111131P.2</v>
          </cell>
        </row>
        <row r="4402">
          <cell r="K4402" t="str">
            <v>00111131P.2</v>
          </cell>
        </row>
        <row r="4403">
          <cell r="K4403" t="str">
            <v>00111131P.2</v>
          </cell>
        </row>
        <row r="4404">
          <cell r="K4404" t="str">
            <v>00111131P.2</v>
          </cell>
        </row>
        <row r="4405">
          <cell r="K4405" t="str">
            <v>00111131P.2</v>
          </cell>
        </row>
        <row r="4406">
          <cell r="K4406" t="str">
            <v>00111131P.2</v>
          </cell>
        </row>
        <row r="4407">
          <cell r="K4407" t="str">
            <v>00111131P.2</v>
          </cell>
        </row>
        <row r="4408">
          <cell r="K4408" t="str">
            <v>00111131P.2</v>
          </cell>
        </row>
        <row r="4409">
          <cell r="K4409" t="str">
            <v>00111131P.2</v>
          </cell>
        </row>
        <row r="4410">
          <cell r="K4410" t="str">
            <v>00111131P.2</v>
          </cell>
        </row>
        <row r="4411">
          <cell r="K4411" t="str">
            <v>00111131P.2</v>
          </cell>
        </row>
        <row r="4412">
          <cell r="K4412" t="str">
            <v>00111131P.2</v>
          </cell>
        </row>
        <row r="4413">
          <cell r="K4413" t="str">
            <v>00111131P.2</v>
          </cell>
        </row>
        <row r="4414">
          <cell r="K4414" t="str">
            <v>00111131P.2</v>
          </cell>
        </row>
        <row r="4415">
          <cell r="K4415" t="str">
            <v>00111131P.2</v>
          </cell>
        </row>
        <row r="4416">
          <cell r="K4416" t="str">
            <v>00111131P.2</v>
          </cell>
        </row>
        <row r="4417">
          <cell r="K4417" t="str">
            <v>00111132P.2</v>
          </cell>
        </row>
        <row r="4418">
          <cell r="K4418" t="str">
            <v>00111132P.2</v>
          </cell>
        </row>
        <row r="4419">
          <cell r="K4419" t="str">
            <v>00111132P.2</v>
          </cell>
        </row>
        <row r="4420">
          <cell r="K4420" t="str">
            <v>00111132P.2</v>
          </cell>
        </row>
        <row r="4421">
          <cell r="K4421" t="str">
            <v>00111132P.2</v>
          </cell>
        </row>
        <row r="4422">
          <cell r="K4422" t="str">
            <v>00111132P.2</v>
          </cell>
        </row>
        <row r="4423">
          <cell r="K4423" t="str">
            <v>00111132P.2</v>
          </cell>
        </row>
        <row r="4424">
          <cell r="K4424" t="str">
            <v>00111132P.2</v>
          </cell>
        </row>
        <row r="4425">
          <cell r="K4425" t="str">
            <v>00111132P.2</v>
          </cell>
        </row>
        <row r="4426">
          <cell r="K4426" t="str">
            <v>00111132P.2</v>
          </cell>
        </row>
        <row r="4427">
          <cell r="K4427" t="str">
            <v>00111132P.2</v>
          </cell>
        </row>
        <row r="4428">
          <cell r="K4428" t="str">
            <v>00111132P.2</v>
          </cell>
        </row>
        <row r="4429">
          <cell r="K4429" t="str">
            <v>00111132P.2</v>
          </cell>
        </row>
        <row r="4430">
          <cell r="K4430" t="str">
            <v>00111132P.2</v>
          </cell>
        </row>
        <row r="4431">
          <cell r="K4431" t="str">
            <v>00111132P.2</v>
          </cell>
        </row>
        <row r="4432">
          <cell r="K4432" t="str">
            <v>00111133P.2</v>
          </cell>
        </row>
        <row r="4433">
          <cell r="K4433" t="str">
            <v>00111133P.2</v>
          </cell>
        </row>
        <row r="4434">
          <cell r="K4434" t="str">
            <v>00111133P.2</v>
          </cell>
        </row>
        <row r="4435">
          <cell r="K4435" t="str">
            <v>00111133P.2</v>
          </cell>
        </row>
        <row r="4436">
          <cell r="K4436" t="str">
            <v>00111133P.2</v>
          </cell>
        </row>
        <row r="4437">
          <cell r="K4437" t="str">
            <v>00111133P.2</v>
          </cell>
        </row>
        <row r="4438">
          <cell r="K4438" t="str">
            <v>00111133P.2</v>
          </cell>
        </row>
        <row r="4439">
          <cell r="K4439" t="str">
            <v>00111133P.2</v>
          </cell>
        </row>
        <row r="4440">
          <cell r="K4440" t="str">
            <v>00111133P.2</v>
          </cell>
        </row>
        <row r="4441">
          <cell r="K4441" t="str">
            <v>00111133P.2</v>
          </cell>
        </row>
        <row r="4442">
          <cell r="K4442" t="str">
            <v>00111133P.2</v>
          </cell>
        </row>
        <row r="4443">
          <cell r="K4443" t="str">
            <v>00111133P.2</v>
          </cell>
        </row>
        <row r="4444">
          <cell r="K4444" t="str">
            <v>00111134P.2</v>
          </cell>
        </row>
        <row r="4445">
          <cell r="K4445" t="str">
            <v>00111134P.2</v>
          </cell>
        </row>
        <row r="4446">
          <cell r="K4446" t="str">
            <v>00111134P.2</v>
          </cell>
        </row>
        <row r="4447">
          <cell r="K4447" t="str">
            <v>00111134P.2</v>
          </cell>
        </row>
        <row r="4448">
          <cell r="K4448" t="str">
            <v>00111134P.2</v>
          </cell>
        </row>
        <row r="4449">
          <cell r="K4449" t="str">
            <v>00111134P.2</v>
          </cell>
        </row>
        <row r="4450">
          <cell r="K4450" t="str">
            <v>00111134P.2</v>
          </cell>
        </row>
        <row r="4451">
          <cell r="K4451" t="str">
            <v>00111134P.2</v>
          </cell>
        </row>
        <row r="4452">
          <cell r="K4452" t="str">
            <v>00111134P.2</v>
          </cell>
        </row>
        <row r="4453">
          <cell r="K4453" t="str">
            <v>00111134P.2</v>
          </cell>
        </row>
        <row r="4454">
          <cell r="K4454" t="str">
            <v>00111134P.2</v>
          </cell>
        </row>
        <row r="4455">
          <cell r="K4455" t="str">
            <v>00111134P.2</v>
          </cell>
        </row>
        <row r="4456">
          <cell r="K4456" t="str">
            <v>00111134P.2</v>
          </cell>
        </row>
        <row r="4457">
          <cell r="K4457" t="str">
            <v>00111134P.2</v>
          </cell>
        </row>
        <row r="4458">
          <cell r="K4458" t="str">
            <v>00111135P.2</v>
          </cell>
        </row>
        <row r="4459">
          <cell r="K4459" t="str">
            <v>00111135P.2</v>
          </cell>
        </row>
        <row r="4460">
          <cell r="K4460" t="str">
            <v>00111135P.2</v>
          </cell>
        </row>
        <row r="4461">
          <cell r="K4461" t="str">
            <v>00111135P.2</v>
          </cell>
        </row>
        <row r="4462">
          <cell r="K4462" t="str">
            <v>00111135P.2</v>
          </cell>
        </row>
        <row r="4463">
          <cell r="K4463" t="str">
            <v>00111135P.2</v>
          </cell>
        </row>
        <row r="4464">
          <cell r="K4464" t="str">
            <v>00111135P.2</v>
          </cell>
        </row>
        <row r="4465">
          <cell r="K4465" t="str">
            <v>00111135P.2</v>
          </cell>
        </row>
        <row r="4466">
          <cell r="K4466" t="str">
            <v>00111135P.2</v>
          </cell>
        </row>
        <row r="4467">
          <cell r="K4467" t="str">
            <v>00111135P.2</v>
          </cell>
        </row>
        <row r="4468">
          <cell r="K4468" t="str">
            <v>00111135P.2</v>
          </cell>
        </row>
        <row r="4469">
          <cell r="K4469" t="str">
            <v>00111135P.2</v>
          </cell>
        </row>
        <row r="4470">
          <cell r="K4470" t="str">
            <v>00111136P.2</v>
          </cell>
        </row>
        <row r="4471">
          <cell r="K4471" t="str">
            <v>00111136P.2</v>
          </cell>
        </row>
        <row r="4472">
          <cell r="K4472" t="str">
            <v>00111136P.2</v>
          </cell>
        </row>
        <row r="4473">
          <cell r="K4473" t="str">
            <v>00111136P.2</v>
          </cell>
        </row>
        <row r="4474">
          <cell r="K4474" t="str">
            <v>00111136P.2</v>
          </cell>
        </row>
        <row r="4475">
          <cell r="K4475" t="str">
            <v>00111136P.2</v>
          </cell>
        </row>
        <row r="4476">
          <cell r="K4476" t="str">
            <v>00111136P.2</v>
          </cell>
        </row>
        <row r="4477">
          <cell r="K4477" t="str">
            <v>00111136P.2</v>
          </cell>
        </row>
        <row r="4478">
          <cell r="K4478" t="str">
            <v>00111136P.2</v>
          </cell>
        </row>
        <row r="4479">
          <cell r="K4479" t="str">
            <v>00111136P.2</v>
          </cell>
        </row>
        <row r="4480">
          <cell r="K4480" t="str">
            <v>00111136P.2</v>
          </cell>
        </row>
        <row r="4481">
          <cell r="K4481" t="str">
            <v>00111136P.2</v>
          </cell>
        </row>
        <row r="4482">
          <cell r="K4482" t="str">
            <v>00111136P.2</v>
          </cell>
        </row>
        <row r="4483">
          <cell r="K4483" t="str">
            <v>00111136P.2</v>
          </cell>
        </row>
        <row r="4484">
          <cell r="K4484" t="str">
            <v>00111143P.2</v>
          </cell>
        </row>
        <row r="4485">
          <cell r="K4485" t="str">
            <v>00111143P.2</v>
          </cell>
        </row>
        <row r="4486">
          <cell r="K4486" t="str">
            <v>00111143P.2</v>
          </cell>
        </row>
        <row r="4487">
          <cell r="K4487" t="str">
            <v>00111145P.2</v>
          </cell>
        </row>
        <row r="4488">
          <cell r="K4488" t="str">
            <v>00111145P.2</v>
          </cell>
        </row>
        <row r="4489">
          <cell r="K4489" t="str">
            <v>00111145P.2</v>
          </cell>
        </row>
        <row r="4490">
          <cell r="K4490" t="str">
            <v>00111145P.2</v>
          </cell>
        </row>
        <row r="4491">
          <cell r="K4491" t="str">
            <v>00111145P.2</v>
          </cell>
        </row>
        <row r="4492">
          <cell r="K4492" t="str">
            <v>00111145P.2</v>
          </cell>
        </row>
        <row r="4493">
          <cell r="K4493" t="str">
            <v>00111145P.2</v>
          </cell>
        </row>
        <row r="4494">
          <cell r="K4494" t="str">
            <v>00111145P.2</v>
          </cell>
        </row>
        <row r="4495">
          <cell r="K4495" t="str">
            <v>00111145P.2</v>
          </cell>
        </row>
        <row r="4496">
          <cell r="K4496" t="str">
            <v>00111145P.2</v>
          </cell>
        </row>
        <row r="4497">
          <cell r="K4497" t="str">
            <v>00111145P.2</v>
          </cell>
        </row>
        <row r="4498">
          <cell r="K4498" t="str">
            <v>00111145P.2</v>
          </cell>
        </row>
        <row r="4499">
          <cell r="K4499" t="str">
            <v>00111145P.2</v>
          </cell>
        </row>
        <row r="4500">
          <cell r="K4500" t="str">
            <v>00111145P.2</v>
          </cell>
        </row>
        <row r="4501">
          <cell r="K4501" t="str">
            <v>00111145P.2</v>
          </cell>
        </row>
        <row r="4502">
          <cell r="K4502" t="str">
            <v>00111145P.2</v>
          </cell>
        </row>
        <row r="4503">
          <cell r="K4503" t="str">
            <v>00111153P.2</v>
          </cell>
        </row>
        <row r="4504">
          <cell r="K4504" t="str">
            <v>00111153P.2</v>
          </cell>
        </row>
        <row r="4505">
          <cell r="K4505" t="str">
            <v>00111153P.2</v>
          </cell>
        </row>
        <row r="4506">
          <cell r="K4506" t="str">
            <v>00111153P.2</v>
          </cell>
        </row>
        <row r="4507">
          <cell r="K4507" t="str">
            <v>00111153P.2</v>
          </cell>
        </row>
        <row r="4508">
          <cell r="K4508" t="str">
            <v>00111157P.2</v>
          </cell>
        </row>
        <row r="4509">
          <cell r="K4509" t="str">
            <v>00111157P.2</v>
          </cell>
        </row>
        <row r="4510">
          <cell r="K4510" t="str">
            <v>00111157P.2</v>
          </cell>
        </row>
        <row r="4511">
          <cell r="K4511" t="str">
            <v>00111157P.2</v>
          </cell>
        </row>
        <row r="4512">
          <cell r="K4512" t="str">
            <v>00111157P.2</v>
          </cell>
        </row>
        <row r="4513">
          <cell r="K4513" t="str">
            <v>00111157P.2</v>
          </cell>
        </row>
        <row r="4514">
          <cell r="K4514" t="str">
            <v>00111157P.2</v>
          </cell>
        </row>
        <row r="4515">
          <cell r="K4515" t="str">
            <v>00111159P.2</v>
          </cell>
        </row>
        <row r="4516">
          <cell r="K4516" t="str">
            <v>00111159P.2</v>
          </cell>
        </row>
        <row r="4517">
          <cell r="K4517" t="str">
            <v>00111159P.2</v>
          </cell>
        </row>
        <row r="4518">
          <cell r="K4518" t="str">
            <v>00111159P.2</v>
          </cell>
        </row>
        <row r="4519">
          <cell r="K4519" t="str">
            <v>00111159P.2</v>
          </cell>
        </row>
        <row r="4520">
          <cell r="K4520" t="str">
            <v>00111159P.2</v>
          </cell>
        </row>
        <row r="4521">
          <cell r="K4521" t="str">
            <v>00111157P.2</v>
          </cell>
        </row>
        <row r="4522">
          <cell r="K4522" t="str">
            <v>00111157P.2</v>
          </cell>
        </row>
        <row r="4523">
          <cell r="K4523" t="str">
            <v>00111157P.2</v>
          </cell>
        </row>
        <row r="4524">
          <cell r="K4524" t="str">
            <v>00111128P.2</v>
          </cell>
        </row>
        <row r="4525">
          <cell r="K4525" t="str">
            <v>00111128P.2</v>
          </cell>
        </row>
        <row r="4526">
          <cell r="K4526" t="str">
            <v>00111128P.2</v>
          </cell>
        </row>
        <row r="4527">
          <cell r="K4527" t="str">
            <v>00111128P.2</v>
          </cell>
        </row>
        <row r="4528">
          <cell r="K4528" t="str">
            <v>00111128P.2</v>
          </cell>
        </row>
        <row r="4529">
          <cell r="K4529" t="str">
            <v>00111128P.2</v>
          </cell>
        </row>
        <row r="4530">
          <cell r="K4530" t="str">
            <v>00111128P.2</v>
          </cell>
        </row>
        <row r="4531">
          <cell r="K4531" t="str">
            <v>00111128P.2</v>
          </cell>
        </row>
        <row r="4532">
          <cell r="K4532" t="str">
            <v>00111128P.2</v>
          </cell>
        </row>
        <row r="4533">
          <cell r="K4533" t="str">
            <v>00111128P.2</v>
          </cell>
        </row>
        <row r="4534">
          <cell r="K4534" t="str">
            <v>00111128P.2</v>
          </cell>
        </row>
        <row r="4535">
          <cell r="K4535" t="str">
            <v>00111128P.2</v>
          </cell>
        </row>
        <row r="4536">
          <cell r="K4536" t="str">
            <v>00111128P.2</v>
          </cell>
        </row>
        <row r="4537">
          <cell r="K4537" t="str">
            <v>00111128P.2</v>
          </cell>
        </row>
        <row r="4538">
          <cell r="K4538" t="str">
            <v>00111128P.2</v>
          </cell>
        </row>
        <row r="4539">
          <cell r="K4539" t="str">
            <v>00111128P.2</v>
          </cell>
        </row>
        <row r="4540">
          <cell r="K4540" t="str">
            <v>00111128P.2</v>
          </cell>
        </row>
        <row r="4541">
          <cell r="K4541" t="str">
            <v>00111128P.2</v>
          </cell>
        </row>
        <row r="4542">
          <cell r="K4542" t="str">
            <v>00111128P.2</v>
          </cell>
        </row>
        <row r="4543">
          <cell r="K4543" t="str">
            <v>00111128P.2</v>
          </cell>
        </row>
        <row r="4544">
          <cell r="K4544" t="str">
            <v>00111128P.2</v>
          </cell>
        </row>
        <row r="4545">
          <cell r="K4545" t="str">
            <v>00111128P.2</v>
          </cell>
        </row>
        <row r="4546">
          <cell r="K4546" t="str">
            <v>00111120P.2</v>
          </cell>
        </row>
        <row r="4547">
          <cell r="K4547" t="str">
            <v>00111121P.2</v>
          </cell>
        </row>
        <row r="4548">
          <cell r="K4548" t="str">
            <v>00111125P.2</v>
          </cell>
        </row>
        <row r="4549">
          <cell r="K4549" t="str">
            <v>00111130P.2</v>
          </cell>
        </row>
        <row r="4550">
          <cell r="K4550" t="str">
            <v>00111136P.2</v>
          </cell>
        </row>
        <row r="4551">
          <cell r="K4551" t="str">
            <v>00111141P.2</v>
          </cell>
        </row>
        <row r="4552">
          <cell r="K4552" t="str">
            <v>00111154P.2</v>
          </cell>
        </row>
        <row r="4553">
          <cell r="K4553" t="str">
            <v>00111131P.2</v>
          </cell>
        </row>
        <row r="4554">
          <cell r="K4554" t="str">
            <v>00111130P.2</v>
          </cell>
        </row>
        <row r="4555">
          <cell r="K4555" t="str">
            <v>00111124P.2</v>
          </cell>
        </row>
        <row r="4556">
          <cell r="K4556" t="str">
            <v>00111131P.2</v>
          </cell>
        </row>
        <row r="4557">
          <cell r="K4557" t="str">
            <v>00111131P.2</v>
          </cell>
        </row>
        <row r="4558">
          <cell r="K4558" t="str">
            <v>00111131P.2</v>
          </cell>
        </row>
        <row r="4559">
          <cell r="K4559" t="str">
            <v>00111103P.2</v>
          </cell>
        </row>
        <row r="4560">
          <cell r="K4560" t="str">
            <v>00111159P.2</v>
          </cell>
        </row>
        <row r="4561">
          <cell r="K4561" t="str">
            <v>00111125P.2</v>
          </cell>
        </row>
        <row r="4562">
          <cell r="K4562" t="str">
            <v>00111125P.2</v>
          </cell>
        </row>
        <row r="4563">
          <cell r="K4563" t="str">
            <v>00111125P.2</v>
          </cell>
        </row>
        <row r="4564">
          <cell r="K4564" t="str">
            <v>00111125P.2</v>
          </cell>
        </row>
        <row r="4565">
          <cell r="K4565" t="str">
            <v>00111125P.2</v>
          </cell>
        </row>
        <row r="4566">
          <cell r="K4566" t="str">
            <v>00111125P.2</v>
          </cell>
        </row>
        <row r="4567">
          <cell r="K4567" t="str">
            <v>00111125P.2</v>
          </cell>
        </row>
        <row r="4568">
          <cell r="K4568" t="str">
            <v>00111125P.2</v>
          </cell>
        </row>
        <row r="4569">
          <cell r="K4569" t="str">
            <v>00111125P.2</v>
          </cell>
        </row>
        <row r="4570">
          <cell r="K4570" t="str">
            <v>00111125P.2</v>
          </cell>
        </row>
        <row r="4571">
          <cell r="K4571" t="str">
            <v>00111125P.2</v>
          </cell>
        </row>
        <row r="4572">
          <cell r="K4572" t="str">
            <v>00111125P.2</v>
          </cell>
        </row>
        <row r="4573">
          <cell r="K4573" t="str">
            <v>00111125P.2</v>
          </cell>
        </row>
        <row r="4574">
          <cell r="K4574" t="str">
            <v>00111126P.2</v>
          </cell>
        </row>
        <row r="4575">
          <cell r="K4575" t="str">
            <v>00111111P.2</v>
          </cell>
        </row>
        <row r="4576">
          <cell r="K4576" t="str">
            <v>00111119P.2</v>
          </cell>
        </row>
        <row r="4577">
          <cell r="K4577" t="str">
            <v>00111101P.2</v>
          </cell>
        </row>
        <row r="4578">
          <cell r="K4578" t="str">
            <v>00111101P.2</v>
          </cell>
        </row>
        <row r="4579">
          <cell r="K4579" t="str">
            <v>00111160P.2</v>
          </cell>
        </row>
        <row r="4580">
          <cell r="K4580" t="str">
            <v>00111150P.2</v>
          </cell>
        </row>
        <row r="4581">
          <cell r="K4581" t="str">
            <v>00111150P.2</v>
          </cell>
        </row>
        <row r="4582">
          <cell r="K4582" t="str">
            <v>00111150P.2</v>
          </cell>
        </row>
        <row r="4583">
          <cell r="K4583" t="str">
            <v>00111150P.2</v>
          </cell>
        </row>
        <row r="4584">
          <cell r="K4584" t="str">
            <v>00111148P.2</v>
          </cell>
        </row>
        <row r="4585">
          <cell r="K4585" t="str">
            <v>00111150P.2</v>
          </cell>
        </row>
        <row r="4586">
          <cell r="K4586" t="str">
            <v>00111150P.2</v>
          </cell>
        </row>
        <row r="4587">
          <cell r="K4587" t="str">
            <v>00111150P.2</v>
          </cell>
        </row>
        <row r="4588">
          <cell r="K4588" t="str">
            <v>00111135P.2</v>
          </cell>
        </row>
        <row r="4589">
          <cell r="K4589" t="str">
            <v>00111134P.2</v>
          </cell>
        </row>
        <row r="4590">
          <cell r="K4590" t="str">
            <v>00111135P.2</v>
          </cell>
        </row>
        <row r="4591">
          <cell r="K4591" t="str">
            <v>00111134P.2</v>
          </cell>
        </row>
        <row r="4592">
          <cell r="K4592" t="str">
            <v>00111159P.2</v>
          </cell>
        </row>
        <row r="4593">
          <cell r="K4593" t="str">
            <v>00111159P.2</v>
          </cell>
        </row>
        <row r="4594">
          <cell r="K4594" t="str">
            <v>00111159P.2</v>
          </cell>
        </row>
        <row r="4595">
          <cell r="K4595" t="str">
            <v>00111114P.2</v>
          </cell>
        </row>
        <row r="4596">
          <cell r="K4596" t="str">
            <v>00111114P.2</v>
          </cell>
        </row>
        <row r="4597">
          <cell r="K4597" t="str">
            <v>00111114P.2</v>
          </cell>
        </row>
        <row r="4598">
          <cell r="K4598" t="str">
            <v>00111114P.2</v>
          </cell>
        </row>
        <row r="4599">
          <cell r="K4599" t="str">
            <v>00111114P.2</v>
          </cell>
        </row>
        <row r="4600">
          <cell r="K4600" t="str">
            <v>00111114P.2</v>
          </cell>
        </row>
        <row r="4601">
          <cell r="K4601" t="str">
            <v>00111114P.2</v>
          </cell>
        </row>
        <row r="4602">
          <cell r="K4602" t="str">
            <v>00111113P.2</v>
          </cell>
        </row>
        <row r="4603">
          <cell r="K4603" t="str">
            <v>00111113P.2</v>
          </cell>
        </row>
        <row r="4604">
          <cell r="K4604" t="str">
            <v>00111113P.2</v>
          </cell>
        </row>
        <row r="4605">
          <cell r="K4605" t="str">
            <v>00111117P.2</v>
          </cell>
        </row>
        <row r="4606">
          <cell r="K4606" t="str">
            <v>00111113P.2</v>
          </cell>
        </row>
        <row r="4607">
          <cell r="K4607" t="str">
            <v>00111113P.2</v>
          </cell>
        </row>
        <row r="4608">
          <cell r="K4608" t="str">
            <v>00111117P.2</v>
          </cell>
        </row>
        <row r="4609">
          <cell r="K4609" t="str">
            <v>00111113P.2</v>
          </cell>
        </row>
        <row r="4610">
          <cell r="K4610" t="str">
            <v>00111116P.2</v>
          </cell>
        </row>
        <row r="4611">
          <cell r="K4611" t="str">
            <v>00111116P.2</v>
          </cell>
        </row>
        <row r="4612">
          <cell r="K4612" t="str">
            <v>00111116P.2</v>
          </cell>
        </row>
        <row r="4613">
          <cell r="K4613" t="str">
            <v>00111118P.2</v>
          </cell>
        </row>
        <row r="4614">
          <cell r="K4614" t="str">
            <v>00111146P.2</v>
          </cell>
        </row>
        <row r="4615">
          <cell r="K4615" t="str">
            <v>00111146P.2</v>
          </cell>
        </row>
        <row r="4616">
          <cell r="K4616" t="str">
            <v>00111146P.2</v>
          </cell>
        </row>
        <row r="4617">
          <cell r="K4617" t="str">
            <v>00111146P.2</v>
          </cell>
        </row>
        <row r="4618">
          <cell r="K4618" t="str">
            <v>00111146P.2</v>
          </cell>
        </row>
        <row r="4619">
          <cell r="K4619" t="str">
            <v>00111146P.2</v>
          </cell>
        </row>
        <row r="4620">
          <cell r="K4620" t="str">
            <v>00111146P.2</v>
          </cell>
        </row>
        <row r="4621">
          <cell r="K4621" t="str">
            <v>00111146P.2</v>
          </cell>
        </row>
        <row r="4622">
          <cell r="K4622" t="str">
            <v>00111146P.2</v>
          </cell>
        </row>
        <row r="4623">
          <cell r="K4623" t="str">
            <v>00111143P.2</v>
          </cell>
        </row>
        <row r="4624">
          <cell r="K4624" t="str">
            <v>00111143P.2</v>
          </cell>
        </row>
        <row r="4625">
          <cell r="K4625" t="str">
            <v>00111143P.2</v>
          </cell>
        </row>
        <row r="4626">
          <cell r="K4626" t="str">
            <v>00111149P.2</v>
          </cell>
        </row>
        <row r="4627">
          <cell r="K4627" t="str">
            <v>00111143P.2</v>
          </cell>
        </row>
        <row r="4628">
          <cell r="K4628" t="str">
            <v>00111143P.2</v>
          </cell>
        </row>
        <row r="4629">
          <cell r="K4629" t="str">
            <v>00111149P.2</v>
          </cell>
        </row>
        <row r="4630">
          <cell r="K4630" t="str">
            <v>00111143P.2</v>
          </cell>
        </row>
        <row r="4631">
          <cell r="K4631" t="str">
            <v>00111143P.2</v>
          </cell>
        </row>
        <row r="4632">
          <cell r="K4632" t="str">
            <v>00111149P.2</v>
          </cell>
        </row>
        <row r="4633">
          <cell r="K4633" t="str">
            <v>00111143P.2</v>
          </cell>
        </row>
        <row r="4634">
          <cell r="K4634" t="str">
            <v>00111146P.2</v>
          </cell>
        </row>
        <row r="4635">
          <cell r="K4635" t="str">
            <v>00111143P.2</v>
          </cell>
        </row>
        <row r="4636">
          <cell r="K4636" t="str">
            <v>00111143P.2</v>
          </cell>
        </row>
        <row r="4637">
          <cell r="K4637" t="str">
            <v>00111143P.2</v>
          </cell>
        </row>
        <row r="4638">
          <cell r="K4638" t="str">
            <v>00111143P.2</v>
          </cell>
        </row>
        <row r="4639">
          <cell r="K4639" t="str">
            <v>00111143P.2</v>
          </cell>
        </row>
        <row r="4640">
          <cell r="K4640" t="str">
            <v>00111106P.2</v>
          </cell>
        </row>
        <row r="4641">
          <cell r="K4641" t="str">
            <v>00111107P.2</v>
          </cell>
        </row>
        <row r="4642">
          <cell r="K4642" t="str">
            <v>00111107P.2</v>
          </cell>
        </row>
        <row r="4643">
          <cell r="K4643" t="str">
            <v>00111145P.2</v>
          </cell>
        </row>
        <row r="4644">
          <cell r="K4644" t="str">
            <v>00111131P.2</v>
          </cell>
        </row>
        <row r="4645">
          <cell r="K4645" t="str">
            <v>00111109P.2</v>
          </cell>
        </row>
        <row r="4646">
          <cell r="K4646" t="str">
            <v>00111145P.2</v>
          </cell>
        </row>
        <row r="4647">
          <cell r="K4647" t="str">
            <v>00111145P.2</v>
          </cell>
        </row>
        <row r="4648">
          <cell r="K4648" t="str">
            <v>00111113P.2</v>
          </cell>
        </row>
        <row r="4649">
          <cell r="K4649" t="str">
            <v>00111109P.2</v>
          </cell>
        </row>
        <row r="4650">
          <cell r="K4650" t="str">
            <v>00111134P.2</v>
          </cell>
        </row>
        <row r="4651">
          <cell r="K4651" t="str">
            <v>00111134P.2</v>
          </cell>
        </row>
        <row r="4652">
          <cell r="K4652" t="str">
            <v>00111134P.2</v>
          </cell>
        </row>
        <row r="4653">
          <cell r="K4653" t="str">
            <v>00111128P.2</v>
          </cell>
        </row>
        <row r="4654">
          <cell r="K4654" t="str">
            <v>00111145P.2</v>
          </cell>
        </row>
        <row r="4655">
          <cell r="K4655" t="str">
            <v>00111145P.2</v>
          </cell>
        </row>
        <row r="4656">
          <cell r="K4656" t="str">
            <v>00111145P.2</v>
          </cell>
        </row>
        <row r="4657">
          <cell r="K4657" t="str">
            <v>00111145P.2</v>
          </cell>
        </row>
        <row r="4658">
          <cell r="K4658" t="str">
            <v>00111145P.2</v>
          </cell>
        </row>
        <row r="4659">
          <cell r="K4659" t="str">
            <v>00111145P.2</v>
          </cell>
        </row>
        <row r="4660">
          <cell r="K4660" t="str">
            <v>00111145P.2</v>
          </cell>
        </row>
        <row r="4661">
          <cell r="K4661" t="str">
            <v>00111145P.2</v>
          </cell>
        </row>
        <row r="4662">
          <cell r="K4662" t="str">
            <v>00111145P.2</v>
          </cell>
        </row>
        <row r="4663">
          <cell r="K4663" t="str">
            <v>00111145P.2</v>
          </cell>
        </row>
        <row r="4664">
          <cell r="K4664" t="str">
            <v>00111145P.2</v>
          </cell>
        </row>
        <row r="4665">
          <cell r="K4665" t="str">
            <v>00111145P.2</v>
          </cell>
        </row>
        <row r="4666">
          <cell r="K4666" t="str">
            <v>00111145P.2</v>
          </cell>
        </row>
        <row r="4667">
          <cell r="K4667" t="str">
            <v>00111145P.2</v>
          </cell>
        </row>
        <row r="4668">
          <cell r="K4668" t="str">
            <v>00111122P.2</v>
          </cell>
        </row>
        <row r="4669">
          <cell r="K4669" t="str">
            <v>00111122P.2</v>
          </cell>
        </row>
        <row r="4670">
          <cell r="K4670" t="str">
            <v>00111122P.2</v>
          </cell>
        </row>
        <row r="4671">
          <cell r="K4671" t="str">
            <v>00111123P.2</v>
          </cell>
        </row>
        <row r="4672">
          <cell r="K4672" t="str">
            <v>00111123P.2</v>
          </cell>
        </row>
        <row r="4673">
          <cell r="K4673" t="str">
            <v>00111145P.2</v>
          </cell>
        </row>
        <row r="4674">
          <cell r="K4674" t="str">
            <v>00111145P.2</v>
          </cell>
        </row>
        <row r="4675">
          <cell r="K4675" t="str">
            <v>00111122P.2</v>
          </cell>
        </row>
        <row r="4676">
          <cell r="K4676" t="str">
            <v>00111153P.2</v>
          </cell>
        </row>
        <row r="4677">
          <cell r="K4677" t="str">
            <v>00111153P.2</v>
          </cell>
        </row>
        <row r="4678">
          <cell r="K4678" t="str">
            <v>00111153P.2</v>
          </cell>
        </row>
        <row r="4679">
          <cell r="K4679" t="str">
            <v>00111153P.2</v>
          </cell>
        </row>
        <row r="4680">
          <cell r="K4680" t="str">
            <v>00111145P.2</v>
          </cell>
        </row>
        <row r="4681">
          <cell r="K4681" t="str">
            <v>00111145P.2</v>
          </cell>
        </row>
        <row r="4682">
          <cell r="K4682" t="str">
            <v>00111145P.2</v>
          </cell>
        </row>
        <row r="4683">
          <cell r="K4683" t="str">
            <v>00111145P.2</v>
          </cell>
        </row>
        <row r="4684">
          <cell r="K4684" t="str">
            <v>00111145P.2</v>
          </cell>
        </row>
        <row r="4685">
          <cell r="K4685" t="str">
            <v>00111145P.2</v>
          </cell>
        </row>
        <row r="4686">
          <cell r="K4686" t="str">
            <v>00111145P.2</v>
          </cell>
        </row>
        <row r="4687">
          <cell r="K4687" t="str">
            <v>00111145P.2</v>
          </cell>
        </row>
        <row r="4688">
          <cell r="K4688" t="str">
            <v>00111145P.2</v>
          </cell>
        </row>
        <row r="4689">
          <cell r="K4689" t="str">
            <v>00111145P.2</v>
          </cell>
        </row>
        <row r="4690">
          <cell r="K4690" t="str">
            <v>00111145P.2</v>
          </cell>
        </row>
        <row r="4691">
          <cell r="K4691" t="str">
            <v>00111145P.2</v>
          </cell>
        </row>
        <row r="4692">
          <cell r="K4692" t="str">
            <v>00111145P.2</v>
          </cell>
        </row>
        <row r="4693">
          <cell r="K4693" t="str">
            <v>00111145P.2</v>
          </cell>
        </row>
        <row r="4694">
          <cell r="K4694" t="str">
            <v>00111145P.2</v>
          </cell>
        </row>
        <row r="4695">
          <cell r="K4695" t="str">
            <v>00111145P.2</v>
          </cell>
        </row>
        <row r="4696">
          <cell r="K4696" t="str">
            <v>00111145P.2</v>
          </cell>
        </row>
        <row r="4697">
          <cell r="K4697" t="str">
            <v>00111145P.2</v>
          </cell>
        </row>
        <row r="4698">
          <cell r="K4698" t="str">
            <v>00111145P.2</v>
          </cell>
        </row>
        <row r="4699">
          <cell r="K4699" t="str">
            <v>00111145P.2</v>
          </cell>
        </row>
        <row r="4700">
          <cell r="K4700" t="str">
            <v>00111145P.2</v>
          </cell>
        </row>
        <row r="4701">
          <cell r="K4701" t="str">
            <v>00111145P.2</v>
          </cell>
        </row>
        <row r="4702">
          <cell r="K4702" t="str">
            <v>00111145P.2</v>
          </cell>
        </row>
        <row r="4703">
          <cell r="K4703" t="str">
            <v>00111145P.2</v>
          </cell>
        </row>
        <row r="4704">
          <cell r="K4704" t="str">
            <v>00111145P.2</v>
          </cell>
        </row>
        <row r="4705">
          <cell r="K4705" t="str">
            <v>00111145P.2</v>
          </cell>
        </row>
        <row r="4706">
          <cell r="K4706" t="str">
            <v>00111145P.2</v>
          </cell>
        </row>
        <row r="4707">
          <cell r="K4707" t="str">
            <v>00111149P.2</v>
          </cell>
        </row>
        <row r="4708">
          <cell r="K4708" t="str">
            <v>00111149P.2</v>
          </cell>
        </row>
        <row r="4709">
          <cell r="K4709" t="str">
            <v>00111149P.2</v>
          </cell>
        </row>
        <row r="4710">
          <cell r="K4710" t="str">
            <v>00111150P.2</v>
          </cell>
        </row>
        <row r="4711">
          <cell r="K4711" t="str">
            <v>00111150P.2</v>
          </cell>
        </row>
        <row r="4712">
          <cell r="K4712" t="str">
            <v>00111150P.2</v>
          </cell>
        </row>
        <row r="4713">
          <cell r="K4713" t="str">
            <v>00111150P.2</v>
          </cell>
        </row>
        <row r="4714">
          <cell r="K4714" t="str">
            <v>00111150P.2</v>
          </cell>
        </row>
        <row r="4715">
          <cell r="K4715" t="str">
            <v>00111150P.2</v>
          </cell>
        </row>
        <row r="4716">
          <cell r="K4716" t="str">
            <v>00111150P.2</v>
          </cell>
        </row>
        <row r="4717">
          <cell r="K4717" t="str">
            <v>00111153P.2</v>
          </cell>
        </row>
        <row r="4718">
          <cell r="K4718" t="str">
            <v>00111153P.2</v>
          </cell>
        </row>
        <row r="4719">
          <cell r="K4719" t="str">
            <v>00111153P.2</v>
          </cell>
        </row>
        <row r="4720">
          <cell r="K4720" t="str">
            <v>00111153P.2</v>
          </cell>
        </row>
        <row r="4721">
          <cell r="K4721" t="str">
            <v>00111153P.2</v>
          </cell>
        </row>
        <row r="4722">
          <cell r="K4722" t="str">
            <v>00111153P.2</v>
          </cell>
        </row>
        <row r="4723">
          <cell r="K4723" t="str">
            <v>00111153P.2</v>
          </cell>
        </row>
        <row r="4724">
          <cell r="K4724" t="str">
            <v>00111153P.2</v>
          </cell>
        </row>
        <row r="4725">
          <cell r="K4725" t="str">
            <v>00111153P.2</v>
          </cell>
        </row>
        <row r="4726">
          <cell r="K4726" t="str">
            <v>00111153P.2</v>
          </cell>
        </row>
        <row r="4727">
          <cell r="K4727" t="str">
            <v>00111153P.2</v>
          </cell>
        </row>
        <row r="4728">
          <cell r="K4728" t="str">
            <v>00111153P.2</v>
          </cell>
        </row>
        <row r="4729">
          <cell r="K4729" t="str">
            <v>00111153P.2</v>
          </cell>
        </row>
        <row r="4730">
          <cell r="K4730" t="str">
            <v>00111145P.2</v>
          </cell>
        </row>
        <row r="4731">
          <cell r="K4731" t="str">
            <v>00111145P.2</v>
          </cell>
        </row>
        <row r="4732">
          <cell r="K4732" t="str">
            <v>00111145P.2</v>
          </cell>
        </row>
        <row r="4733">
          <cell r="K4733" t="str">
            <v>00111145P.2</v>
          </cell>
        </row>
        <row r="4734">
          <cell r="K4734" t="str">
            <v>00111145P.2</v>
          </cell>
        </row>
        <row r="4735">
          <cell r="K4735" t="str">
            <v>00111145P.2</v>
          </cell>
        </row>
        <row r="4736">
          <cell r="K4736" t="str">
            <v>00111145P.2</v>
          </cell>
        </row>
        <row r="4737">
          <cell r="K4737" t="str">
            <v>00111145P.2</v>
          </cell>
        </row>
        <row r="4738">
          <cell r="K4738" t="str">
            <v>00111145P.2</v>
          </cell>
        </row>
        <row r="4739">
          <cell r="K4739" t="str">
            <v>00111145P.2</v>
          </cell>
        </row>
        <row r="4740">
          <cell r="K4740" t="str">
            <v>00111145P.2</v>
          </cell>
        </row>
        <row r="4741">
          <cell r="K4741" t="str">
            <v>00111145P.2</v>
          </cell>
        </row>
        <row r="4742">
          <cell r="K4742" t="str">
            <v>00111145P.2</v>
          </cell>
        </row>
        <row r="4743">
          <cell r="K4743" t="str">
            <v>00111145P.2</v>
          </cell>
        </row>
        <row r="4744">
          <cell r="K4744" t="str">
            <v>00111145P.2</v>
          </cell>
        </row>
        <row r="4745">
          <cell r="K4745" t="str">
            <v>00111145P.2</v>
          </cell>
        </row>
        <row r="4746">
          <cell r="K4746" t="str">
            <v>00111145P.2</v>
          </cell>
        </row>
        <row r="4747">
          <cell r="K4747" t="str">
            <v>00111145P.2</v>
          </cell>
        </row>
        <row r="4748">
          <cell r="K4748" t="str">
            <v>00111145P.2</v>
          </cell>
        </row>
        <row r="4749">
          <cell r="K4749" t="str">
            <v>00111145P.2</v>
          </cell>
        </row>
        <row r="4750">
          <cell r="K4750" t="str">
            <v>00111145P.2</v>
          </cell>
        </row>
        <row r="4751">
          <cell r="K4751" t="str">
            <v>00111145P.2</v>
          </cell>
        </row>
        <row r="4752">
          <cell r="K4752" t="str">
            <v>00111145P.2</v>
          </cell>
        </row>
        <row r="4753">
          <cell r="K4753" t="str">
            <v>00111145P.2</v>
          </cell>
        </row>
        <row r="4754">
          <cell r="K4754" t="str">
            <v>00111145P.2</v>
          </cell>
        </row>
        <row r="4755">
          <cell r="K4755" t="str">
            <v>00111145P.2</v>
          </cell>
        </row>
        <row r="4756">
          <cell r="K4756" t="str">
            <v>00111145P.2</v>
          </cell>
        </row>
        <row r="4757">
          <cell r="K4757" t="str">
            <v>00111145P.2</v>
          </cell>
        </row>
        <row r="4758">
          <cell r="K4758" t="str">
            <v>00111145P.2</v>
          </cell>
        </row>
        <row r="4759">
          <cell r="K4759" t="str">
            <v>00111145P.2</v>
          </cell>
        </row>
        <row r="4760">
          <cell r="K4760" t="str">
            <v>00111145P.2</v>
          </cell>
        </row>
        <row r="4761">
          <cell r="K4761" t="str">
            <v>00111145P.2</v>
          </cell>
        </row>
        <row r="4762">
          <cell r="K4762" t="str">
            <v>00111145P.2</v>
          </cell>
        </row>
        <row r="4763">
          <cell r="K4763" t="str">
            <v>00111145P.2</v>
          </cell>
        </row>
        <row r="4764">
          <cell r="K4764" t="str">
            <v>00111145P.2</v>
          </cell>
        </row>
        <row r="4765">
          <cell r="K4765" t="str">
            <v>00111145P.2</v>
          </cell>
        </row>
        <row r="4766">
          <cell r="K4766" t="str">
            <v>00111145P.2</v>
          </cell>
        </row>
        <row r="4767">
          <cell r="K4767" t="str">
            <v>00111145P.2</v>
          </cell>
        </row>
        <row r="4768">
          <cell r="K4768" t="str">
            <v>00111145P.2</v>
          </cell>
        </row>
        <row r="4769">
          <cell r="K4769" t="str">
            <v>00111145P.2</v>
          </cell>
        </row>
        <row r="4770">
          <cell r="K4770" t="str">
            <v>00111145P.2</v>
          </cell>
        </row>
        <row r="4771">
          <cell r="K4771" t="str">
            <v>00111145P.2</v>
          </cell>
        </row>
        <row r="4772">
          <cell r="K4772" t="str">
            <v>00111145P.2</v>
          </cell>
        </row>
        <row r="4773">
          <cell r="K4773" t="str">
            <v>00111145P.2</v>
          </cell>
        </row>
        <row r="4774">
          <cell r="K4774" t="str">
            <v>00111145P.2</v>
          </cell>
        </row>
        <row r="4775">
          <cell r="K4775" t="str">
            <v>00111145P.2</v>
          </cell>
        </row>
        <row r="4776">
          <cell r="K4776" t="str">
            <v>00111145P.2</v>
          </cell>
        </row>
        <row r="4777">
          <cell r="K4777" t="str">
            <v>00111145P.2</v>
          </cell>
        </row>
        <row r="4778">
          <cell r="K4778" t="str">
            <v>00111145P.2</v>
          </cell>
        </row>
        <row r="4779">
          <cell r="K4779" t="str">
            <v>00111145P.2</v>
          </cell>
        </row>
        <row r="4780">
          <cell r="K4780" t="str">
            <v>00111145P.2</v>
          </cell>
        </row>
        <row r="4781">
          <cell r="K4781" t="str">
            <v>00111149P.2</v>
          </cell>
        </row>
        <row r="4782">
          <cell r="K4782" t="str">
            <v>00111149P.2</v>
          </cell>
        </row>
        <row r="4783">
          <cell r="K4783" t="str">
            <v>00111149P.2</v>
          </cell>
        </row>
        <row r="4784">
          <cell r="K4784" t="str">
            <v>00111149P.2</v>
          </cell>
        </row>
        <row r="4785">
          <cell r="K4785" t="str">
            <v>00111149P.2</v>
          </cell>
        </row>
        <row r="4786">
          <cell r="K4786" t="str">
            <v>00111149P.2</v>
          </cell>
        </row>
        <row r="4787">
          <cell r="K4787" t="str">
            <v>00111149P.2</v>
          </cell>
        </row>
        <row r="4788">
          <cell r="K4788" t="str">
            <v>00111149P.2</v>
          </cell>
        </row>
        <row r="4789">
          <cell r="K4789" t="str">
            <v>00111149P.2</v>
          </cell>
        </row>
        <row r="4790">
          <cell r="K4790" t="str">
            <v>00111149P.2</v>
          </cell>
        </row>
        <row r="4791">
          <cell r="K4791" t="str">
            <v>00111149P.2</v>
          </cell>
        </row>
        <row r="4792">
          <cell r="K4792" t="str">
            <v>00111149P.2</v>
          </cell>
        </row>
        <row r="4793">
          <cell r="K4793" t="str">
            <v>00111149P.2</v>
          </cell>
        </row>
        <row r="4794">
          <cell r="K4794" t="str">
            <v>00111149P.2</v>
          </cell>
        </row>
        <row r="4795">
          <cell r="K4795" t="str">
            <v>00111149P.2</v>
          </cell>
        </row>
        <row r="4796">
          <cell r="K4796" t="str">
            <v>00111149P.2</v>
          </cell>
        </row>
        <row r="4797">
          <cell r="K4797" t="str">
            <v>00111150P.2</v>
          </cell>
        </row>
        <row r="4798">
          <cell r="K4798" t="str">
            <v>00111150P.2</v>
          </cell>
        </row>
        <row r="4799">
          <cell r="K4799" t="str">
            <v>00111150P.2</v>
          </cell>
        </row>
        <row r="4800">
          <cell r="K4800" t="str">
            <v>00111150P.2</v>
          </cell>
        </row>
        <row r="4801">
          <cell r="K4801" t="str">
            <v>00111150P.2</v>
          </cell>
        </row>
        <row r="4802">
          <cell r="K4802" t="str">
            <v>00111150P.2</v>
          </cell>
        </row>
        <row r="4803">
          <cell r="K4803" t="str">
            <v>00111150P.2</v>
          </cell>
        </row>
        <row r="4804">
          <cell r="K4804" t="str">
            <v>00111106P.2</v>
          </cell>
        </row>
        <row r="4805">
          <cell r="K4805" t="str">
            <v>01010043E.111</v>
          </cell>
        </row>
        <row r="4806">
          <cell r="K4806" t="str">
            <v>01010020E.13</v>
          </cell>
        </row>
        <row r="4807">
          <cell r="K4807" t="str">
            <v>01010020E.13</v>
          </cell>
        </row>
        <row r="4808">
          <cell r="K4808" t="str">
            <v>01010016E.13</v>
          </cell>
        </row>
        <row r="4809">
          <cell r="K4809" t="str">
            <v>01010012E.13</v>
          </cell>
        </row>
        <row r="4810">
          <cell r="K4810" t="str">
            <v>01010021E.111</v>
          </cell>
        </row>
        <row r="4811">
          <cell r="K4811" t="str">
            <v>01010010E.13</v>
          </cell>
        </row>
        <row r="4812">
          <cell r="K4812" t="str">
            <v>01010029E.13</v>
          </cell>
        </row>
        <row r="4813">
          <cell r="K4813" t="str">
            <v>01010031E.13</v>
          </cell>
        </row>
        <row r="4814">
          <cell r="K4814" t="str">
            <v>01010014E.111</v>
          </cell>
        </row>
        <row r="4815">
          <cell r="K4815" t="str">
            <v>01010027E.111</v>
          </cell>
        </row>
        <row r="4816">
          <cell r="K4816" t="str">
            <v>01010010E.111</v>
          </cell>
        </row>
        <row r="4817">
          <cell r="K4817" t="str">
            <v>01010016E.111</v>
          </cell>
        </row>
        <row r="4818">
          <cell r="K4818" t="str">
            <v>01010010E.111</v>
          </cell>
        </row>
        <row r="4819">
          <cell r="K4819" t="str">
            <v>01010018E.111</v>
          </cell>
        </row>
        <row r="4820">
          <cell r="K4820" t="str">
            <v>01010024E.111</v>
          </cell>
        </row>
        <row r="4821">
          <cell r="K4821" t="str">
            <v>01010021E.111</v>
          </cell>
        </row>
        <row r="4822">
          <cell r="K4822" t="str">
            <v>01010023E.111</v>
          </cell>
        </row>
        <row r="4823">
          <cell r="K4823" t="str">
            <v>01010029E.111</v>
          </cell>
        </row>
        <row r="4824">
          <cell r="K4824" t="str">
            <v>01010012E.111</v>
          </cell>
        </row>
        <row r="4825">
          <cell r="K4825" t="str">
            <v>01010034E.111</v>
          </cell>
        </row>
        <row r="4826">
          <cell r="K4826" t="str">
            <v>01010022E.111</v>
          </cell>
        </row>
        <row r="4827">
          <cell r="K4827" t="str">
            <v>01010020E.111</v>
          </cell>
        </row>
        <row r="4828">
          <cell r="K4828" t="str">
            <v>01010012E.111</v>
          </cell>
        </row>
        <row r="4829">
          <cell r="K4829" t="str">
            <v>01010021E.111</v>
          </cell>
        </row>
        <row r="4830">
          <cell r="K4830" t="str">
            <v>01010043E.111</v>
          </cell>
        </row>
        <row r="4831">
          <cell r="K4831" t="str">
            <v>01010014E.111</v>
          </cell>
        </row>
        <row r="4832">
          <cell r="K4832" t="str">
            <v>01010017E.111</v>
          </cell>
        </row>
        <row r="4833">
          <cell r="K4833" t="str">
            <v>01010019E.111</v>
          </cell>
        </row>
        <row r="4834">
          <cell r="K4834" t="str">
            <v>01010020E.111</v>
          </cell>
        </row>
        <row r="4835">
          <cell r="K4835" t="str">
            <v>01010032E.111</v>
          </cell>
        </row>
        <row r="4836">
          <cell r="K4836" t="str">
            <v>01010033E.111</v>
          </cell>
        </row>
        <row r="4837">
          <cell r="K4837" t="str">
            <v>01010059E.111</v>
          </cell>
        </row>
        <row r="4838">
          <cell r="K4838" t="str">
            <v>01010024E.122</v>
          </cell>
        </row>
        <row r="4839">
          <cell r="K4839" t="str">
            <v>01010025E.122</v>
          </cell>
        </row>
        <row r="4840">
          <cell r="K4840" t="str">
            <v>01010028E.122</v>
          </cell>
        </row>
        <row r="4841">
          <cell r="K4841" t="str">
            <v>01010031E.122</v>
          </cell>
        </row>
        <row r="4842">
          <cell r="K4842" t="str">
            <v>01010051E.122</v>
          </cell>
        </row>
        <row r="4843">
          <cell r="K4843" t="str">
            <v>01010026E.122</v>
          </cell>
        </row>
        <row r="4844">
          <cell r="K4844" t="str">
            <v>01010027E.122</v>
          </cell>
        </row>
        <row r="4845">
          <cell r="K4845" t="str">
            <v>01010029E.122</v>
          </cell>
        </row>
        <row r="4846">
          <cell r="K4846" t="str">
            <v>01010030E.122</v>
          </cell>
        </row>
        <row r="4847">
          <cell r="K4847" t="str">
            <v>01010036E.122</v>
          </cell>
        </row>
        <row r="4848">
          <cell r="K4848" t="str">
            <v>01010053E.122</v>
          </cell>
        </row>
        <row r="4849">
          <cell r="K4849" t="str">
            <v>01010010E.111</v>
          </cell>
        </row>
        <row r="4850">
          <cell r="K4850" t="str">
            <v>01010053E.111</v>
          </cell>
        </row>
        <row r="4851">
          <cell r="K4851" t="str">
            <v>00201143D.121</v>
          </cell>
        </row>
        <row r="4852">
          <cell r="K4852" t="str">
            <v>00201102D.112</v>
          </cell>
        </row>
        <row r="4853">
          <cell r="K4853" t="str">
            <v>00201102D.112</v>
          </cell>
        </row>
        <row r="4854">
          <cell r="K4854" t="str">
            <v>00201102D.112</v>
          </cell>
        </row>
        <row r="4855">
          <cell r="K4855" t="str">
            <v>00201102D.112</v>
          </cell>
        </row>
        <row r="4856">
          <cell r="K4856" t="str">
            <v>00201102D.111</v>
          </cell>
        </row>
        <row r="4857">
          <cell r="K4857" t="str">
            <v>00201161D.112</v>
          </cell>
        </row>
        <row r="4858">
          <cell r="K4858" t="str">
            <v>00201145D.122</v>
          </cell>
        </row>
        <row r="4859">
          <cell r="K4859" t="str">
            <v>00201150D.111</v>
          </cell>
        </row>
        <row r="4860">
          <cell r="K4860" t="str">
            <v>00201157D.111</v>
          </cell>
        </row>
        <row r="4861">
          <cell r="K4861" t="str">
            <v>00201160D.121</v>
          </cell>
        </row>
        <row r="4862">
          <cell r="K4862" t="str">
            <v>00201111D.111</v>
          </cell>
        </row>
        <row r="4863">
          <cell r="K4863" t="str">
            <v>00201127D.111</v>
          </cell>
        </row>
        <row r="4864">
          <cell r="K4864" t="str">
            <v>00201119D.111</v>
          </cell>
        </row>
        <row r="4865">
          <cell r="K4865" t="str">
            <v>00201136D.111</v>
          </cell>
        </row>
        <row r="4866">
          <cell r="K4866" t="str">
            <v>00201125D.121</v>
          </cell>
        </row>
        <row r="4867">
          <cell r="K4867" t="str">
            <v>00201129D.111</v>
          </cell>
        </row>
        <row r="4868">
          <cell r="K4868" t="str">
            <v>00201127D.121</v>
          </cell>
        </row>
        <row r="4869">
          <cell r="K4869" t="str">
            <v>00201132D.121</v>
          </cell>
        </row>
        <row r="4870">
          <cell r="K4870" t="str">
            <v>00201126D.121</v>
          </cell>
        </row>
        <row r="4871">
          <cell r="K4871" t="str">
            <v>00201121D.121</v>
          </cell>
        </row>
        <row r="4872">
          <cell r="K4872" t="str">
            <v>00201112D.111</v>
          </cell>
        </row>
        <row r="4873">
          <cell r="K4873" t="str">
            <v>00201126D.111</v>
          </cell>
        </row>
        <row r="4874">
          <cell r="K4874" t="str">
            <v>00201121D.121</v>
          </cell>
        </row>
        <row r="4875">
          <cell r="K4875" t="str">
            <v>00201133D.121</v>
          </cell>
        </row>
        <row r="4876">
          <cell r="K4876" t="str">
            <v>00201123D.121</v>
          </cell>
        </row>
        <row r="4877">
          <cell r="K4877" t="str">
            <v>00201135D.111</v>
          </cell>
        </row>
        <row r="4878">
          <cell r="K4878" t="str">
            <v>00201111D.111</v>
          </cell>
        </row>
        <row r="4879">
          <cell r="K4879" t="str">
            <v>00201123D.121</v>
          </cell>
        </row>
        <row r="4880">
          <cell r="K4880" t="str">
            <v>00201113D.111</v>
          </cell>
        </row>
        <row r="4881">
          <cell r="K4881" t="str">
            <v>00201128D.121</v>
          </cell>
        </row>
        <row r="4882">
          <cell r="K4882" t="str">
            <v>00201131D.111</v>
          </cell>
        </row>
        <row r="4883">
          <cell r="K4883" t="str">
            <v>00201128D.111</v>
          </cell>
        </row>
        <row r="4884">
          <cell r="K4884" t="str">
            <v>00201126D.121</v>
          </cell>
        </row>
        <row r="4885">
          <cell r="K4885" t="str">
            <v>00201126D.111</v>
          </cell>
        </row>
        <row r="4886">
          <cell r="K4886" t="str">
            <v>00201116D.121</v>
          </cell>
        </row>
        <row r="4887">
          <cell r="K4887" t="str">
            <v>00201143D.111</v>
          </cell>
        </row>
        <row r="4888">
          <cell r="K4888" t="str">
            <v>00201143D.121</v>
          </cell>
        </row>
        <row r="4889">
          <cell r="K4889" t="str">
            <v>00201113D.111</v>
          </cell>
        </row>
        <row r="4890">
          <cell r="K4890" t="str">
            <v>00201121D.111</v>
          </cell>
        </row>
        <row r="4891">
          <cell r="K4891" t="str">
            <v>00201127D.111</v>
          </cell>
        </row>
        <row r="4892">
          <cell r="K4892" t="str">
            <v>00201134D.111</v>
          </cell>
        </row>
        <row r="4893">
          <cell r="K4893" t="str">
            <v>00201142D.121</v>
          </cell>
        </row>
        <row r="4894">
          <cell r="K4894" t="str">
            <v>00201153D.111</v>
          </cell>
        </row>
        <row r="4895">
          <cell r="K4895" t="str">
            <v>00201159D.111</v>
          </cell>
        </row>
        <row r="4896">
          <cell r="K4896" t="str">
            <v>00201159D.121</v>
          </cell>
        </row>
        <row r="4897">
          <cell r="K4897" t="str">
            <v>00201117D.111</v>
          </cell>
        </row>
        <row r="4898">
          <cell r="K4898" t="str">
            <v>00201119D.111</v>
          </cell>
        </row>
        <row r="4899">
          <cell r="K4899" t="str">
            <v>00201120D.111</v>
          </cell>
        </row>
        <row r="4900">
          <cell r="K4900" t="str">
            <v>00201124D.111</v>
          </cell>
        </row>
        <row r="4901">
          <cell r="K4901" t="str">
            <v>00201150D.111</v>
          </cell>
        </row>
        <row r="4902">
          <cell r="K4902" t="str">
            <v>00201151D.111</v>
          </cell>
        </row>
        <row r="4903">
          <cell r="K4903" t="str">
            <v>00201128D.111</v>
          </cell>
        </row>
        <row r="4904">
          <cell r="K4904" t="str">
            <v>00201133D.111</v>
          </cell>
        </row>
        <row r="4905">
          <cell r="K4905" t="str">
            <v>00201135D.111</v>
          </cell>
        </row>
        <row r="4906">
          <cell r="K4906" t="str">
            <v>00201115D.121</v>
          </cell>
        </row>
        <row r="4907">
          <cell r="K4907" t="str">
            <v>00201117D.121</v>
          </cell>
        </row>
        <row r="4908">
          <cell r="K4908" t="str">
            <v>00201124D.121</v>
          </cell>
        </row>
        <row r="4909">
          <cell r="K4909" t="str">
            <v>00201143D.121</v>
          </cell>
        </row>
        <row r="4910">
          <cell r="K4910" t="str">
            <v>00201111D.121</v>
          </cell>
        </row>
        <row r="4911">
          <cell r="K4911" t="str">
            <v>00201125D.121</v>
          </cell>
        </row>
        <row r="4912">
          <cell r="K4912" t="str">
            <v>00201129D.121</v>
          </cell>
        </row>
        <row r="4913">
          <cell r="K4913" t="str">
            <v>00201143D.121</v>
          </cell>
        </row>
        <row r="4914">
          <cell r="K4914" t="str">
            <v>00201120D.111</v>
          </cell>
        </row>
        <row r="4915">
          <cell r="K4915" t="str">
            <v>00201122D.111</v>
          </cell>
        </row>
        <row r="4916">
          <cell r="K4916" t="str">
            <v>00201126D.111</v>
          </cell>
        </row>
        <row r="4917">
          <cell r="K4917" t="str">
            <v>00201128D.111</v>
          </cell>
        </row>
        <row r="4918">
          <cell r="K4918" t="str">
            <v>00201134D.121</v>
          </cell>
        </row>
        <row r="4919">
          <cell r="K4919" t="str">
            <v>00201153D.111</v>
          </cell>
        </row>
        <row r="4920">
          <cell r="K4920" t="str">
            <v>00201159D.121</v>
          </cell>
        </row>
        <row r="4921">
          <cell r="K4921" t="str">
            <v>00201106D.111</v>
          </cell>
        </row>
        <row r="4922">
          <cell r="K4922" t="str">
            <v>00201106D.122</v>
          </cell>
        </row>
        <row r="4923">
          <cell r="K4923" t="str">
            <v>00201158D.111</v>
          </cell>
        </row>
        <row r="4924">
          <cell r="K4924" t="str">
            <v>00201145D.121</v>
          </cell>
        </row>
        <row r="4925">
          <cell r="K4925" t="str">
            <v>00201145D.122</v>
          </cell>
        </row>
        <row r="4926">
          <cell r="K4926" t="str">
            <v>00201150D.111</v>
          </cell>
        </row>
        <row r="4927">
          <cell r="K4927" t="str">
            <v>00201157D.122</v>
          </cell>
        </row>
        <row r="4928">
          <cell r="K4928" t="str">
            <v>00201109D.121</v>
          </cell>
        </row>
        <row r="4929">
          <cell r="K4929" t="str">
            <v>00201127D.111</v>
          </cell>
        </row>
        <row r="4930">
          <cell r="K4930" t="str">
            <v>00201149D.111</v>
          </cell>
        </row>
        <row r="4931">
          <cell r="K4931" t="str">
            <v>00201107D.121</v>
          </cell>
        </row>
        <row r="4932">
          <cell r="K4932" t="str">
            <v>00201120D.121</v>
          </cell>
        </row>
        <row r="4933">
          <cell r="K4933" t="str">
            <v>00201122D.121</v>
          </cell>
        </row>
        <row r="4934">
          <cell r="K4934" t="str">
            <v>00201130D.121</v>
          </cell>
        </row>
        <row r="4935">
          <cell r="K4935" t="str">
            <v>00201131D.121</v>
          </cell>
        </row>
        <row r="4936">
          <cell r="K4936" t="str">
            <v>00201134D.121</v>
          </cell>
        </row>
        <row r="4937">
          <cell r="K4937" t="str">
            <v>00201158D.121</v>
          </cell>
        </row>
        <row r="4938">
          <cell r="K4938" t="str">
            <v>00201149D.121</v>
          </cell>
        </row>
        <row r="4939">
          <cell r="K4939" t="str">
            <v>00201149D.121</v>
          </cell>
        </row>
        <row r="4940">
          <cell r="K4940" t="str">
            <v>00201154D.111</v>
          </cell>
        </row>
        <row r="4941">
          <cell r="K4941" t="str">
            <v>00201160D.111</v>
          </cell>
        </row>
        <row r="4942">
          <cell r="K4942" t="str">
            <v>00201154D.121</v>
          </cell>
        </row>
        <row r="4943">
          <cell r="K4943" t="str">
            <v>00201160D.121</v>
          </cell>
        </row>
        <row r="4944">
          <cell r="K4944" t="str">
            <v>00201147D.111</v>
          </cell>
        </row>
        <row r="4945">
          <cell r="K4945" t="str">
            <v>00201154D.111</v>
          </cell>
        </row>
        <row r="4946">
          <cell r="K4946" t="str">
            <v>00201151D.111</v>
          </cell>
        </row>
        <row r="4947">
          <cell r="K4947" t="str">
            <v>00201151D.111</v>
          </cell>
        </row>
        <row r="4948">
          <cell r="K4948" t="str">
            <v>00201151D.122</v>
          </cell>
        </row>
        <row r="4949">
          <cell r="K4949" t="str">
            <v>00201151D.122</v>
          </cell>
        </row>
        <row r="4950">
          <cell r="K4950" t="str">
            <v>00201151D.122</v>
          </cell>
        </row>
        <row r="4951">
          <cell r="K4951" t="str">
            <v>00201156D.121</v>
          </cell>
        </row>
        <row r="4952">
          <cell r="K4952" t="str">
            <v>00201156D.122</v>
          </cell>
        </row>
        <row r="4953">
          <cell r="K4953" t="str">
            <v>00201160D.111</v>
          </cell>
        </row>
        <row r="4954">
          <cell r="K4954" t="str">
            <v>00201160D.121</v>
          </cell>
        </row>
        <row r="4955">
          <cell r="K4955" t="str">
            <v>00201156D.111</v>
          </cell>
        </row>
        <row r="4956">
          <cell r="K4956" t="str">
            <v>00201156D.121</v>
          </cell>
        </row>
        <row r="4957">
          <cell r="K4957" t="str">
            <v>00201156D.111</v>
          </cell>
        </row>
        <row r="4958">
          <cell r="K4958" t="str">
            <v>00201156D.111</v>
          </cell>
        </row>
        <row r="4959">
          <cell r="K4959" t="str">
            <v>00201105D.112</v>
          </cell>
        </row>
        <row r="4960">
          <cell r="K4960" t="str">
            <v>00201126D.111</v>
          </cell>
        </row>
        <row r="4961">
          <cell r="K4961" t="str">
            <v>00201128D.111</v>
          </cell>
        </row>
        <row r="4962">
          <cell r="K4962" t="str">
            <v>00201136D.111</v>
          </cell>
        </row>
        <row r="4963">
          <cell r="K4963" t="str">
            <v>00201153D.111</v>
          </cell>
        </row>
        <row r="4964">
          <cell r="K4964" t="str">
            <v>00201118D.121</v>
          </cell>
        </row>
        <row r="4965">
          <cell r="K4965" t="str">
            <v>00201113D.111</v>
          </cell>
        </row>
        <row r="4966">
          <cell r="K4966" t="str">
            <v>00201146D.121</v>
          </cell>
        </row>
        <row r="4967">
          <cell r="K4967" t="str">
            <v>00201146D.121</v>
          </cell>
        </row>
        <row r="4968">
          <cell r="K4968" t="str">
            <v>00201127D.122</v>
          </cell>
        </row>
        <row r="4969">
          <cell r="K4969" t="str">
            <v>00201145D.111</v>
          </cell>
        </row>
        <row r="4970">
          <cell r="K4970" t="str">
            <v>00201153D.111</v>
          </cell>
        </row>
        <row r="4971">
          <cell r="K4971" t="str">
            <v>00201145D.111</v>
          </cell>
        </row>
        <row r="4972">
          <cell r="K4972" t="str">
            <v>00201145D.121</v>
          </cell>
        </row>
        <row r="4973">
          <cell r="K4973" t="str">
            <v>00201145D.111</v>
          </cell>
        </row>
        <row r="4974">
          <cell r="K4974" t="str">
            <v>00201145D.121</v>
          </cell>
        </row>
        <row r="4975">
          <cell r="K4975" t="str">
            <v>00201148D.29</v>
          </cell>
        </row>
        <row r="4976">
          <cell r="K4976" t="str">
            <v>00201143D.29</v>
          </cell>
        </row>
        <row r="4977">
          <cell r="K4977" t="str">
            <v>00201134D.29</v>
          </cell>
        </row>
        <row r="4978">
          <cell r="K4978" t="str">
            <v>00201149D.29</v>
          </cell>
        </row>
        <row r="4979">
          <cell r="K4979" t="str">
            <v>00201159D.29</v>
          </cell>
        </row>
        <row r="4980">
          <cell r="K4980" t="str">
            <v>00201111D.29</v>
          </cell>
        </row>
        <row r="4981">
          <cell r="K4981" t="str">
            <v>00201119D.29</v>
          </cell>
        </row>
        <row r="4982">
          <cell r="K4982" t="str">
            <v>00201121D.29</v>
          </cell>
        </row>
        <row r="4983">
          <cell r="K4983" t="str">
            <v>00201129D.29</v>
          </cell>
        </row>
        <row r="4984">
          <cell r="K4984" t="str">
            <v>00201110D.29</v>
          </cell>
        </row>
        <row r="4985">
          <cell r="K4985" t="str">
            <v>00201126D.29</v>
          </cell>
        </row>
        <row r="4986">
          <cell r="K4986" t="str">
            <v>00201130D.29</v>
          </cell>
        </row>
        <row r="4987">
          <cell r="K4987" t="str">
            <v>00201121D.29</v>
          </cell>
        </row>
        <row r="4988">
          <cell r="K4988" t="str">
            <v>00201132D.29</v>
          </cell>
        </row>
        <row r="4989">
          <cell r="K4989" t="str">
            <v>00201131D.29</v>
          </cell>
        </row>
        <row r="4990">
          <cell r="K4990" t="str">
            <v>00201123D.29</v>
          </cell>
        </row>
        <row r="4991">
          <cell r="K4991" t="str">
            <v>00201110D.29</v>
          </cell>
        </row>
        <row r="4992">
          <cell r="K4992" t="str">
            <v>00201111D.29</v>
          </cell>
        </row>
        <row r="4993">
          <cell r="K4993" t="str">
            <v>00201135D.29</v>
          </cell>
        </row>
        <row r="4994">
          <cell r="K4994" t="str">
            <v>00201132D.29</v>
          </cell>
        </row>
        <row r="4995">
          <cell r="K4995" t="str">
            <v>00201113D.29</v>
          </cell>
        </row>
        <row r="4996">
          <cell r="K4996" t="str">
            <v>00201110D.29</v>
          </cell>
        </row>
        <row r="4997">
          <cell r="K4997" t="str">
            <v>00201134D.29</v>
          </cell>
        </row>
        <row r="4998">
          <cell r="K4998" t="str">
            <v>00201120D.29</v>
          </cell>
        </row>
        <row r="4999">
          <cell r="K4999" t="str">
            <v>00201130D.29</v>
          </cell>
        </row>
        <row r="5000">
          <cell r="K5000" t="str">
            <v>00201129D.29</v>
          </cell>
        </row>
        <row r="5001">
          <cell r="K5001" t="str">
            <v>00201151D.29</v>
          </cell>
        </row>
        <row r="5002">
          <cell r="K5002" t="str">
            <v>00201108D.29</v>
          </cell>
        </row>
        <row r="5003">
          <cell r="K5003" t="str">
            <v>00201110D.29</v>
          </cell>
        </row>
        <row r="5004">
          <cell r="K5004" t="str">
            <v>00201116D.29</v>
          </cell>
        </row>
        <row r="5005">
          <cell r="K5005" t="str">
            <v>00201124D.29</v>
          </cell>
        </row>
        <row r="5006">
          <cell r="K5006" t="str">
            <v>00201111D.29</v>
          </cell>
        </row>
        <row r="5007">
          <cell r="K5007" t="str">
            <v>00201119D.29</v>
          </cell>
        </row>
        <row r="5008">
          <cell r="K5008" t="str">
            <v>00201130D.29</v>
          </cell>
        </row>
        <row r="5009">
          <cell r="K5009" t="str">
            <v>00201149D.29</v>
          </cell>
        </row>
        <row r="5010">
          <cell r="K5010" t="str">
            <v>00201123D.29</v>
          </cell>
        </row>
        <row r="5011">
          <cell r="K5011" t="str">
            <v>00201134D.29</v>
          </cell>
        </row>
        <row r="5012">
          <cell r="K5012" t="str">
            <v>00201149D.29</v>
          </cell>
        </row>
        <row r="5013">
          <cell r="K5013" t="str">
            <v>00201150D.29</v>
          </cell>
        </row>
        <row r="5014">
          <cell r="K5014" t="str">
            <v>00201110D.29</v>
          </cell>
        </row>
        <row r="5015">
          <cell r="K5015" t="str">
            <v>00201128D.29</v>
          </cell>
        </row>
        <row r="5016">
          <cell r="K5016" t="str">
            <v>00201136D.29</v>
          </cell>
        </row>
        <row r="5017">
          <cell r="K5017" t="str">
            <v>00201110D.29</v>
          </cell>
        </row>
        <row r="5018">
          <cell r="K5018" t="str">
            <v>00201120D.29</v>
          </cell>
        </row>
        <row r="5019">
          <cell r="K5019" t="str">
            <v>00201155D.29</v>
          </cell>
        </row>
        <row r="5020">
          <cell r="K5020" t="str">
            <v>00201159D.29</v>
          </cell>
        </row>
        <row r="5021">
          <cell r="K5021" t="str">
            <v>00201109D.29</v>
          </cell>
        </row>
        <row r="5022">
          <cell r="K5022" t="str">
            <v>00201153D.29</v>
          </cell>
        </row>
        <row r="5023">
          <cell r="K5023" t="str">
            <v>00201159D.29</v>
          </cell>
        </row>
        <row r="5024">
          <cell r="K5024" t="str">
            <v>00201151D.29</v>
          </cell>
        </row>
        <row r="5025">
          <cell r="K5025" t="str">
            <v>00201156D.29</v>
          </cell>
        </row>
        <row r="5026">
          <cell r="K5026" t="str">
            <v>00201157D.29</v>
          </cell>
        </row>
        <row r="5027">
          <cell r="K5027" t="str">
            <v>00201156D.29</v>
          </cell>
        </row>
        <row r="5028">
          <cell r="K5028" t="str">
            <v>00201254D.29</v>
          </cell>
        </row>
        <row r="5029">
          <cell r="K5029" t="str">
            <v>00201146D.29</v>
          </cell>
        </row>
        <row r="5030">
          <cell r="K5030" t="str">
            <v>00201112D.29</v>
          </cell>
        </row>
        <row r="5031">
          <cell r="K5031" t="str">
            <v>00201122D.29</v>
          </cell>
        </row>
        <row r="5032">
          <cell r="K5032" t="str">
            <v>00201149D.29</v>
          </cell>
        </row>
        <row r="5033">
          <cell r="K5033" t="str">
            <v>00201145D.29</v>
          </cell>
        </row>
        <row r="5034">
          <cell r="K5034" t="str">
            <v>00201150D.29</v>
          </cell>
        </row>
        <row r="5035">
          <cell r="K5035" t="str">
            <v>00711254D.31</v>
          </cell>
        </row>
        <row r="5036">
          <cell r="K5036" t="str">
            <v>00201154K.1</v>
          </cell>
        </row>
        <row r="5037">
          <cell r="K5037" t="str">
            <v>00201157K.1</v>
          </cell>
        </row>
        <row r="5038">
          <cell r="K5038" t="str">
            <v>00021243P.11</v>
          </cell>
        </row>
        <row r="5039">
          <cell r="K5039" t="str">
            <v>00021243P.11</v>
          </cell>
        </row>
        <row r="5040">
          <cell r="K5040" t="str">
            <v>00021243P.11</v>
          </cell>
        </row>
        <row r="5041">
          <cell r="K5041" t="str">
            <v>00021203P.11</v>
          </cell>
        </row>
        <row r="5042">
          <cell r="K5042" t="str">
            <v>00021238P.11</v>
          </cell>
        </row>
        <row r="5043">
          <cell r="K5043" t="str">
            <v>00021238P.11</v>
          </cell>
        </row>
        <row r="5044">
          <cell r="K5044" t="str">
            <v>00021238P.11</v>
          </cell>
        </row>
        <row r="5045">
          <cell r="K5045" t="str">
            <v>00021239P.11</v>
          </cell>
        </row>
        <row r="5046">
          <cell r="K5046" t="str">
            <v>00021239P.11</v>
          </cell>
        </row>
        <row r="5047">
          <cell r="K5047" t="str">
            <v>00021240P.11</v>
          </cell>
        </row>
        <row r="5048">
          <cell r="K5048" t="str">
            <v>00021258P.11</v>
          </cell>
        </row>
        <row r="5049">
          <cell r="K5049" t="str">
            <v>00021258P.11</v>
          </cell>
        </row>
        <row r="5050">
          <cell r="K5050" t="str">
            <v>00021258P.11</v>
          </cell>
        </row>
        <row r="5051">
          <cell r="K5051" t="str">
            <v>00021258P.11</v>
          </cell>
        </row>
        <row r="5052">
          <cell r="K5052" t="str">
            <v>00021258P.11</v>
          </cell>
        </row>
        <row r="5053">
          <cell r="K5053" t="str">
            <v>00021250P.11</v>
          </cell>
        </row>
        <row r="5054">
          <cell r="K5054" t="str">
            <v>00021202P.11</v>
          </cell>
        </row>
        <row r="5055">
          <cell r="K5055" t="str">
            <v>00021202P.11</v>
          </cell>
        </row>
        <row r="5056">
          <cell r="K5056" t="str">
            <v>00021202P.12</v>
          </cell>
        </row>
        <row r="5057">
          <cell r="K5057" t="str">
            <v>00021202P.11</v>
          </cell>
        </row>
        <row r="5058">
          <cell r="K5058" t="str">
            <v>00021202P.11</v>
          </cell>
        </row>
        <row r="5059">
          <cell r="K5059" t="str">
            <v>00021202P.11</v>
          </cell>
        </row>
        <row r="5060">
          <cell r="K5060" t="str">
            <v>00021202P.11</v>
          </cell>
        </row>
        <row r="5061">
          <cell r="K5061" t="str">
            <v>00021202P.11</v>
          </cell>
        </row>
        <row r="5062">
          <cell r="K5062" t="str">
            <v>00021252P.11</v>
          </cell>
        </row>
        <row r="5063">
          <cell r="K5063" t="str">
            <v>00021243P.11</v>
          </cell>
        </row>
        <row r="5064">
          <cell r="K5064" t="str">
            <v>00021236P.11</v>
          </cell>
        </row>
        <row r="5065">
          <cell r="K5065" t="str">
            <v>00021222P.11</v>
          </cell>
        </row>
        <row r="5066">
          <cell r="K5066" t="str">
            <v>00021223P.11</v>
          </cell>
        </row>
        <row r="5067">
          <cell r="K5067" t="str">
            <v>00021223P.11</v>
          </cell>
        </row>
        <row r="5068">
          <cell r="K5068" t="str">
            <v>00021210P.11</v>
          </cell>
        </row>
        <row r="5069">
          <cell r="K5069" t="str">
            <v>00021210P.11</v>
          </cell>
        </row>
        <row r="5070">
          <cell r="K5070" t="str">
            <v>00021210P.11</v>
          </cell>
        </row>
        <row r="5071">
          <cell r="K5071" t="str">
            <v>00021226P.11</v>
          </cell>
        </row>
        <row r="5072">
          <cell r="K5072" t="str">
            <v>00021226P.11</v>
          </cell>
        </row>
        <row r="5073">
          <cell r="K5073" t="str">
            <v>00021226P.11</v>
          </cell>
        </row>
        <row r="5074">
          <cell r="K5074" t="str">
            <v>00021226P.11</v>
          </cell>
        </row>
        <row r="5075">
          <cell r="K5075" t="str">
            <v>00021234P.11</v>
          </cell>
        </row>
        <row r="5076">
          <cell r="K5076" t="str">
            <v>00021234P.11</v>
          </cell>
        </row>
        <row r="5077">
          <cell r="K5077" t="str">
            <v>00021234P.11</v>
          </cell>
        </row>
        <row r="5078">
          <cell r="K5078" t="str">
            <v>00021234P.11</v>
          </cell>
        </row>
        <row r="5079">
          <cell r="K5079" t="str">
            <v>00021243P.11</v>
          </cell>
        </row>
        <row r="5080">
          <cell r="K5080" t="str">
            <v>00021245P.11</v>
          </cell>
        </row>
        <row r="5081">
          <cell r="K5081" t="str">
            <v>00021245P.11</v>
          </cell>
        </row>
        <row r="5082">
          <cell r="K5082" t="str">
            <v>00021245P.11</v>
          </cell>
        </row>
        <row r="5083">
          <cell r="K5083" t="str">
            <v>00021248P.11</v>
          </cell>
        </row>
        <row r="5084">
          <cell r="K5084" t="str">
            <v>00021248P.11</v>
          </cell>
        </row>
        <row r="5085">
          <cell r="K5085" t="str">
            <v>00021250P.11</v>
          </cell>
        </row>
        <row r="5086">
          <cell r="K5086" t="str">
            <v>00021257P.11</v>
          </cell>
        </row>
        <row r="5087">
          <cell r="K5087" t="str">
            <v>00021207P.11</v>
          </cell>
        </row>
        <row r="5088">
          <cell r="K5088" t="str">
            <v>00021226P.11</v>
          </cell>
        </row>
        <row r="5089">
          <cell r="K5089" t="str">
            <v>00021260P.11</v>
          </cell>
        </row>
        <row r="5090">
          <cell r="K5090" t="str">
            <v>00021260P.11</v>
          </cell>
        </row>
        <row r="5091">
          <cell r="K5091" t="str">
            <v>00021227P.11</v>
          </cell>
        </row>
        <row r="5092">
          <cell r="K5092" t="str">
            <v>00021220P.11</v>
          </cell>
        </row>
        <row r="5093">
          <cell r="K5093" t="str">
            <v>00021226P.11</v>
          </cell>
        </row>
        <row r="5094">
          <cell r="K5094" t="str">
            <v>00021220P.11</v>
          </cell>
        </row>
        <row r="5095">
          <cell r="K5095" t="str">
            <v>00021216P.11</v>
          </cell>
        </row>
        <row r="5096">
          <cell r="K5096" t="str">
            <v>00021213P.11</v>
          </cell>
        </row>
        <row r="5097">
          <cell r="K5097" t="str">
            <v>00021213P.11</v>
          </cell>
        </row>
        <row r="5098">
          <cell r="K5098" t="str">
            <v>00021226P.11</v>
          </cell>
        </row>
        <row r="5099">
          <cell r="K5099" t="str">
            <v>00021213P.11</v>
          </cell>
        </row>
        <row r="5100">
          <cell r="K5100" t="str">
            <v>00021222P.11</v>
          </cell>
        </row>
        <row r="5101">
          <cell r="K5101" t="str">
            <v>00021228P.11</v>
          </cell>
        </row>
        <row r="5102">
          <cell r="K5102" t="str">
            <v>00021232P.11</v>
          </cell>
        </row>
        <row r="5103">
          <cell r="K5103" t="str">
            <v>00021231P.11</v>
          </cell>
        </row>
        <row r="5104">
          <cell r="K5104" t="str">
            <v>00021213P.11</v>
          </cell>
        </row>
        <row r="5105">
          <cell r="K5105" t="str">
            <v>00021236P.11</v>
          </cell>
        </row>
        <row r="5106">
          <cell r="K5106" t="str">
            <v>00021231P.11</v>
          </cell>
        </row>
        <row r="5107">
          <cell r="K5107" t="str">
            <v>00021220P.11</v>
          </cell>
        </row>
        <row r="5108">
          <cell r="K5108" t="str">
            <v>00021232P.11</v>
          </cell>
        </row>
        <row r="5109">
          <cell r="K5109" t="str">
            <v>00021224P.11</v>
          </cell>
        </row>
        <row r="5110">
          <cell r="K5110" t="str">
            <v>00021225P.11</v>
          </cell>
        </row>
        <row r="5111">
          <cell r="K5111" t="str">
            <v>00021236P.11</v>
          </cell>
        </row>
        <row r="5112">
          <cell r="K5112" t="str">
            <v>00021211P.11</v>
          </cell>
        </row>
        <row r="5113">
          <cell r="K5113" t="str">
            <v>00021223P.11</v>
          </cell>
        </row>
        <row r="5114">
          <cell r="K5114" t="str">
            <v>00021225P.11</v>
          </cell>
        </row>
        <row r="5115">
          <cell r="K5115" t="str">
            <v>00021225P.11</v>
          </cell>
        </row>
        <row r="5116">
          <cell r="K5116" t="str">
            <v>00021236P.11</v>
          </cell>
        </row>
        <row r="5117">
          <cell r="K5117" t="str">
            <v>00021210P.11</v>
          </cell>
        </row>
        <row r="5118">
          <cell r="K5118" t="str">
            <v>00021223P.11</v>
          </cell>
        </row>
        <row r="5119">
          <cell r="K5119" t="str">
            <v>00021224P.11</v>
          </cell>
        </row>
        <row r="5120">
          <cell r="K5120" t="str">
            <v>00021228P.11</v>
          </cell>
        </row>
        <row r="5121">
          <cell r="K5121" t="str">
            <v>00021231P.11</v>
          </cell>
        </row>
        <row r="5122">
          <cell r="K5122" t="str">
            <v>00021210P.11</v>
          </cell>
        </row>
        <row r="5123">
          <cell r="K5123" t="str">
            <v>00021213P.11</v>
          </cell>
        </row>
        <row r="5124">
          <cell r="K5124" t="str">
            <v>00021217P.11</v>
          </cell>
        </row>
        <row r="5125">
          <cell r="K5125" t="str">
            <v>00021217P.11</v>
          </cell>
        </row>
        <row r="5126">
          <cell r="K5126" t="str">
            <v>00021222P.11</v>
          </cell>
        </row>
        <row r="5127">
          <cell r="K5127" t="str">
            <v>00021228P.11</v>
          </cell>
        </row>
        <row r="5128">
          <cell r="K5128" t="str">
            <v>00021230P.11</v>
          </cell>
        </row>
        <row r="5129">
          <cell r="K5129" t="str">
            <v>00021230P.11</v>
          </cell>
        </row>
        <row r="5130">
          <cell r="K5130" t="str">
            <v>00021231P.11</v>
          </cell>
        </row>
        <row r="5131">
          <cell r="K5131" t="str">
            <v>00021235P.11</v>
          </cell>
        </row>
        <row r="5132">
          <cell r="K5132" t="str">
            <v>00021235P.11</v>
          </cell>
        </row>
        <row r="5133">
          <cell r="K5133" t="str">
            <v>00021214P.11</v>
          </cell>
        </row>
        <row r="5134">
          <cell r="K5134" t="str">
            <v>00021222P.11</v>
          </cell>
        </row>
        <row r="5135">
          <cell r="K5135" t="str">
            <v>00021226P.11</v>
          </cell>
        </row>
        <row r="5136">
          <cell r="K5136" t="str">
            <v>00021229P.11</v>
          </cell>
        </row>
        <row r="5137">
          <cell r="K5137" t="str">
            <v>00021232P.11</v>
          </cell>
        </row>
        <row r="5138">
          <cell r="K5138" t="str">
            <v>00021234P.11</v>
          </cell>
        </row>
        <row r="5139">
          <cell r="K5139" t="str">
            <v>00021234P.11</v>
          </cell>
        </row>
        <row r="5140">
          <cell r="K5140" t="str">
            <v>00021234P.11</v>
          </cell>
        </row>
        <row r="5141">
          <cell r="K5141" t="str">
            <v>00021236P.11</v>
          </cell>
        </row>
        <row r="5142">
          <cell r="K5142" t="str">
            <v>00021236P.11</v>
          </cell>
        </row>
        <row r="5143">
          <cell r="K5143" t="str">
            <v>00021210P.11</v>
          </cell>
        </row>
        <row r="5144">
          <cell r="K5144" t="str">
            <v>00021213P.11</v>
          </cell>
        </row>
        <row r="5145">
          <cell r="K5145" t="str">
            <v>00021218P.11</v>
          </cell>
        </row>
        <row r="5146">
          <cell r="K5146" t="str">
            <v>00021228P.11</v>
          </cell>
        </row>
        <row r="5147">
          <cell r="K5147" t="str">
            <v>00021230P.11</v>
          </cell>
        </row>
        <row r="5148">
          <cell r="K5148" t="str">
            <v>00021213P.11</v>
          </cell>
        </row>
        <row r="5149">
          <cell r="K5149" t="str">
            <v>00021214P.11</v>
          </cell>
        </row>
        <row r="5150">
          <cell r="K5150" t="str">
            <v>00021218P.11</v>
          </cell>
        </row>
        <row r="5151">
          <cell r="K5151" t="str">
            <v>00021226P.11</v>
          </cell>
        </row>
        <row r="5152">
          <cell r="K5152" t="str">
            <v>00021229P.11</v>
          </cell>
        </row>
        <row r="5153">
          <cell r="K5153" t="str">
            <v>00021231P.11</v>
          </cell>
        </row>
        <row r="5154">
          <cell r="K5154" t="str">
            <v>00021235P.11</v>
          </cell>
        </row>
        <row r="5155">
          <cell r="K5155" t="str">
            <v>00021236P.11</v>
          </cell>
        </row>
        <row r="5156">
          <cell r="K5156" t="str">
            <v>00021236P.11</v>
          </cell>
        </row>
        <row r="5157">
          <cell r="K5157" t="str">
            <v>00021234P.11</v>
          </cell>
        </row>
        <row r="5158">
          <cell r="K5158" t="str">
            <v>00021235P.11</v>
          </cell>
        </row>
        <row r="5159">
          <cell r="K5159" t="str">
            <v>00021212P.11</v>
          </cell>
        </row>
        <row r="5160">
          <cell r="K5160" t="str">
            <v>00021212P.11</v>
          </cell>
        </row>
        <row r="5161">
          <cell r="K5161" t="str">
            <v>00021225P.11</v>
          </cell>
        </row>
        <row r="5162">
          <cell r="K5162" t="str">
            <v>00021231P.11</v>
          </cell>
        </row>
        <row r="5163">
          <cell r="K5163" t="str">
            <v>00021231P.11</v>
          </cell>
        </row>
        <row r="5164">
          <cell r="K5164" t="str">
            <v>00021233P.11</v>
          </cell>
        </row>
        <row r="5165">
          <cell r="K5165" t="str">
            <v>00021236P.11</v>
          </cell>
        </row>
        <row r="5166">
          <cell r="K5166" t="str">
            <v>00021221P.11</v>
          </cell>
        </row>
        <row r="5167">
          <cell r="K5167" t="str">
            <v>00021217P.11</v>
          </cell>
        </row>
        <row r="5168">
          <cell r="K5168" t="str">
            <v>00021220P.11</v>
          </cell>
        </row>
        <row r="5169">
          <cell r="K5169" t="str">
            <v>00021217P.11</v>
          </cell>
        </row>
        <row r="5170">
          <cell r="K5170" t="str">
            <v>00021217P.11</v>
          </cell>
        </row>
        <row r="5171">
          <cell r="K5171" t="str">
            <v>00021231P.11</v>
          </cell>
        </row>
        <row r="5172">
          <cell r="K5172" t="str">
            <v>00021235P.11</v>
          </cell>
        </row>
        <row r="5173">
          <cell r="K5173" t="str">
            <v>00021236P.11</v>
          </cell>
        </row>
        <row r="5174">
          <cell r="K5174" t="str">
            <v>00021226P.11</v>
          </cell>
        </row>
        <row r="5175">
          <cell r="K5175" t="str">
            <v>00021231P.11</v>
          </cell>
        </row>
        <row r="5176">
          <cell r="K5176" t="str">
            <v>00021232P.11</v>
          </cell>
        </row>
        <row r="5177">
          <cell r="K5177" t="str">
            <v>00021236P.11</v>
          </cell>
        </row>
        <row r="5178">
          <cell r="K5178" t="str">
            <v>00021231P.11</v>
          </cell>
        </row>
        <row r="5179">
          <cell r="K5179" t="str">
            <v>00021231P.11</v>
          </cell>
        </row>
        <row r="5180">
          <cell r="K5180" t="str">
            <v>00021229P.11</v>
          </cell>
        </row>
        <row r="5181">
          <cell r="K5181" t="str">
            <v>00021230P.11</v>
          </cell>
        </row>
        <row r="5182">
          <cell r="K5182" t="str">
            <v>00021232P.11</v>
          </cell>
        </row>
        <row r="5183">
          <cell r="K5183" t="str">
            <v>00021223P.11</v>
          </cell>
        </row>
        <row r="5184">
          <cell r="K5184" t="str">
            <v>00021231P.11</v>
          </cell>
        </row>
        <row r="5185">
          <cell r="K5185" t="str">
            <v>00021236P.11</v>
          </cell>
        </row>
        <row r="5186">
          <cell r="K5186" t="str">
            <v>00021221P.11</v>
          </cell>
        </row>
        <row r="5187">
          <cell r="K5187" t="str">
            <v>00021235P.11</v>
          </cell>
        </row>
        <row r="5188">
          <cell r="K5188" t="str">
            <v>00021217P.11</v>
          </cell>
        </row>
        <row r="5189">
          <cell r="K5189" t="str">
            <v>00021218P.11</v>
          </cell>
        </row>
        <row r="5190">
          <cell r="K5190" t="str">
            <v>00021230P.11</v>
          </cell>
        </row>
        <row r="5191">
          <cell r="K5191" t="str">
            <v>00021228P.11</v>
          </cell>
        </row>
        <row r="5192">
          <cell r="K5192" t="str">
            <v>00021233P.11</v>
          </cell>
        </row>
        <row r="5193">
          <cell r="K5193" t="str">
            <v>00021225P.11</v>
          </cell>
        </row>
        <row r="5194">
          <cell r="K5194" t="str">
            <v>00021230P.11</v>
          </cell>
        </row>
        <row r="5195">
          <cell r="K5195" t="str">
            <v>00021233P.11</v>
          </cell>
        </row>
        <row r="5196">
          <cell r="K5196" t="str">
            <v>00021235P.11</v>
          </cell>
        </row>
        <row r="5197">
          <cell r="K5197" t="str">
            <v>00021215P.11</v>
          </cell>
        </row>
        <row r="5198">
          <cell r="K5198" t="str">
            <v>00021231P.11</v>
          </cell>
        </row>
        <row r="5199">
          <cell r="K5199" t="str">
            <v>00021221P.11</v>
          </cell>
        </row>
        <row r="5200">
          <cell r="K5200" t="str">
            <v>00021221P.11</v>
          </cell>
        </row>
        <row r="5201">
          <cell r="K5201" t="str">
            <v>00021232P.11</v>
          </cell>
        </row>
        <row r="5202">
          <cell r="K5202" t="str">
            <v>00021217P.11</v>
          </cell>
        </row>
        <row r="5203">
          <cell r="K5203" t="str">
            <v>00021235P.11</v>
          </cell>
        </row>
        <row r="5204">
          <cell r="K5204" t="str">
            <v>00021232P.11</v>
          </cell>
        </row>
        <row r="5205">
          <cell r="K5205" t="str">
            <v>00021226P.11</v>
          </cell>
        </row>
        <row r="5206">
          <cell r="K5206" t="str">
            <v>00021221P.11</v>
          </cell>
        </row>
        <row r="5207">
          <cell r="K5207" t="str">
            <v>00021220P.11</v>
          </cell>
        </row>
        <row r="5208">
          <cell r="K5208" t="str">
            <v>00021226P.11</v>
          </cell>
        </row>
        <row r="5209">
          <cell r="K5209" t="str">
            <v>00021232P.11</v>
          </cell>
        </row>
        <row r="5210">
          <cell r="K5210" t="str">
            <v>00021231P.11</v>
          </cell>
        </row>
        <row r="5211">
          <cell r="K5211" t="str">
            <v>00021213P.11</v>
          </cell>
        </row>
        <row r="5212">
          <cell r="K5212" t="str">
            <v>00021221P.11</v>
          </cell>
        </row>
        <row r="5213">
          <cell r="K5213" t="str">
            <v>00021229P.11</v>
          </cell>
        </row>
        <row r="5214">
          <cell r="K5214" t="str">
            <v>00021233P.11</v>
          </cell>
        </row>
        <row r="5215">
          <cell r="K5215" t="str">
            <v>00021226P.11</v>
          </cell>
        </row>
        <row r="5216">
          <cell r="K5216" t="str">
            <v>00021232P.11</v>
          </cell>
        </row>
        <row r="5217">
          <cell r="K5217" t="str">
            <v>00021231P.11</v>
          </cell>
        </row>
        <row r="5218">
          <cell r="K5218" t="str">
            <v>00021235P.11</v>
          </cell>
        </row>
        <row r="5219">
          <cell r="K5219" t="str">
            <v>00021221P.11</v>
          </cell>
        </row>
        <row r="5220">
          <cell r="K5220" t="str">
            <v>00021222P.11</v>
          </cell>
        </row>
        <row r="5221">
          <cell r="K5221" t="str">
            <v>00021231P.11</v>
          </cell>
        </row>
        <row r="5222">
          <cell r="K5222" t="str">
            <v>00021223P.11</v>
          </cell>
        </row>
        <row r="5223">
          <cell r="K5223" t="str">
            <v>00021235P.11</v>
          </cell>
        </row>
        <row r="5224">
          <cell r="K5224" t="str">
            <v>00021236P.11</v>
          </cell>
        </row>
        <row r="5225">
          <cell r="K5225" t="str">
            <v>00021233P.11</v>
          </cell>
        </row>
        <row r="5226">
          <cell r="K5226" t="str">
            <v>00021232P.11</v>
          </cell>
        </row>
        <row r="5227">
          <cell r="K5227" t="str">
            <v>00021233P.11</v>
          </cell>
        </row>
        <row r="5228">
          <cell r="K5228" t="str">
            <v>00021226P.11</v>
          </cell>
        </row>
        <row r="5229">
          <cell r="K5229" t="str">
            <v>00021228P.11</v>
          </cell>
        </row>
        <row r="5230">
          <cell r="K5230" t="str">
            <v>00021232P.11</v>
          </cell>
        </row>
        <row r="5231">
          <cell r="K5231" t="str">
            <v>00021213P.11</v>
          </cell>
        </row>
        <row r="5232">
          <cell r="K5232" t="str">
            <v>00021232P.11</v>
          </cell>
        </row>
        <row r="5233">
          <cell r="K5233" t="str">
            <v>00021234P.11</v>
          </cell>
        </row>
        <row r="5234">
          <cell r="K5234" t="str">
            <v>00021233P.11</v>
          </cell>
        </row>
        <row r="5235">
          <cell r="K5235" t="str">
            <v>00021223P.11</v>
          </cell>
        </row>
        <row r="5236">
          <cell r="K5236" t="str">
            <v>00021229P.11</v>
          </cell>
        </row>
        <row r="5237">
          <cell r="K5237" t="str">
            <v>00021229P.11</v>
          </cell>
        </row>
        <row r="5238">
          <cell r="K5238" t="str">
            <v>00021233P.11</v>
          </cell>
        </row>
        <row r="5239">
          <cell r="K5239" t="str">
            <v>00021223P.11</v>
          </cell>
        </row>
        <row r="5240">
          <cell r="K5240" t="str">
            <v>00021236P.11</v>
          </cell>
        </row>
        <row r="5241">
          <cell r="K5241" t="str">
            <v>00021229P.11</v>
          </cell>
        </row>
        <row r="5242">
          <cell r="K5242" t="str">
            <v>00021232P.11</v>
          </cell>
        </row>
        <row r="5243">
          <cell r="K5243" t="str">
            <v>00021222P.11</v>
          </cell>
        </row>
        <row r="5244">
          <cell r="K5244" t="str">
            <v>00021225P.11</v>
          </cell>
        </row>
        <row r="5245">
          <cell r="K5245" t="str">
            <v>00021224P.11</v>
          </cell>
        </row>
        <row r="5246">
          <cell r="K5246" t="str">
            <v>00021230P.11</v>
          </cell>
        </row>
        <row r="5247">
          <cell r="K5247" t="str">
            <v>00021236P.11</v>
          </cell>
        </row>
        <row r="5248">
          <cell r="K5248" t="str">
            <v>00021231P.11</v>
          </cell>
        </row>
        <row r="5249">
          <cell r="K5249" t="str">
            <v>00021229P.11</v>
          </cell>
        </row>
        <row r="5250">
          <cell r="K5250" t="str">
            <v>00021225P.11</v>
          </cell>
        </row>
        <row r="5251">
          <cell r="K5251" t="str">
            <v>00021236P.11</v>
          </cell>
        </row>
        <row r="5252">
          <cell r="K5252" t="str">
            <v>00021227P.11</v>
          </cell>
        </row>
        <row r="5253">
          <cell r="K5253" t="str">
            <v>00021235P.11</v>
          </cell>
        </row>
        <row r="5254">
          <cell r="K5254" t="str">
            <v>00021214P.11</v>
          </cell>
        </row>
        <row r="5255">
          <cell r="K5255" t="str">
            <v>00021215P.11</v>
          </cell>
        </row>
        <row r="5256">
          <cell r="K5256" t="str">
            <v>00021231P.11</v>
          </cell>
        </row>
        <row r="5257">
          <cell r="K5257" t="str">
            <v>00021235P.11</v>
          </cell>
        </row>
        <row r="5258">
          <cell r="K5258" t="str">
            <v>00021221P.11</v>
          </cell>
        </row>
        <row r="5259">
          <cell r="K5259" t="str">
            <v>00021229P.11</v>
          </cell>
        </row>
        <row r="5260">
          <cell r="K5260" t="str">
            <v>00021210P.11</v>
          </cell>
        </row>
        <row r="5261">
          <cell r="K5261" t="str">
            <v>00021222P.11</v>
          </cell>
        </row>
        <row r="5262">
          <cell r="K5262" t="str">
            <v>00021234P.11</v>
          </cell>
        </row>
        <row r="5263">
          <cell r="K5263" t="str">
            <v>00021226P.11</v>
          </cell>
        </row>
        <row r="5264">
          <cell r="K5264" t="str">
            <v>00021224P.11</v>
          </cell>
        </row>
        <row r="5265">
          <cell r="K5265" t="str">
            <v>00021221P.11</v>
          </cell>
        </row>
        <row r="5266">
          <cell r="K5266" t="str">
            <v>00021226P.11</v>
          </cell>
        </row>
        <row r="5267">
          <cell r="K5267" t="str">
            <v>00021236P.11</v>
          </cell>
        </row>
        <row r="5268">
          <cell r="K5268" t="str">
            <v>00021221P.11</v>
          </cell>
        </row>
        <row r="5269">
          <cell r="K5269" t="str">
            <v>00021231P.11</v>
          </cell>
        </row>
        <row r="5270">
          <cell r="K5270" t="str">
            <v>00021227P.11</v>
          </cell>
        </row>
        <row r="5271">
          <cell r="K5271" t="str">
            <v>00021231P.11</v>
          </cell>
        </row>
        <row r="5272">
          <cell r="K5272" t="str">
            <v>00021222P.11</v>
          </cell>
        </row>
        <row r="5273">
          <cell r="K5273" t="str">
            <v>00021234P.11</v>
          </cell>
        </row>
        <row r="5274">
          <cell r="K5274" t="str">
            <v>00021212P.11</v>
          </cell>
        </row>
        <row r="5275">
          <cell r="K5275" t="str">
            <v>00021235P.11</v>
          </cell>
        </row>
        <row r="5276">
          <cell r="K5276" t="str">
            <v>00021218P.11</v>
          </cell>
        </row>
        <row r="5277">
          <cell r="K5277" t="str">
            <v>00021233P.11</v>
          </cell>
        </row>
        <row r="5278">
          <cell r="K5278" t="str">
            <v>00021218P.11</v>
          </cell>
        </row>
        <row r="5279">
          <cell r="K5279" t="str">
            <v>00021229P.11</v>
          </cell>
        </row>
        <row r="5280">
          <cell r="K5280" t="str">
            <v>00021233P.11</v>
          </cell>
        </row>
        <row r="5281">
          <cell r="K5281" t="str">
            <v>00021233P.11</v>
          </cell>
        </row>
        <row r="5282">
          <cell r="K5282" t="str">
            <v>00021227P.11</v>
          </cell>
        </row>
        <row r="5283">
          <cell r="K5283" t="str">
            <v>00021229P.11</v>
          </cell>
        </row>
        <row r="5284">
          <cell r="K5284" t="str">
            <v>00021231P.11</v>
          </cell>
        </row>
        <row r="5285">
          <cell r="K5285" t="str">
            <v>00021232P.11</v>
          </cell>
        </row>
        <row r="5286">
          <cell r="K5286" t="str">
            <v>00021210P.11</v>
          </cell>
        </row>
        <row r="5287">
          <cell r="K5287" t="str">
            <v>00021230P.11</v>
          </cell>
        </row>
        <row r="5288">
          <cell r="K5288" t="str">
            <v>00021219P.11</v>
          </cell>
        </row>
        <row r="5289">
          <cell r="K5289" t="str">
            <v>00021223P.11</v>
          </cell>
        </row>
        <row r="5290">
          <cell r="K5290" t="str">
            <v>00021229P.11</v>
          </cell>
        </row>
        <row r="5291">
          <cell r="K5291" t="str">
            <v>00021213P.11</v>
          </cell>
        </row>
        <row r="5292">
          <cell r="K5292" t="str">
            <v>00021213P.11</v>
          </cell>
        </row>
        <row r="5293">
          <cell r="K5293" t="str">
            <v>00021213P.11</v>
          </cell>
        </row>
        <row r="5294">
          <cell r="K5294" t="str">
            <v>00021219P.11</v>
          </cell>
        </row>
        <row r="5295">
          <cell r="K5295" t="str">
            <v>00021220P.11</v>
          </cell>
        </row>
        <row r="5296">
          <cell r="K5296" t="str">
            <v>00021229P.11</v>
          </cell>
        </row>
        <row r="5297">
          <cell r="K5297" t="str">
            <v>00021231P.11</v>
          </cell>
        </row>
        <row r="5298">
          <cell r="K5298" t="str">
            <v>00021228P.11</v>
          </cell>
        </row>
        <row r="5299">
          <cell r="K5299" t="str">
            <v>00021223P.11</v>
          </cell>
        </row>
        <row r="5300">
          <cell r="K5300" t="str">
            <v>00021232P.11</v>
          </cell>
        </row>
        <row r="5301">
          <cell r="K5301" t="str">
            <v>00021236P.11</v>
          </cell>
        </row>
        <row r="5302">
          <cell r="K5302" t="str">
            <v>00021212P.11</v>
          </cell>
        </row>
        <row r="5303">
          <cell r="K5303" t="str">
            <v>00021225P.11</v>
          </cell>
        </row>
        <row r="5304">
          <cell r="K5304" t="str">
            <v>00021212P.11</v>
          </cell>
        </row>
        <row r="5305">
          <cell r="K5305" t="str">
            <v>00021210P.11</v>
          </cell>
        </row>
        <row r="5306">
          <cell r="K5306" t="str">
            <v>00021216P.11</v>
          </cell>
        </row>
        <row r="5307">
          <cell r="K5307" t="str">
            <v>00021214P.11</v>
          </cell>
        </row>
        <row r="5308">
          <cell r="K5308" t="str">
            <v>00021228P.11</v>
          </cell>
        </row>
        <row r="5309">
          <cell r="K5309" t="str">
            <v>00021222P.11</v>
          </cell>
        </row>
        <row r="5310">
          <cell r="K5310" t="str">
            <v>00021229P.11</v>
          </cell>
        </row>
        <row r="5311">
          <cell r="K5311" t="str">
            <v>00021227P.11</v>
          </cell>
        </row>
        <row r="5312">
          <cell r="K5312" t="str">
            <v>00021236P.11</v>
          </cell>
        </row>
        <row r="5313">
          <cell r="K5313" t="str">
            <v>00021210P.11</v>
          </cell>
        </row>
        <row r="5314">
          <cell r="K5314" t="str">
            <v>00021216P.11</v>
          </cell>
        </row>
        <row r="5315">
          <cell r="K5315" t="str">
            <v>00021231P.11</v>
          </cell>
        </row>
        <row r="5316">
          <cell r="K5316" t="str">
            <v>00021225P.11</v>
          </cell>
        </row>
        <row r="5317">
          <cell r="K5317" t="str">
            <v>00021236P.11</v>
          </cell>
        </row>
        <row r="5318">
          <cell r="K5318" t="str">
            <v>00021231P.11</v>
          </cell>
        </row>
        <row r="5319">
          <cell r="K5319" t="str">
            <v>00021212P.11</v>
          </cell>
        </row>
        <row r="5320">
          <cell r="K5320" t="str">
            <v>00021219P.11</v>
          </cell>
        </row>
        <row r="5321">
          <cell r="K5321" t="str">
            <v>00021222P.11</v>
          </cell>
        </row>
        <row r="5322">
          <cell r="K5322" t="str">
            <v>00021221P.11</v>
          </cell>
        </row>
        <row r="5323">
          <cell r="K5323" t="str">
            <v>00021231P.11</v>
          </cell>
        </row>
        <row r="5324">
          <cell r="K5324" t="str">
            <v>00021235P.11</v>
          </cell>
        </row>
        <row r="5325">
          <cell r="K5325" t="str">
            <v>00021221P.11</v>
          </cell>
        </row>
        <row r="5326">
          <cell r="K5326" t="str">
            <v>00021223P.11</v>
          </cell>
        </row>
        <row r="5327">
          <cell r="K5327" t="str">
            <v>00021224P.11</v>
          </cell>
        </row>
        <row r="5328">
          <cell r="K5328" t="str">
            <v>00021221P.11</v>
          </cell>
        </row>
        <row r="5329">
          <cell r="K5329" t="str">
            <v>00021221P.11</v>
          </cell>
        </row>
        <row r="5330">
          <cell r="K5330" t="str">
            <v>00021233P.11</v>
          </cell>
        </row>
        <row r="5331">
          <cell r="K5331" t="str">
            <v>00021231P.11</v>
          </cell>
        </row>
        <row r="5332">
          <cell r="K5332" t="str">
            <v>00021236P.11</v>
          </cell>
        </row>
        <row r="5333">
          <cell r="K5333" t="str">
            <v>00021213P.11</v>
          </cell>
        </row>
        <row r="5334">
          <cell r="K5334" t="str">
            <v>00021236P.11</v>
          </cell>
        </row>
        <row r="5335">
          <cell r="K5335" t="str">
            <v>00021229P.11</v>
          </cell>
        </row>
        <row r="5336">
          <cell r="K5336" t="str">
            <v>00021232P.11</v>
          </cell>
        </row>
        <row r="5337">
          <cell r="K5337" t="str">
            <v>00021229P.11</v>
          </cell>
        </row>
        <row r="5338">
          <cell r="K5338" t="str">
            <v>00021234P.11</v>
          </cell>
        </row>
        <row r="5339">
          <cell r="K5339" t="str">
            <v>00021229P.11</v>
          </cell>
        </row>
        <row r="5340">
          <cell r="K5340" t="str">
            <v>00021221P.11</v>
          </cell>
        </row>
        <row r="5341">
          <cell r="K5341" t="str">
            <v>00021229P.11</v>
          </cell>
        </row>
        <row r="5342">
          <cell r="K5342" t="str">
            <v>00021231P.11</v>
          </cell>
        </row>
        <row r="5343">
          <cell r="K5343" t="str">
            <v>00021229P.11</v>
          </cell>
        </row>
        <row r="5344">
          <cell r="K5344" t="str">
            <v>00021212P.11</v>
          </cell>
        </row>
        <row r="5345">
          <cell r="K5345" t="str">
            <v>00021231P.11</v>
          </cell>
        </row>
        <row r="5346">
          <cell r="K5346" t="str">
            <v>00021232P.11</v>
          </cell>
        </row>
        <row r="5347">
          <cell r="K5347" t="str">
            <v>00021228P.11</v>
          </cell>
        </row>
        <row r="5348">
          <cell r="K5348" t="str">
            <v>00021228P.11</v>
          </cell>
        </row>
        <row r="5349">
          <cell r="K5349" t="str">
            <v>00021222P.11</v>
          </cell>
        </row>
        <row r="5350">
          <cell r="K5350" t="str">
            <v>00021233P.11</v>
          </cell>
        </row>
        <row r="5351">
          <cell r="K5351" t="str">
            <v>00021229P.11</v>
          </cell>
        </row>
        <row r="5352">
          <cell r="K5352" t="str">
            <v>00021210P.11</v>
          </cell>
        </row>
        <row r="5353">
          <cell r="K5353" t="str">
            <v>00021231P.11</v>
          </cell>
        </row>
        <row r="5354">
          <cell r="K5354" t="str">
            <v>00021233P.11</v>
          </cell>
        </row>
        <row r="5355">
          <cell r="K5355" t="str">
            <v>00021233P.11</v>
          </cell>
        </row>
        <row r="5356">
          <cell r="K5356" t="str">
            <v>00021235P.11</v>
          </cell>
        </row>
        <row r="5357">
          <cell r="K5357" t="str">
            <v>00021220P.11</v>
          </cell>
        </row>
        <row r="5358">
          <cell r="K5358" t="str">
            <v>00021225P.11</v>
          </cell>
        </row>
        <row r="5359">
          <cell r="K5359" t="str">
            <v>00021231P.11</v>
          </cell>
        </row>
        <row r="5360">
          <cell r="K5360" t="str">
            <v>00021233P.11</v>
          </cell>
        </row>
        <row r="5361">
          <cell r="K5361" t="str">
            <v>00021225P.11</v>
          </cell>
        </row>
        <row r="5362">
          <cell r="K5362" t="str">
            <v>00021228P.11</v>
          </cell>
        </row>
        <row r="5363">
          <cell r="K5363" t="str">
            <v>00021229P.11</v>
          </cell>
        </row>
        <row r="5364">
          <cell r="K5364" t="str">
            <v>00021230P.11</v>
          </cell>
        </row>
        <row r="5365">
          <cell r="K5365" t="str">
            <v>00021225P.11</v>
          </cell>
        </row>
        <row r="5366">
          <cell r="K5366" t="str">
            <v>00021234P.11</v>
          </cell>
        </row>
        <row r="5367">
          <cell r="K5367" t="str">
            <v>00021229P.11</v>
          </cell>
        </row>
        <row r="5368">
          <cell r="K5368" t="str">
            <v>00021234P.11</v>
          </cell>
        </row>
        <row r="5369">
          <cell r="K5369" t="str">
            <v>00021226P.11</v>
          </cell>
        </row>
        <row r="5370">
          <cell r="K5370" t="str">
            <v>00021227P.11</v>
          </cell>
        </row>
        <row r="5371">
          <cell r="K5371" t="str">
            <v>00021211P.11</v>
          </cell>
        </row>
        <row r="5372">
          <cell r="K5372" t="str">
            <v>00021216P.11</v>
          </cell>
        </row>
        <row r="5373">
          <cell r="K5373" t="str">
            <v>00021223P.11</v>
          </cell>
        </row>
        <row r="5374">
          <cell r="K5374" t="str">
            <v>00021230P.11</v>
          </cell>
        </row>
        <row r="5375">
          <cell r="K5375" t="str">
            <v>00021235P.11</v>
          </cell>
        </row>
        <row r="5376">
          <cell r="K5376" t="str">
            <v>00021231P.11</v>
          </cell>
        </row>
        <row r="5377">
          <cell r="K5377" t="str">
            <v>00021232P.11</v>
          </cell>
        </row>
        <row r="5378">
          <cell r="K5378" t="str">
            <v>00021230P.11</v>
          </cell>
        </row>
        <row r="5379">
          <cell r="K5379" t="str">
            <v>00021220P.11</v>
          </cell>
        </row>
        <row r="5380">
          <cell r="K5380" t="str">
            <v>00021236P.11</v>
          </cell>
        </row>
        <row r="5381">
          <cell r="K5381" t="str">
            <v>00021213P.11</v>
          </cell>
        </row>
        <row r="5382">
          <cell r="K5382" t="str">
            <v>00021223P.11</v>
          </cell>
        </row>
        <row r="5383">
          <cell r="K5383" t="str">
            <v>00021218P.11</v>
          </cell>
        </row>
        <row r="5384">
          <cell r="K5384" t="str">
            <v>00021226P.11</v>
          </cell>
        </row>
        <row r="5385">
          <cell r="K5385" t="str">
            <v>00021233P.11</v>
          </cell>
        </row>
        <row r="5386">
          <cell r="K5386" t="str">
            <v>00021228P.11</v>
          </cell>
        </row>
        <row r="5387">
          <cell r="K5387" t="str">
            <v>00021218P.11</v>
          </cell>
        </row>
        <row r="5388">
          <cell r="K5388" t="str">
            <v>00021228P.11</v>
          </cell>
        </row>
        <row r="5389">
          <cell r="K5389" t="str">
            <v>00021231P.11</v>
          </cell>
        </row>
        <row r="5390">
          <cell r="K5390" t="str">
            <v>00021231P.11</v>
          </cell>
        </row>
        <row r="5391">
          <cell r="K5391" t="str">
            <v>00021220P.11</v>
          </cell>
        </row>
        <row r="5392">
          <cell r="K5392" t="str">
            <v>00021217P.11</v>
          </cell>
        </row>
        <row r="5393">
          <cell r="K5393" t="str">
            <v>00021234P.11</v>
          </cell>
        </row>
        <row r="5394">
          <cell r="K5394" t="str">
            <v>00021229P.11</v>
          </cell>
        </row>
        <row r="5395">
          <cell r="K5395" t="str">
            <v>00021235P.11</v>
          </cell>
        </row>
        <row r="5396">
          <cell r="K5396" t="str">
            <v>00021231P.11</v>
          </cell>
        </row>
        <row r="5397">
          <cell r="K5397" t="str">
            <v>00021213P.11</v>
          </cell>
        </row>
        <row r="5398">
          <cell r="K5398" t="str">
            <v>00021231P.11</v>
          </cell>
        </row>
        <row r="5399">
          <cell r="K5399" t="str">
            <v>00021226P.11</v>
          </cell>
        </row>
        <row r="5400">
          <cell r="K5400" t="str">
            <v>00021232P.11</v>
          </cell>
        </row>
        <row r="5401">
          <cell r="K5401" t="str">
            <v>00021229P.11</v>
          </cell>
        </row>
        <row r="5402">
          <cell r="K5402" t="str">
            <v>00021210P.11</v>
          </cell>
        </row>
        <row r="5403">
          <cell r="K5403" t="str">
            <v>00021223P.11</v>
          </cell>
        </row>
        <row r="5404">
          <cell r="K5404" t="str">
            <v>00021232P.11</v>
          </cell>
        </row>
        <row r="5405">
          <cell r="K5405" t="str">
            <v>00021231P.11</v>
          </cell>
        </row>
        <row r="5406">
          <cell r="K5406" t="str">
            <v>00021222P.11</v>
          </cell>
        </row>
        <row r="5407">
          <cell r="K5407" t="str">
            <v>00021224P.11</v>
          </cell>
        </row>
        <row r="5408">
          <cell r="K5408" t="str">
            <v>00021231P.11</v>
          </cell>
        </row>
        <row r="5409">
          <cell r="K5409" t="str">
            <v>00021229P.11</v>
          </cell>
        </row>
        <row r="5410">
          <cell r="K5410" t="str">
            <v>00021221P.11</v>
          </cell>
        </row>
        <row r="5411">
          <cell r="K5411" t="str">
            <v>00021225P.11</v>
          </cell>
        </row>
        <row r="5412">
          <cell r="K5412" t="str">
            <v>00021218P.11</v>
          </cell>
        </row>
        <row r="5413">
          <cell r="K5413" t="str">
            <v>00021217P.11</v>
          </cell>
        </row>
        <row r="5414">
          <cell r="K5414" t="str">
            <v>00021215P.11</v>
          </cell>
        </row>
        <row r="5415">
          <cell r="K5415" t="str">
            <v>00021212P.11</v>
          </cell>
        </row>
        <row r="5416">
          <cell r="K5416" t="str">
            <v>00021232P.11</v>
          </cell>
        </row>
        <row r="5417">
          <cell r="K5417" t="str">
            <v>00021222P.11</v>
          </cell>
        </row>
        <row r="5418">
          <cell r="K5418" t="str">
            <v>00021229P.11</v>
          </cell>
        </row>
        <row r="5419">
          <cell r="K5419" t="str">
            <v>00021229P.11</v>
          </cell>
        </row>
        <row r="5420">
          <cell r="K5420" t="str">
            <v>00021232P.11</v>
          </cell>
        </row>
        <row r="5421">
          <cell r="K5421" t="str">
            <v>00021232P.11</v>
          </cell>
        </row>
        <row r="5422">
          <cell r="K5422" t="str">
            <v>00021231P.11</v>
          </cell>
        </row>
        <row r="5423">
          <cell r="K5423" t="str">
            <v>00021232P.11</v>
          </cell>
        </row>
        <row r="5424">
          <cell r="K5424" t="str">
            <v>00021228P.11</v>
          </cell>
        </row>
        <row r="5425">
          <cell r="K5425" t="str">
            <v>00021217P.11</v>
          </cell>
        </row>
        <row r="5426">
          <cell r="K5426" t="str">
            <v>00021226P.11</v>
          </cell>
        </row>
        <row r="5427">
          <cell r="K5427" t="str">
            <v>00021225P.11</v>
          </cell>
        </row>
        <row r="5428">
          <cell r="K5428" t="str">
            <v>00021224P.11</v>
          </cell>
        </row>
        <row r="5429">
          <cell r="K5429" t="str">
            <v>00021232P.11</v>
          </cell>
        </row>
        <row r="5430">
          <cell r="K5430" t="str">
            <v>00021226P.11</v>
          </cell>
        </row>
        <row r="5431">
          <cell r="K5431" t="str">
            <v>00021212P.11</v>
          </cell>
        </row>
        <row r="5432">
          <cell r="K5432" t="str">
            <v>00021213P.11</v>
          </cell>
        </row>
        <row r="5433">
          <cell r="K5433" t="str">
            <v>00021210P.11</v>
          </cell>
        </row>
        <row r="5434">
          <cell r="K5434" t="str">
            <v>00021229P.11</v>
          </cell>
        </row>
        <row r="5435">
          <cell r="K5435" t="str">
            <v>00021234P.11</v>
          </cell>
        </row>
        <row r="5436">
          <cell r="K5436" t="str">
            <v>00021220P.11</v>
          </cell>
        </row>
        <row r="5437">
          <cell r="K5437" t="str">
            <v>00021214P.11</v>
          </cell>
        </row>
        <row r="5438">
          <cell r="K5438" t="str">
            <v>00021231P.11</v>
          </cell>
        </row>
        <row r="5439">
          <cell r="K5439" t="str">
            <v>00021231P.11</v>
          </cell>
        </row>
        <row r="5440">
          <cell r="K5440" t="str">
            <v>00021217P.11</v>
          </cell>
        </row>
        <row r="5441">
          <cell r="K5441" t="str">
            <v>00021232P.11</v>
          </cell>
        </row>
        <row r="5442">
          <cell r="K5442" t="str">
            <v>00021225P.11</v>
          </cell>
        </row>
        <row r="5443">
          <cell r="K5443" t="str">
            <v>00021212P.11</v>
          </cell>
        </row>
        <row r="5444">
          <cell r="K5444" t="str">
            <v>00021224P.11</v>
          </cell>
        </row>
        <row r="5445">
          <cell r="K5445" t="str">
            <v>00021229P.11</v>
          </cell>
        </row>
        <row r="5446">
          <cell r="K5446" t="str">
            <v>00021230P.11</v>
          </cell>
        </row>
        <row r="5447">
          <cell r="K5447" t="str">
            <v>00021222P.11</v>
          </cell>
        </row>
        <row r="5448">
          <cell r="K5448" t="str">
            <v>00021222P.11</v>
          </cell>
        </row>
        <row r="5449">
          <cell r="K5449" t="str">
            <v>00021220P.11</v>
          </cell>
        </row>
        <row r="5450">
          <cell r="K5450" t="str">
            <v>00021212P.11</v>
          </cell>
        </row>
        <row r="5451">
          <cell r="K5451" t="str">
            <v>00021210P.11</v>
          </cell>
        </row>
        <row r="5452">
          <cell r="K5452" t="str">
            <v>00021215P.11</v>
          </cell>
        </row>
        <row r="5453">
          <cell r="K5453" t="str">
            <v>00021212P.11</v>
          </cell>
        </row>
        <row r="5454">
          <cell r="K5454" t="str">
            <v>00021227P.11</v>
          </cell>
        </row>
        <row r="5455">
          <cell r="K5455" t="str">
            <v>00021227P.11</v>
          </cell>
        </row>
        <row r="5456">
          <cell r="K5456" t="str">
            <v>00021228P.11</v>
          </cell>
        </row>
        <row r="5457">
          <cell r="K5457" t="str">
            <v>00021220P.11</v>
          </cell>
        </row>
        <row r="5458">
          <cell r="K5458" t="str">
            <v>00021213P.11</v>
          </cell>
        </row>
        <row r="5459">
          <cell r="K5459" t="str">
            <v>00021210P.11</v>
          </cell>
        </row>
        <row r="5460">
          <cell r="K5460" t="str">
            <v>00021228P.11</v>
          </cell>
        </row>
        <row r="5461">
          <cell r="K5461" t="str">
            <v>00021212P.11</v>
          </cell>
        </row>
        <row r="5462">
          <cell r="K5462" t="str">
            <v>00021231P.11</v>
          </cell>
        </row>
        <row r="5463">
          <cell r="K5463" t="str">
            <v>00021236P.11</v>
          </cell>
        </row>
        <row r="5464">
          <cell r="K5464" t="str">
            <v>00021231P.11</v>
          </cell>
        </row>
        <row r="5465">
          <cell r="K5465" t="str">
            <v>00021234P.11</v>
          </cell>
        </row>
        <row r="5466">
          <cell r="K5466" t="str">
            <v>00021229P.11</v>
          </cell>
        </row>
        <row r="5467">
          <cell r="K5467" t="str">
            <v>00021230P.11</v>
          </cell>
        </row>
        <row r="5468">
          <cell r="K5468" t="str">
            <v>00021234P.11</v>
          </cell>
        </row>
        <row r="5469">
          <cell r="K5469" t="str">
            <v>00021228P.11</v>
          </cell>
        </row>
        <row r="5470">
          <cell r="K5470" t="str">
            <v>00021208P.11</v>
          </cell>
        </row>
        <row r="5471">
          <cell r="K5471" t="str">
            <v>00021208P.11</v>
          </cell>
        </row>
        <row r="5472">
          <cell r="K5472" t="str">
            <v>00021212P.11</v>
          </cell>
        </row>
        <row r="5473">
          <cell r="K5473" t="str">
            <v>00021212P.11</v>
          </cell>
        </row>
        <row r="5474">
          <cell r="K5474" t="str">
            <v>00021212P.11</v>
          </cell>
        </row>
        <row r="5475">
          <cell r="K5475" t="str">
            <v>00021212P.11</v>
          </cell>
        </row>
        <row r="5476">
          <cell r="K5476" t="str">
            <v>00021213P.11</v>
          </cell>
        </row>
        <row r="5477">
          <cell r="K5477" t="str">
            <v>00021213P.11</v>
          </cell>
        </row>
        <row r="5478">
          <cell r="K5478" t="str">
            <v>00021213P.11</v>
          </cell>
        </row>
        <row r="5479">
          <cell r="K5479" t="str">
            <v>00021214P.11</v>
          </cell>
        </row>
        <row r="5480">
          <cell r="K5480" t="str">
            <v>00021222P.11</v>
          </cell>
        </row>
        <row r="5481">
          <cell r="K5481" t="str">
            <v>00021222P.11</v>
          </cell>
        </row>
        <row r="5482">
          <cell r="K5482" t="str">
            <v>00021222P.11</v>
          </cell>
        </row>
        <row r="5483">
          <cell r="K5483" t="str">
            <v>00021222P.11</v>
          </cell>
        </row>
        <row r="5484">
          <cell r="K5484" t="str">
            <v>00021223P.11</v>
          </cell>
        </row>
        <row r="5485">
          <cell r="K5485" t="str">
            <v>00021224P.11</v>
          </cell>
        </row>
        <row r="5486">
          <cell r="K5486" t="str">
            <v>00021226P.11</v>
          </cell>
        </row>
        <row r="5487">
          <cell r="K5487" t="str">
            <v>00021226P.11</v>
          </cell>
        </row>
        <row r="5488">
          <cell r="K5488" t="str">
            <v>00021226P.11</v>
          </cell>
        </row>
        <row r="5489">
          <cell r="K5489" t="str">
            <v>00021228P.11</v>
          </cell>
        </row>
        <row r="5490">
          <cell r="K5490" t="str">
            <v>00021228P.11</v>
          </cell>
        </row>
        <row r="5491">
          <cell r="K5491" t="str">
            <v>00021228P.11</v>
          </cell>
        </row>
        <row r="5492">
          <cell r="K5492" t="str">
            <v>00021228P.11</v>
          </cell>
        </row>
        <row r="5493">
          <cell r="K5493" t="str">
            <v>00021233P.11</v>
          </cell>
        </row>
        <row r="5494">
          <cell r="K5494" t="str">
            <v>00021211P.11</v>
          </cell>
        </row>
        <row r="5495">
          <cell r="K5495" t="str">
            <v>00021211P.11</v>
          </cell>
        </row>
        <row r="5496">
          <cell r="K5496" t="str">
            <v>00021215P.11</v>
          </cell>
        </row>
        <row r="5497">
          <cell r="K5497" t="str">
            <v>00021215P.11</v>
          </cell>
        </row>
        <row r="5498">
          <cell r="K5498" t="str">
            <v>00021216P.11</v>
          </cell>
        </row>
        <row r="5499">
          <cell r="K5499" t="str">
            <v>00021217P.11</v>
          </cell>
        </row>
        <row r="5500">
          <cell r="K5500" t="str">
            <v>00021217P.11</v>
          </cell>
        </row>
        <row r="5501">
          <cell r="K5501" t="str">
            <v>00021220P.11</v>
          </cell>
        </row>
        <row r="5502">
          <cell r="K5502" t="str">
            <v>00021220P.11</v>
          </cell>
        </row>
        <row r="5503">
          <cell r="K5503" t="str">
            <v>00021222P.11</v>
          </cell>
        </row>
        <row r="5504">
          <cell r="K5504" t="str">
            <v>00021222P.11</v>
          </cell>
        </row>
        <row r="5505">
          <cell r="K5505" t="str">
            <v>00021222P.11</v>
          </cell>
        </row>
        <row r="5506">
          <cell r="K5506" t="str">
            <v>00021222P.11</v>
          </cell>
        </row>
        <row r="5507">
          <cell r="K5507" t="str">
            <v>00021222P.11</v>
          </cell>
        </row>
        <row r="5508">
          <cell r="K5508" t="str">
            <v>00021225P.11</v>
          </cell>
        </row>
        <row r="5509">
          <cell r="K5509" t="str">
            <v>00021225P.11</v>
          </cell>
        </row>
        <row r="5510">
          <cell r="K5510" t="str">
            <v>00021226P.11</v>
          </cell>
        </row>
        <row r="5511">
          <cell r="K5511" t="str">
            <v>00021228P.11</v>
          </cell>
        </row>
        <row r="5512">
          <cell r="K5512" t="str">
            <v>00021228P.11</v>
          </cell>
        </row>
        <row r="5513">
          <cell r="K5513" t="str">
            <v>00021228P.11</v>
          </cell>
        </row>
        <row r="5514">
          <cell r="K5514" t="str">
            <v>00021228P.11</v>
          </cell>
        </row>
        <row r="5515">
          <cell r="K5515" t="str">
            <v>00021228P.11</v>
          </cell>
        </row>
        <row r="5516">
          <cell r="K5516" t="str">
            <v>00021228P.11</v>
          </cell>
        </row>
        <row r="5517">
          <cell r="K5517" t="str">
            <v>00021228P.11</v>
          </cell>
        </row>
        <row r="5518">
          <cell r="K5518" t="str">
            <v>00021228P.11</v>
          </cell>
        </row>
        <row r="5519">
          <cell r="K5519" t="str">
            <v>00021228P.11</v>
          </cell>
        </row>
        <row r="5520">
          <cell r="K5520" t="str">
            <v>00021228P.11</v>
          </cell>
        </row>
        <row r="5521">
          <cell r="K5521" t="str">
            <v>00021228P.11</v>
          </cell>
        </row>
        <row r="5522">
          <cell r="K5522" t="str">
            <v>00021228P.11</v>
          </cell>
        </row>
        <row r="5523">
          <cell r="K5523" t="str">
            <v>00021229P.11</v>
          </cell>
        </row>
        <row r="5524">
          <cell r="K5524" t="str">
            <v>00021229P.11</v>
          </cell>
        </row>
        <row r="5525">
          <cell r="K5525" t="str">
            <v>00021231P.11</v>
          </cell>
        </row>
        <row r="5526">
          <cell r="K5526" t="str">
            <v>00021231P.11</v>
          </cell>
        </row>
        <row r="5527">
          <cell r="K5527" t="str">
            <v>00021231P.11</v>
          </cell>
        </row>
        <row r="5528">
          <cell r="K5528" t="str">
            <v>00021231P.11</v>
          </cell>
        </row>
        <row r="5529">
          <cell r="K5529" t="str">
            <v>00021231P.11</v>
          </cell>
        </row>
        <row r="5530">
          <cell r="K5530" t="str">
            <v>00021231P.11</v>
          </cell>
        </row>
        <row r="5531">
          <cell r="K5531" t="str">
            <v>00021235P.11</v>
          </cell>
        </row>
        <row r="5532">
          <cell r="K5532" t="str">
            <v>00021235P.11</v>
          </cell>
        </row>
        <row r="5533">
          <cell r="K5533" t="str">
            <v>00021210P.11</v>
          </cell>
        </row>
        <row r="5534">
          <cell r="K5534" t="str">
            <v>00021210P.11</v>
          </cell>
        </row>
        <row r="5535">
          <cell r="K5535" t="str">
            <v>00021210P.11</v>
          </cell>
        </row>
        <row r="5536">
          <cell r="K5536" t="str">
            <v>00021210P.11</v>
          </cell>
        </row>
        <row r="5537">
          <cell r="K5537" t="str">
            <v>00021210P.11</v>
          </cell>
        </row>
        <row r="5538">
          <cell r="K5538" t="str">
            <v>00021211P.11</v>
          </cell>
        </row>
        <row r="5539">
          <cell r="K5539" t="str">
            <v>00021211P.11</v>
          </cell>
        </row>
        <row r="5540">
          <cell r="K5540" t="str">
            <v>00021212P.11</v>
          </cell>
        </row>
        <row r="5541">
          <cell r="K5541" t="str">
            <v>00021212P.11</v>
          </cell>
        </row>
        <row r="5542">
          <cell r="K5542" t="str">
            <v>00021212P.11</v>
          </cell>
        </row>
        <row r="5543">
          <cell r="K5543" t="str">
            <v>00021212P.11</v>
          </cell>
        </row>
        <row r="5544">
          <cell r="K5544" t="str">
            <v>00021213P.11</v>
          </cell>
        </row>
        <row r="5545">
          <cell r="K5545" t="str">
            <v>00021213P.11</v>
          </cell>
        </row>
        <row r="5546">
          <cell r="K5546" t="str">
            <v>00021213P.11</v>
          </cell>
        </row>
        <row r="5547">
          <cell r="K5547" t="str">
            <v>00021214P.11</v>
          </cell>
        </row>
        <row r="5548">
          <cell r="K5548" t="str">
            <v>00021216P.11</v>
          </cell>
        </row>
        <row r="5549">
          <cell r="K5549" t="str">
            <v>00021217P.11</v>
          </cell>
        </row>
        <row r="5550">
          <cell r="K5550" t="str">
            <v>00021217P.11</v>
          </cell>
        </row>
        <row r="5551">
          <cell r="K5551" t="str">
            <v>00021217P.11</v>
          </cell>
        </row>
        <row r="5552">
          <cell r="K5552" t="str">
            <v>00021217P.11</v>
          </cell>
        </row>
        <row r="5553">
          <cell r="K5553" t="str">
            <v>00021218P.11</v>
          </cell>
        </row>
        <row r="5554">
          <cell r="K5554" t="str">
            <v>00021220P.11</v>
          </cell>
        </row>
        <row r="5555">
          <cell r="K5555" t="str">
            <v>00021220P.11</v>
          </cell>
        </row>
        <row r="5556">
          <cell r="K5556" t="str">
            <v>00021221P.11</v>
          </cell>
        </row>
        <row r="5557">
          <cell r="K5557" t="str">
            <v>00021221P.11</v>
          </cell>
        </row>
        <row r="5558">
          <cell r="K5558" t="str">
            <v>00021222P.11</v>
          </cell>
        </row>
        <row r="5559">
          <cell r="K5559" t="str">
            <v>00021222P.11</v>
          </cell>
        </row>
        <row r="5560">
          <cell r="K5560" t="str">
            <v>00021222P.11</v>
          </cell>
        </row>
        <row r="5561">
          <cell r="K5561" t="str">
            <v>00021223P.11</v>
          </cell>
        </row>
        <row r="5562">
          <cell r="K5562" t="str">
            <v>00021223P.11</v>
          </cell>
        </row>
        <row r="5563">
          <cell r="K5563" t="str">
            <v>00021223P.11</v>
          </cell>
        </row>
        <row r="5564">
          <cell r="K5564" t="str">
            <v>00021223P.11</v>
          </cell>
        </row>
        <row r="5565">
          <cell r="K5565" t="str">
            <v>00021223P.11</v>
          </cell>
        </row>
        <row r="5566">
          <cell r="K5566" t="str">
            <v>00021223P.11</v>
          </cell>
        </row>
        <row r="5567">
          <cell r="K5567" t="str">
            <v>00021224P.11</v>
          </cell>
        </row>
        <row r="5568">
          <cell r="K5568" t="str">
            <v>00021224P.11</v>
          </cell>
        </row>
        <row r="5569">
          <cell r="K5569" t="str">
            <v>00021224P.11</v>
          </cell>
        </row>
        <row r="5570">
          <cell r="K5570" t="str">
            <v>00021224P.11</v>
          </cell>
        </row>
        <row r="5571">
          <cell r="K5571" t="str">
            <v>00021225P.11</v>
          </cell>
        </row>
        <row r="5572">
          <cell r="K5572" t="str">
            <v>00021225P.11</v>
          </cell>
        </row>
        <row r="5573">
          <cell r="K5573" t="str">
            <v>00021225P.11</v>
          </cell>
        </row>
        <row r="5574">
          <cell r="K5574" t="str">
            <v>00021226P.11</v>
          </cell>
        </row>
        <row r="5575">
          <cell r="K5575" t="str">
            <v>00021226P.11</v>
          </cell>
        </row>
        <row r="5576">
          <cell r="K5576" t="str">
            <v>00021226P.11</v>
          </cell>
        </row>
        <row r="5577">
          <cell r="K5577" t="str">
            <v>00021227P.11</v>
          </cell>
        </row>
        <row r="5578">
          <cell r="K5578" t="str">
            <v>00021228P.11</v>
          </cell>
        </row>
        <row r="5579">
          <cell r="K5579" t="str">
            <v>00021228P.11</v>
          </cell>
        </row>
        <row r="5580">
          <cell r="K5580" t="str">
            <v>00021228P.11</v>
          </cell>
        </row>
        <row r="5581">
          <cell r="K5581" t="str">
            <v>00021228P.11</v>
          </cell>
        </row>
        <row r="5582">
          <cell r="K5582" t="str">
            <v>00021228P.11</v>
          </cell>
        </row>
        <row r="5583">
          <cell r="K5583" t="str">
            <v>00021228P.11</v>
          </cell>
        </row>
        <row r="5584">
          <cell r="K5584" t="str">
            <v>00021228P.11</v>
          </cell>
        </row>
        <row r="5585">
          <cell r="K5585" t="str">
            <v>00021228P.11</v>
          </cell>
        </row>
        <row r="5586">
          <cell r="K5586" t="str">
            <v>00021228P.11</v>
          </cell>
        </row>
        <row r="5587">
          <cell r="K5587" t="str">
            <v>00021229P.11</v>
          </cell>
        </row>
        <row r="5588">
          <cell r="K5588" t="str">
            <v>00021229P.11</v>
          </cell>
        </row>
        <row r="5589">
          <cell r="K5589" t="str">
            <v>00021229P.11</v>
          </cell>
        </row>
        <row r="5590">
          <cell r="K5590" t="str">
            <v>00021229P.11</v>
          </cell>
        </row>
        <row r="5591">
          <cell r="K5591" t="str">
            <v>00021230P.11</v>
          </cell>
        </row>
        <row r="5592">
          <cell r="K5592" t="str">
            <v>00021231P.11</v>
          </cell>
        </row>
        <row r="5593">
          <cell r="K5593" t="str">
            <v>00021231P.11</v>
          </cell>
        </row>
        <row r="5594">
          <cell r="K5594" t="str">
            <v>00021231P.11</v>
          </cell>
        </row>
        <row r="5595">
          <cell r="K5595" t="str">
            <v>00021232P.11</v>
          </cell>
        </row>
        <row r="5596">
          <cell r="K5596" t="str">
            <v>00021232P.11</v>
          </cell>
        </row>
        <row r="5597">
          <cell r="K5597" t="str">
            <v>00021232P.11</v>
          </cell>
        </row>
        <row r="5598">
          <cell r="K5598" t="str">
            <v>00021232P.11</v>
          </cell>
        </row>
        <row r="5599">
          <cell r="K5599" t="str">
            <v>00021232P.11</v>
          </cell>
        </row>
        <row r="5600">
          <cell r="K5600" t="str">
            <v>00021232P.11</v>
          </cell>
        </row>
        <row r="5601">
          <cell r="K5601" t="str">
            <v>00021233P.11</v>
          </cell>
        </row>
        <row r="5602">
          <cell r="K5602" t="str">
            <v>00021233P.11</v>
          </cell>
        </row>
        <row r="5603">
          <cell r="K5603" t="str">
            <v>00021233P.11</v>
          </cell>
        </row>
        <row r="5604">
          <cell r="K5604" t="str">
            <v>00021233P.11</v>
          </cell>
        </row>
        <row r="5605">
          <cell r="K5605" t="str">
            <v>00021233P.11</v>
          </cell>
        </row>
        <row r="5606">
          <cell r="K5606" t="str">
            <v>00021233P.11</v>
          </cell>
        </row>
        <row r="5607">
          <cell r="K5607" t="str">
            <v>00021233P.11</v>
          </cell>
        </row>
        <row r="5608">
          <cell r="K5608" t="str">
            <v>00021233P.11</v>
          </cell>
        </row>
        <row r="5609">
          <cell r="K5609" t="str">
            <v>00021233P.11</v>
          </cell>
        </row>
        <row r="5610">
          <cell r="K5610" t="str">
            <v>00021233P.11</v>
          </cell>
        </row>
        <row r="5611">
          <cell r="K5611" t="str">
            <v>00021234P.11</v>
          </cell>
        </row>
        <row r="5612">
          <cell r="K5612" t="str">
            <v>00021234P.11</v>
          </cell>
        </row>
        <row r="5613">
          <cell r="K5613" t="str">
            <v>00021234P.11</v>
          </cell>
        </row>
        <row r="5614">
          <cell r="K5614" t="str">
            <v>00021234P.11</v>
          </cell>
        </row>
        <row r="5615">
          <cell r="K5615" t="str">
            <v>00021234P.11</v>
          </cell>
        </row>
        <row r="5616">
          <cell r="K5616" t="str">
            <v>00021235P.11</v>
          </cell>
        </row>
        <row r="5617">
          <cell r="K5617" t="str">
            <v>00021235P.11</v>
          </cell>
        </row>
        <row r="5618">
          <cell r="K5618" t="str">
            <v>00021235P.11</v>
          </cell>
        </row>
        <row r="5619">
          <cell r="K5619" t="str">
            <v>00021235P.11</v>
          </cell>
        </row>
        <row r="5620">
          <cell r="K5620" t="str">
            <v>00021235P.11</v>
          </cell>
        </row>
        <row r="5621">
          <cell r="K5621" t="str">
            <v>00021235P.11</v>
          </cell>
        </row>
        <row r="5622">
          <cell r="K5622" t="str">
            <v>00021235P.11</v>
          </cell>
        </row>
        <row r="5623">
          <cell r="K5623" t="str">
            <v>00021236P.11</v>
          </cell>
        </row>
        <row r="5624">
          <cell r="K5624" t="str">
            <v>00021236P.11</v>
          </cell>
        </row>
        <row r="5625">
          <cell r="K5625" t="str">
            <v>00021236P.11</v>
          </cell>
        </row>
        <row r="5626">
          <cell r="K5626" t="str">
            <v>00021236P.11</v>
          </cell>
        </row>
        <row r="5627">
          <cell r="K5627" t="str">
            <v>00021236P.11</v>
          </cell>
        </row>
        <row r="5628">
          <cell r="K5628" t="str">
            <v>00021236P.11</v>
          </cell>
        </row>
        <row r="5629">
          <cell r="K5629" t="str">
            <v>00021236P.11</v>
          </cell>
        </row>
        <row r="5630">
          <cell r="K5630" t="str">
            <v>00021253P.11</v>
          </cell>
        </row>
        <row r="5631">
          <cell r="K5631" t="str">
            <v>00021253P.11</v>
          </cell>
        </row>
        <row r="5632">
          <cell r="K5632" t="str">
            <v>00021242P.11</v>
          </cell>
        </row>
        <row r="5633">
          <cell r="K5633" t="str">
            <v>00021242P.11</v>
          </cell>
        </row>
        <row r="5634">
          <cell r="K5634" t="str">
            <v>00021242P.11</v>
          </cell>
        </row>
        <row r="5635">
          <cell r="K5635" t="str">
            <v>00021241P.11</v>
          </cell>
        </row>
        <row r="5636">
          <cell r="K5636" t="str">
            <v>00021206P.11</v>
          </cell>
        </row>
        <row r="5637">
          <cell r="K5637" t="str">
            <v>00021206P.11</v>
          </cell>
        </row>
        <row r="5638">
          <cell r="K5638" t="str">
            <v>00021206P.11</v>
          </cell>
        </row>
        <row r="5639">
          <cell r="K5639" t="str">
            <v>00021206P.11</v>
          </cell>
        </row>
        <row r="5640">
          <cell r="K5640" t="str">
            <v>00021207P.11</v>
          </cell>
        </row>
        <row r="5641">
          <cell r="K5641" t="str">
            <v>00021214P.11</v>
          </cell>
        </row>
        <row r="5642">
          <cell r="K5642" t="str">
            <v>00021228P.11</v>
          </cell>
        </row>
        <row r="5643">
          <cell r="K5643" t="str">
            <v>00021228P.11</v>
          </cell>
        </row>
        <row r="5644">
          <cell r="K5644" t="str">
            <v>00021228P.11</v>
          </cell>
        </row>
        <row r="5645">
          <cell r="K5645" t="str">
            <v>00021228P.11</v>
          </cell>
        </row>
        <row r="5646">
          <cell r="K5646" t="str">
            <v>00021230P.11</v>
          </cell>
        </row>
        <row r="5647">
          <cell r="K5647" t="str">
            <v>00021230P.11</v>
          </cell>
        </row>
        <row r="5648">
          <cell r="K5648" t="str">
            <v>00021230P.11</v>
          </cell>
        </row>
        <row r="5649">
          <cell r="K5649" t="str">
            <v>00021257P.11</v>
          </cell>
        </row>
        <row r="5650">
          <cell r="K5650" t="str">
            <v>00021257P.11</v>
          </cell>
        </row>
        <row r="5651">
          <cell r="K5651" t="str">
            <v>00021257P.11</v>
          </cell>
        </row>
        <row r="5652">
          <cell r="K5652" t="str">
            <v>00021258P.11</v>
          </cell>
        </row>
        <row r="5653">
          <cell r="K5653" t="str">
            <v>00021249P.11</v>
          </cell>
        </row>
        <row r="5654">
          <cell r="K5654" t="str">
            <v>00021249P.11</v>
          </cell>
        </row>
        <row r="5655">
          <cell r="K5655" t="str">
            <v>00021243P.11</v>
          </cell>
        </row>
        <row r="5656">
          <cell r="K5656" t="str">
            <v>00021212P.11</v>
          </cell>
        </row>
        <row r="5657">
          <cell r="K5657" t="str">
            <v>00021231P.11</v>
          </cell>
        </row>
        <row r="5658">
          <cell r="K5658" t="str">
            <v>00021232P.11</v>
          </cell>
        </row>
        <row r="5659">
          <cell r="K5659" t="str">
            <v>00021232P.11</v>
          </cell>
        </row>
        <row r="5660">
          <cell r="K5660" t="str">
            <v>00021232P.11</v>
          </cell>
        </row>
        <row r="5661">
          <cell r="K5661" t="str">
            <v>00021233P.11</v>
          </cell>
        </row>
        <row r="5662">
          <cell r="K5662" t="str">
            <v>00021236P.11</v>
          </cell>
        </row>
        <row r="5663">
          <cell r="K5663" t="str">
            <v>00021250P.11</v>
          </cell>
        </row>
        <row r="5664">
          <cell r="K5664" t="str">
            <v>00021251P.11</v>
          </cell>
        </row>
        <row r="5665">
          <cell r="K5665" t="str">
            <v>00021253P.11</v>
          </cell>
        </row>
        <row r="5666">
          <cell r="K5666" t="str">
            <v>00021210P.11</v>
          </cell>
        </row>
        <row r="5667">
          <cell r="K5667" t="str">
            <v>00021210P.11</v>
          </cell>
        </row>
        <row r="5668">
          <cell r="K5668" t="str">
            <v>00021211P.11</v>
          </cell>
        </row>
        <row r="5669">
          <cell r="K5669" t="str">
            <v>00021212P.11</v>
          </cell>
        </row>
        <row r="5670">
          <cell r="K5670" t="str">
            <v>00021213P.11</v>
          </cell>
        </row>
        <row r="5671">
          <cell r="K5671" t="str">
            <v>00021222P.11</v>
          </cell>
        </row>
        <row r="5672">
          <cell r="K5672" t="str">
            <v>00021229P.11</v>
          </cell>
        </row>
        <row r="5673">
          <cell r="K5673" t="str">
            <v>00021230P.11</v>
          </cell>
        </row>
        <row r="5674">
          <cell r="K5674" t="str">
            <v>00021232P.11</v>
          </cell>
        </row>
        <row r="5675">
          <cell r="K5675" t="str">
            <v>00021232P.11</v>
          </cell>
        </row>
        <row r="5676">
          <cell r="K5676" t="str">
            <v>00021232P.11</v>
          </cell>
        </row>
        <row r="5677">
          <cell r="K5677" t="str">
            <v>00021233P.11</v>
          </cell>
        </row>
        <row r="5678">
          <cell r="K5678" t="str">
            <v>00021234P.11</v>
          </cell>
        </row>
        <row r="5679">
          <cell r="K5679" t="str">
            <v>00021236P.11</v>
          </cell>
        </row>
        <row r="5680">
          <cell r="K5680" t="str">
            <v>00021250P.11</v>
          </cell>
        </row>
        <row r="5681">
          <cell r="K5681" t="str">
            <v>00021253P.11</v>
          </cell>
        </row>
        <row r="5682">
          <cell r="K5682" t="str">
            <v>00021253P.11</v>
          </cell>
        </row>
        <row r="5683">
          <cell r="K5683" t="str">
            <v>00021253P.11</v>
          </cell>
        </row>
        <row r="5684">
          <cell r="K5684" t="str">
            <v>00021259P.11</v>
          </cell>
        </row>
        <row r="5685">
          <cell r="K5685" t="str">
            <v>00021210P.11</v>
          </cell>
        </row>
        <row r="5686">
          <cell r="K5686" t="str">
            <v>00021210P.11</v>
          </cell>
        </row>
        <row r="5687">
          <cell r="K5687" t="str">
            <v>00021210P.11</v>
          </cell>
        </row>
        <row r="5688">
          <cell r="K5688" t="str">
            <v>00021210P.11</v>
          </cell>
        </row>
        <row r="5689">
          <cell r="K5689" t="str">
            <v>00021210P.11</v>
          </cell>
        </row>
        <row r="5690">
          <cell r="K5690" t="str">
            <v>00021210P.11</v>
          </cell>
        </row>
        <row r="5691">
          <cell r="K5691" t="str">
            <v>00021210P.11</v>
          </cell>
        </row>
        <row r="5692">
          <cell r="K5692" t="str">
            <v>00021212P.11</v>
          </cell>
        </row>
        <row r="5693">
          <cell r="K5693" t="str">
            <v>00021212P.11</v>
          </cell>
        </row>
        <row r="5694">
          <cell r="K5694" t="str">
            <v>00021213P.11</v>
          </cell>
        </row>
        <row r="5695">
          <cell r="K5695" t="str">
            <v>00021213P.11</v>
          </cell>
        </row>
        <row r="5696">
          <cell r="K5696" t="str">
            <v>00021213P.11</v>
          </cell>
        </row>
        <row r="5697">
          <cell r="K5697" t="str">
            <v>00021213P.11</v>
          </cell>
        </row>
        <row r="5698">
          <cell r="K5698" t="str">
            <v>00021213P.11</v>
          </cell>
        </row>
        <row r="5699">
          <cell r="K5699" t="str">
            <v>00021213P.11</v>
          </cell>
        </row>
        <row r="5700">
          <cell r="K5700" t="str">
            <v>00021213P.11</v>
          </cell>
        </row>
        <row r="5701">
          <cell r="K5701" t="str">
            <v>00021213P.11</v>
          </cell>
        </row>
        <row r="5702">
          <cell r="K5702" t="str">
            <v>00021213P.11</v>
          </cell>
        </row>
        <row r="5703">
          <cell r="K5703" t="str">
            <v>00021213P.11</v>
          </cell>
        </row>
        <row r="5704">
          <cell r="K5704" t="str">
            <v>00021213P.11</v>
          </cell>
        </row>
        <row r="5705">
          <cell r="K5705" t="str">
            <v>00021217P.11</v>
          </cell>
        </row>
        <row r="5706">
          <cell r="K5706" t="str">
            <v>00021217P.11</v>
          </cell>
        </row>
        <row r="5707">
          <cell r="K5707" t="str">
            <v>00021218P.11</v>
          </cell>
        </row>
        <row r="5708">
          <cell r="K5708" t="str">
            <v>00021218P.11</v>
          </cell>
        </row>
        <row r="5709">
          <cell r="K5709" t="str">
            <v>00021220P.11</v>
          </cell>
        </row>
        <row r="5710">
          <cell r="K5710" t="str">
            <v>00021221P.11</v>
          </cell>
        </row>
        <row r="5711">
          <cell r="K5711" t="str">
            <v>00021222P.11</v>
          </cell>
        </row>
        <row r="5712">
          <cell r="K5712" t="str">
            <v>00021222P.11</v>
          </cell>
        </row>
        <row r="5713">
          <cell r="K5713" t="str">
            <v>00021222P.11</v>
          </cell>
        </row>
        <row r="5714">
          <cell r="K5714" t="str">
            <v>00021222P.11</v>
          </cell>
        </row>
        <row r="5715">
          <cell r="K5715" t="str">
            <v>00021226P.11</v>
          </cell>
        </row>
        <row r="5716">
          <cell r="K5716" t="str">
            <v>00021226P.11</v>
          </cell>
        </row>
        <row r="5717">
          <cell r="K5717" t="str">
            <v>00021228P.11</v>
          </cell>
        </row>
        <row r="5718">
          <cell r="K5718" t="str">
            <v>00021228P.11</v>
          </cell>
        </row>
        <row r="5719">
          <cell r="K5719" t="str">
            <v>00021230P.11</v>
          </cell>
        </row>
        <row r="5720">
          <cell r="K5720" t="str">
            <v>00021230P.11</v>
          </cell>
        </row>
        <row r="5721">
          <cell r="K5721" t="str">
            <v>00021231P.11</v>
          </cell>
        </row>
        <row r="5722">
          <cell r="K5722" t="str">
            <v>00021231P.11</v>
          </cell>
        </row>
        <row r="5723">
          <cell r="K5723" t="str">
            <v>00021231P.11</v>
          </cell>
        </row>
        <row r="5724">
          <cell r="K5724" t="str">
            <v>00021231P.11</v>
          </cell>
        </row>
        <row r="5725">
          <cell r="K5725" t="str">
            <v>00021255P.11</v>
          </cell>
        </row>
        <row r="5726">
          <cell r="K5726" t="str">
            <v>00021255P.11</v>
          </cell>
        </row>
        <row r="5727">
          <cell r="K5727" t="str">
            <v>00021234P.11</v>
          </cell>
        </row>
        <row r="5728">
          <cell r="K5728" t="str">
            <v>00021234P.11</v>
          </cell>
        </row>
        <row r="5729">
          <cell r="K5729" t="str">
            <v>00021234P.11</v>
          </cell>
        </row>
        <row r="5730">
          <cell r="K5730" t="str">
            <v>00021234P.11</v>
          </cell>
        </row>
        <row r="5731">
          <cell r="K5731" t="str">
            <v>00021236P.11</v>
          </cell>
        </row>
        <row r="5732">
          <cell r="K5732" t="str">
            <v>00021236P.11</v>
          </cell>
        </row>
        <row r="5733">
          <cell r="K5733" t="str">
            <v>00021236P.11</v>
          </cell>
        </row>
        <row r="5734">
          <cell r="K5734" t="str">
            <v>00021253P.11</v>
          </cell>
        </row>
        <row r="5735">
          <cell r="K5735" t="str">
            <v>00021259P.11</v>
          </cell>
        </row>
        <row r="5736">
          <cell r="K5736" t="str">
            <v>00021258P.11</v>
          </cell>
        </row>
        <row r="5737">
          <cell r="K5737" t="str">
            <v>00021258P.11</v>
          </cell>
        </row>
        <row r="5738">
          <cell r="K5738" t="str">
            <v>00021245P.11</v>
          </cell>
        </row>
        <row r="5739">
          <cell r="K5739" t="str">
            <v>00021245P.11</v>
          </cell>
        </row>
        <row r="5740">
          <cell r="K5740" t="str">
            <v>00021250P.11</v>
          </cell>
        </row>
        <row r="5741">
          <cell r="K5741" t="str">
            <v>00021250P.11</v>
          </cell>
        </row>
        <row r="5742">
          <cell r="K5742" t="str">
            <v>00021250P.11</v>
          </cell>
        </row>
        <row r="5743">
          <cell r="K5743" t="str">
            <v>00021250P.11</v>
          </cell>
        </row>
        <row r="5744">
          <cell r="K5744" t="str">
            <v>00021257P.11</v>
          </cell>
        </row>
        <row r="5745">
          <cell r="K5745" t="str">
            <v>00021257P.11</v>
          </cell>
        </row>
        <row r="5746">
          <cell r="K5746" t="str">
            <v>00021209P.11</v>
          </cell>
        </row>
        <row r="5747">
          <cell r="K5747" t="str">
            <v>00021206P.11</v>
          </cell>
        </row>
        <row r="5748">
          <cell r="K5748" t="str">
            <v>00021206P.11</v>
          </cell>
        </row>
        <row r="5749">
          <cell r="K5749" t="str">
            <v>00021206P.11</v>
          </cell>
        </row>
        <row r="5750">
          <cell r="K5750" t="str">
            <v>00021210P.11</v>
          </cell>
        </row>
        <row r="5751">
          <cell r="K5751" t="str">
            <v>00021210P.11</v>
          </cell>
        </row>
        <row r="5752">
          <cell r="K5752" t="str">
            <v>00021210P.11</v>
          </cell>
        </row>
        <row r="5753">
          <cell r="K5753" t="str">
            <v>00021210P.11</v>
          </cell>
        </row>
        <row r="5754">
          <cell r="K5754" t="str">
            <v>00021210P.11</v>
          </cell>
        </row>
        <row r="5755">
          <cell r="K5755" t="str">
            <v>00021210P.11</v>
          </cell>
        </row>
        <row r="5756">
          <cell r="K5756" t="str">
            <v>00021210P.11</v>
          </cell>
        </row>
        <row r="5757">
          <cell r="K5757" t="str">
            <v>00021210P.11</v>
          </cell>
        </row>
        <row r="5758">
          <cell r="K5758" t="str">
            <v>00021211P.11</v>
          </cell>
        </row>
        <row r="5759">
          <cell r="K5759" t="str">
            <v>00021213P.11</v>
          </cell>
        </row>
        <row r="5760">
          <cell r="K5760" t="str">
            <v>00021213P.11</v>
          </cell>
        </row>
        <row r="5761">
          <cell r="K5761" t="str">
            <v>00021213P.11</v>
          </cell>
        </row>
        <row r="5762">
          <cell r="K5762" t="str">
            <v>00021213P.11</v>
          </cell>
        </row>
        <row r="5763">
          <cell r="K5763" t="str">
            <v>00021214P.11</v>
          </cell>
        </row>
        <row r="5764">
          <cell r="K5764" t="str">
            <v>00021214P.11</v>
          </cell>
        </row>
        <row r="5765">
          <cell r="K5765" t="str">
            <v>00021214P.11</v>
          </cell>
        </row>
        <row r="5766">
          <cell r="K5766" t="str">
            <v>00021216P.11</v>
          </cell>
        </row>
        <row r="5767">
          <cell r="K5767" t="str">
            <v>00021216P.11</v>
          </cell>
        </row>
        <row r="5768">
          <cell r="K5768" t="str">
            <v>00021217P.11</v>
          </cell>
        </row>
        <row r="5769">
          <cell r="K5769" t="str">
            <v>00021217P.11</v>
          </cell>
        </row>
        <row r="5770">
          <cell r="K5770" t="str">
            <v>00021220P.11</v>
          </cell>
        </row>
        <row r="5771">
          <cell r="K5771" t="str">
            <v>00021221P.11</v>
          </cell>
        </row>
        <row r="5772">
          <cell r="K5772" t="str">
            <v>00021221P.11</v>
          </cell>
        </row>
        <row r="5773">
          <cell r="K5773" t="str">
            <v>00021221P.11</v>
          </cell>
        </row>
        <row r="5774">
          <cell r="K5774" t="str">
            <v>00021222P.11</v>
          </cell>
        </row>
        <row r="5775">
          <cell r="K5775" t="str">
            <v>00021223P.11</v>
          </cell>
        </row>
        <row r="5776">
          <cell r="K5776" t="str">
            <v>00021223P.11</v>
          </cell>
        </row>
        <row r="5777">
          <cell r="K5777" t="str">
            <v>00021224P.11</v>
          </cell>
        </row>
        <row r="5778">
          <cell r="K5778" t="str">
            <v>00021224P.11</v>
          </cell>
        </row>
        <row r="5779">
          <cell r="K5779" t="str">
            <v>00021225P.11</v>
          </cell>
        </row>
        <row r="5780">
          <cell r="K5780" t="str">
            <v>00021225P.11</v>
          </cell>
        </row>
        <row r="5781">
          <cell r="K5781" t="str">
            <v>00021225P.11</v>
          </cell>
        </row>
        <row r="5782">
          <cell r="K5782" t="str">
            <v>00021225P.11</v>
          </cell>
        </row>
        <row r="5783">
          <cell r="K5783" t="str">
            <v>00021225P.11</v>
          </cell>
        </row>
        <row r="5784">
          <cell r="K5784" t="str">
            <v>00021226P.11</v>
          </cell>
        </row>
        <row r="5785">
          <cell r="K5785" t="str">
            <v>00021226P.11</v>
          </cell>
        </row>
        <row r="5786">
          <cell r="K5786" t="str">
            <v>00021226P.11</v>
          </cell>
        </row>
        <row r="5787">
          <cell r="K5787" t="str">
            <v>00021227P.11</v>
          </cell>
        </row>
        <row r="5788">
          <cell r="K5788" t="str">
            <v>00021228P.11</v>
          </cell>
        </row>
        <row r="5789">
          <cell r="K5789" t="str">
            <v>00021228P.11</v>
          </cell>
        </row>
        <row r="5790">
          <cell r="K5790" t="str">
            <v>00021228P.11</v>
          </cell>
        </row>
        <row r="5791">
          <cell r="K5791" t="str">
            <v>00021228P.11</v>
          </cell>
        </row>
        <row r="5792">
          <cell r="K5792" t="str">
            <v>00021228P.11</v>
          </cell>
        </row>
        <row r="5793">
          <cell r="K5793" t="str">
            <v>00021228P.11</v>
          </cell>
        </row>
        <row r="5794">
          <cell r="K5794" t="str">
            <v>00021228P.11</v>
          </cell>
        </row>
        <row r="5795">
          <cell r="K5795" t="str">
            <v>00021228P.11</v>
          </cell>
        </row>
        <row r="5796">
          <cell r="K5796" t="str">
            <v>00021229P.11</v>
          </cell>
        </row>
        <row r="5797">
          <cell r="K5797" t="str">
            <v>00021229P.11</v>
          </cell>
        </row>
        <row r="5798">
          <cell r="K5798" t="str">
            <v>00021229P.11</v>
          </cell>
        </row>
        <row r="5799">
          <cell r="K5799" t="str">
            <v>00021229P.11</v>
          </cell>
        </row>
        <row r="5800">
          <cell r="K5800" t="str">
            <v>00021229P.11</v>
          </cell>
        </row>
        <row r="5801">
          <cell r="K5801" t="str">
            <v>00021229P.11</v>
          </cell>
        </row>
        <row r="5802">
          <cell r="K5802" t="str">
            <v>00021229P.11</v>
          </cell>
        </row>
        <row r="5803">
          <cell r="K5803" t="str">
            <v>00021229P.11</v>
          </cell>
        </row>
        <row r="5804">
          <cell r="K5804" t="str">
            <v>00021229P.11</v>
          </cell>
        </row>
        <row r="5805">
          <cell r="K5805" t="str">
            <v>00021229P.11</v>
          </cell>
        </row>
        <row r="5806">
          <cell r="K5806" t="str">
            <v>00021229P.11</v>
          </cell>
        </row>
        <row r="5807">
          <cell r="K5807" t="str">
            <v>00021229P.11</v>
          </cell>
        </row>
        <row r="5808">
          <cell r="K5808" t="str">
            <v>00021230P.11</v>
          </cell>
        </row>
        <row r="5809">
          <cell r="K5809" t="str">
            <v>00021230P.11</v>
          </cell>
        </row>
        <row r="5810">
          <cell r="K5810" t="str">
            <v>00021230P.11</v>
          </cell>
        </row>
        <row r="5811">
          <cell r="K5811" t="str">
            <v>00021230P.11</v>
          </cell>
        </row>
        <row r="5812">
          <cell r="K5812" t="str">
            <v>00021231P.11</v>
          </cell>
        </row>
        <row r="5813">
          <cell r="K5813" t="str">
            <v>00021231P.11</v>
          </cell>
        </row>
        <row r="5814">
          <cell r="K5814" t="str">
            <v>00021231P.11</v>
          </cell>
        </row>
        <row r="5815">
          <cell r="K5815" t="str">
            <v>00021231P.11</v>
          </cell>
        </row>
        <row r="5816">
          <cell r="K5816" t="str">
            <v>00021231P.11</v>
          </cell>
        </row>
        <row r="5817">
          <cell r="K5817" t="str">
            <v>00021231P.11</v>
          </cell>
        </row>
        <row r="5818">
          <cell r="K5818" t="str">
            <v>00021231P.11</v>
          </cell>
        </row>
        <row r="5819">
          <cell r="K5819" t="str">
            <v>00021231P.11</v>
          </cell>
        </row>
        <row r="5820">
          <cell r="K5820" t="str">
            <v>00021231P.11</v>
          </cell>
        </row>
        <row r="5821">
          <cell r="K5821" t="str">
            <v>00021231P.11</v>
          </cell>
        </row>
        <row r="5822">
          <cell r="K5822" t="str">
            <v>00021232P.11</v>
          </cell>
        </row>
        <row r="5823">
          <cell r="K5823" t="str">
            <v>00021232P.11</v>
          </cell>
        </row>
        <row r="5824">
          <cell r="K5824" t="str">
            <v>00021232P.11</v>
          </cell>
        </row>
        <row r="5825">
          <cell r="K5825" t="str">
            <v>00021232P.11</v>
          </cell>
        </row>
        <row r="5826">
          <cell r="K5826" t="str">
            <v>00021232P.11</v>
          </cell>
        </row>
        <row r="5827">
          <cell r="K5827" t="str">
            <v>00021232P.11</v>
          </cell>
        </row>
        <row r="5828">
          <cell r="K5828" t="str">
            <v>00021232P.11</v>
          </cell>
        </row>
        <row r="5829">
          <cell r="K5829" t="str">
            <v>00021232P.11</v>
          </cell>
        </row>
        <row r="5830">
          <cell r="K5830" t="str">
            <v>00021233P.11</v>
          </cell>
        </row>
        <row r="5831">
          <cell r="K5831" t="str">
            <v>00021233P.11</v>
          </cell>
        </row>
        <row r="5832">
          <cell r="K5832" t="str">
            <v>00021233P.11</v>
          </cell>
        </row>
        <row r="5833">
          <cell r="K5833" t="str">
            <v>00021233P.11</v>
          </cell>
        </row>
        <row r="5834">
          <cell r="K5834" t="str">
            <v>00021233P.11</v>
          </cell>
        </row>
        <row r="5835">
          <cell r="K5835" t="str">
            <v>00021234P.11</v>
          </cell>
        </row>
        <row r="5836">
          <cell r="K5836" t="str">
            <v>00021234P.11</v>
          </cell>
        </row>
        <row r="5837">
          <cell r="K5837" t="str">
            <v>00021234P.11</v>
          </cell>
        </row>
        <row r="5838">
          <cell r="K5838" t="str">
            <v>00021234P.11</v>
          </cell>
        </row>
        <row r="5839">
          <cell r="K5839" t="str">
            <v>00021235P.11</v>
          </cell>
        </row>
        <row r="5840">
          <cell r="K5840" t="str">
            <v>00021235P.11</v>
          </cell>
        </row>
        <row r="5841">
          <cell r="K5841" t="str">
            <v>00021235P.11</v>
          </cell>
        </row>
        <row r="5842">
          <cell r="K5842" t="str">
            <v>00021235P.11</v>
          </cell>
        </row>
        <row r="5843">
          <cell r="K5843" t="str">
            <v>00021235P.11</v>
          </cell>
        </row>
        <row r="5844">
          <cell r="K5844" t="str">
            <v>00021236P.11</v>
          </cell>
        </row>
        <row r="5845">
          <cell r="K5845" t="str">
            <v>00021236P.11</v>
          </cell>
        </row>
        <row r="5846">
          <cell r="K5846" t="str">
            <v>00021236P.11</v>
          </cell>
        </row>
        <row r="5847">
          <cell r="K5847" t="str">
            <v>00021236P.11</v>
          </cell>
        </row>
        <row r="5848">
          <cell r="K5848" t="str">
            <v>00021236P.11</v>
          </cell>
        </row>
        <row r="5849">
          <cell r="K5849" t="str">
            <v>00021236P.11</v>
          </cell>
        </row>
        <row r="5850">
          <cell r="K5850" t="str">
            <v>00021236P.11</v>
          </cell>
        </row>
        <row r="5851">
          <cell r="K5851" t="str">
            <v>00021258P.11</v>
          </cell>
        </row>
        <row r="5852">
          <cell r="K5852" t="str">
            <v>00021258P.11</v>
          </cell>
        </row>
        <row r="5853">
          <cell r="K5853" t="str">
            <v>00021238P.11</v>
          </cell>
        </row>
        <row r="5854">
          <cell r="K5854" t="str">
            <v>00021238P.11</v>
          </cell>
        </row>
        <row r="5855">
          <cell r="K5855" t="str">
            <v>00021239P.11</v>
          </cell>
        </row>
        <row r="5856">
          <cell r="K5856" t="str">
            <v>00021240P.11</v>
          </cell>
        </row>
        <row r="5857">
          <cell r="K5857" t="str">
            <v>00021240P.11</v>
          </cell>
        </row>
        <row r="5858">
          <cell r="K5858" t="str">
            <v>00021245P.11</v>
          </cell>
        </row>
        <row r="5859">
          <cell r="K5859" t="str">
            <v>00021245P.11</v>
          </cell>
        </row>
        <row r="5860">
          <cell r="K5860" t="str">
            <v>00021245P.11</v>
          </cell>
        </row>
        <row r="5861">
          <cell r="K5861" t="str">
            <v>00021248P.11</v>
          </cell>
        </row>
        <row r="5862">
          <cell r="K5862" t="str">
            <v>00021248P.11</v>
          </cell>
        </row>
        <row r="5863">
          <cell r="K5863" t="str">
            <v>00021249P.11</v>
          </cell>
        </row>
        <row r="5864">
          <cell r="K5864" t="str">
            <v>00021257P.11</v>
          </cell>
        </row>
        <row r="5865">
          <cell r="K5865" t="str">
            <v>00021258P.11</v>
          </cell>
        </row>
        <row r="5866">
          <cell r="K5866" t="str">
            <v>00021258P.11</v>
          </cell>
        </row>
        <row r="5867">
          <cell r="K5867" t="str">
            <v>00021258P.11</v>
          </cell>
        </row>
        <row r="5868">
          <cell r="K5868" t="str">
            <v>00021259P.11</v>
          </cell>
        </row>
        <row r="5869">
          <cell r="K5869" t="str">
            <v>00021211P.11</v>
          </cell>
        </row>
        <row r="5870">
          <cell r="K5870" t="str">
            <v>00021221P.11</v>
          </cell>
        </row>
        <row r="5871">
          <cell r="K5871" t="str">
            <v>00021231P.11</v>
          </cell>
        </row>
        <row r="5872">
          <cell r="K5872" t="str">
            <v>00021231P.11</v>
          </cell>
        </row>
        <row r="5873">
          <cell r="K5873" t="str">
            <v>00021254P.13</v>
          </cell>
        </row>
        <row r="5874">
          <cell r="K5874" t="str">
            <v>00021247P.11</v>
          </cell>
        </row>
        <row r="5875">
          <cell r="K5875" t="str">
            <v>00021247P.11</v>
          </cell>
        </row>
        <row r="5876">
          <cell r="K5876" t="str">
            <v>00021247P.11</v>
          </cell>
        </row>
        <row r="5877">
          <cell r="K5877" t="str">
            <v>00021205P.12</v>
          </cell>
        </row>
        <row r="5878">
          <cell r="K5878" t="str">
            <v>00021210P.11</v>
          </cell>
        </row>
        <row r="5879">
          <cell r="K5879" t="str">
            <v>00021210P.11</v>
          </cell>
        </row>
        <row r="5880">
          <cell r="K5880" t="str">
            <v>00021212P.11</v>
          </cell>
        </row>
        <row r="5881">
          <cell r="K5881" t="str">
            <v>00021202P.11</v>
          </cell>
        </row>
        <row r="5882">
          <cell r="K5882" t="str">
            <v>00021202P.11</v>
          </cell>
        </row>
        <row r="5883">
          <cell r="K5883" t="str">
            <v>00021202P.11</v>
          </cell>
        </row>
        <row r="5884">
          <cell r="K5884" t="str">
            <v>00021213P.11</v>
          </cell>
        </row>
        <row r="5885">
          <cell r="K5885" t="str">
            <v>00021211P.11</v>
          </cell>
        </row>
        <row r="5886">
          <cell r="K5886" t="str">
            <v>00021251P.11</v>
          </cell>
        </row>
        <row r="5887">
          <cell r="K5887" t="str">
            <v>00021251P.11</v>
          </cell>
        </row>
        <row r="5888">
          <cell r="K5888" t="str">
            <v>00021254P.11</v>
          </cell>
        </row>
        <row r="5889">
          <cell r="K5889" t="str">
            <v>00021254P.11</v>
          </cell>
        </row>
        <row r="5890">
          <cell r="K5890" t="str">
            <v>00021254P.11</v>
          </cell>
        </row>
        <row r="5891">
          <cell r="K5891" t="str">
            <v>00021254P.11</v>
          </cell>
        </row>
        <row r="5892">
          <cell r="K5892" t="str">
            <v>00021254P.11</v>
          </cell>
        </row>
        <row r="5893">
          <cell r="K5893" t="str">
            <v>00021256P.11</v>
          </cell>
        </row>
        <row r="5894">
          <cell r="K5894" t="str">
            <v>00021256P.11</v>
          </cell>
        </row>
        <row r="5895">
          <cell r="K5895" t="str">
            <v>00021256P.11</v>
          </cell>
        </row>
        <row r="5896">
          <cell r="K5896" t="str">
            <v>00021256P.11</v>
          </cell>
        </row>
        <row r="5897">
          <cell r="K5897" t="str">
            <v>00021256P.11</v>
          </cell>
        </row>
        <row r="5898">
          <cell r="K5898" t="str">
            <v>00021260P.11</v>
          </cell>
        </row>
        <row r="5899">
          <cell r="K5899" t="str">
            <v>00021249P.11</v>
          </cell>
        </row>
        <row r="5900">
          <cell r="K5900" t="str">
            <v>00021253P.11</v>
          </cell>
        </row>
        <row r="5901">
          <cell r="K5901" t="str">
            <v>00021254P.11</v>
          </cell>
        </row>
        <row r="5902">
          <cell r="K5902" t="str">
            <v>00021254P.11</v>
          </cell>
        </row>
        <row r="5903">
          <cell r="K5903" t="str">
            <v>00021254P.11</v>
          </cell>
        </row>
        <row r="5904">
          <cell r="K5904" t="str">
            <v>00021254P.11</v>
          </cell>
        </row>
        <row r="5905">
          <cell r="K5905" t="str">
            <v>00021254P.11</v>
          </cell>
        </row>
        <row r="5906">
          <cell r="K5906" t="str">
            <v>00021254P.11</v>
          </cell>
        </row>
        <row r="5907">
          <cell r="K5907" t="str">
            <v>00021254P.13</v>
          </cell>
        </row>
        <row r="5908">
          <cell r="K5908" t="str">
            <v>00021256P.11</v>
          </cell>
        </row>
        <row r="5909">
          <cell r="K5909" t="str">
            <v>00021256P.11</v>
          </cell>
        </row>
        <row r="5910">
          <cell r="K5910" t="str">
            <v>00021256P.11</v>
          </cell>
        </row>
        <row r="5911">
          <cell r="K5911" t="str">
            <v>00021260P.11</v>
          </cell>
        </row>
        <row r="5912">
          <cell r="K5912" t="str">
            <v>00021257P.11</v>
          </cell>
        </row>
        <row r="5913">
          <cell r="K5913" t="str">
            <v>00021240P.11</v>
          </cell>
        </row>
        <row r="5914">
          <cell r="K5914" t="str">
            <v>00021258P.11</v>
          </cell>
        </row>
        <row r="5915">
          <cell r="K5915" t="str">
            <v>00021210P.11</v>
          </cell>
        </row>
        <row r="5916">
          <cell r="K5916" t="str">
            <v>00021210P.11</v>
          </cell>
        </row>
        <row r="5917">
          <cell r="K5917" t="str">
            <v>00021213P.11</v>
          </cell>
        </row>
        <row r="5918">
          <cell r="K5918" t="str">
            <v>00021214P.11</v>
          </cell>
        </row>
        <row r="5919">
          <cell r="K5919" t="str">
            <v>00021214P.11</v>
          </cell>
        </row>
        <row r="5920">
          <cell r="K5920" t="str">
            <v>00021220P.11</v>
          </cell>
        </row>
        <row r="5921">
          <cell r="K5921" t="str">
            <v>00021222P.11</v>
          </cell>
        </row>
        <row r="5922">
          <cell r="K5922" t="str">
            <v>00021222P.11</v>
          </cell>
        </row>
        <row r="5923">
          <cell r="K5923" t="str">
            <v>00021223P.11</v>
          </cell>
        </row>
        <row r="5924">
          <cell r="K5924" t="str">
            <v>00021226P.11</v>
          </cell>
        </row>
        <row r="5925">
          <cell r="K5925" t="str">
            <v>00021228P.11</v>
          </cell>
        </row>
        <row r="5926">
          <cell r="K5926" t="str">
            <v>00021228P.11</v>
          </cell>
        </row>
        <row r="5927">
          <cell r="K5927" t="str">
            <v>00021232P.11</v>
          </cell>
        </row>
        <row r="5928">
          <cell r="K5928" t="str">
            <v>00021232P.11</v>
          </cell>
        </row>
        <row r="5929">
          <cell r="K5929" t="str">
            <v>00021233P.11</v>
          </cell>
        </row>
        <row r="5930">
          <cell r="K5930" t="str">
            <v>00021234P.11</v>
          </cell>
        </row>
        <row r="5931">
          <cell r="K5931" t="str">
            <v>00021235P.11</v>
          </cell>
        </row>
        <row r="5932">
          <cell r="K5932" t="str">
            <v>00021235P.11</v>
          </cell>
        </row>
        <row r="5933">
          <cell r="K5933" t="str">
            <v>00021258P.11</v>
          </cell>
        </row>
        <row r="5934">
          <cell r="K5934" t="str">
            <v>00021258P.11</v>
          </cell>
        </row>
        <row r="5935">
          <cell r="K5935" t="str">
            <v>00021253P.11</v>
          </cell>
        </row>
        <row r="5936">
          <cell r="K5936" t="str">
            <v>00021257P.11</v>
          </cell>
        </row>
        <row r="5937">
          <cell r="K5937" t="str">
            <v>00021257P.11</v>
          </cell>
        </row>
        <row r="5938">
          <cell r="K5938" t="str">
            <v>00021257P.11</v>
          </cell>
        </row>
        <row r="5939">
          <cell r="K5939" t="str">
            <v>00021257P.11</v>
          </cell>
        </row>
        <row r="5940">
          <cell r="K5940" t="str">
            <v>00021259P.11</v>
          </cell>
        </row>
        <row r="5941">
          <cell r="K5941" t="str">
            <v>00021257P.11</v>
          </cell>
        </row>
        <row r="5942">
          <cell r="K5942" t="str">
            <v>00021228P.11</v>
          </cell>
        </row>
        <row r="5943">
          <cell r="K5943" t="str">
            <v>00021259P.11</v>
          </cell>
        </row>
        <row r="5944">
          <cell r="K5944" t="str">
            <v>00021201P.11</v>
          </cell>
        </row>
        <row r="5945">
          <cell r="K5945" t="str">
            <v>00021250P.11</v>
          </cell>
        </row>
        <row r="5946">
          <cell r="K5946" t="str">
            <v>00021250P.11</v>
          </cell>
        </row>
        <row r="5947">
          <cell r="K5947" t="str">
            <v>00021213P.11</v>
          </cell>
        </row>
        <row r="5948">
          <cell r="K5948" t="str">
            <v>00021218P.11</v>
          </cell>
        </row>
        <row r="5949">
          <cell r="K5949" t="str">
            <v>00021246P.11</v>
          </cell>
        </row>
        <row r="5950">
          <cell r="K5950" t="str">
            <v>00021246P.11</v>
          </cell>
        </row>
        <row r="5951">
          <cell r="K5951" t="str">
            <v>00021227P.11</v>
          </cell>
        </row>
        <row r="5952">
          <cell r="K5952" t="str">
            <v>00021245P.11</v>
          </cell>
        </row>
        <row r="5953">
          <cell r="K5953" t="str">
            <v>00021223P.11</v>
          </cell>
        </row>
        <row r="5954">
          <cell r="K5954" t="str">
            <v>00021223P.11</v>
          </cell>
        </row>
        <row r="5955">
          <cell r="K5955" t="str">
            <v>00021253P.11</v>
          </cell>
        </row>
        <row r="5956">
          <cell r="K5956" t="str">
            <v>00021245P.11</v>
          </cell>
        </row>
        <row r="5957">
          <cell r="K5957" t="str">
            <v>00021245P.11</v>
          </cell>
        </row>
        <row r="5958">
          <cell r="K5958" t="str">
            <v>00021245P.11</v>
          </cell>
        </row>
        <row r="5959">
          <cell r="K5959" t="str">
            <v>00021250P.11</v>
          </cell>
        </row>
        <row r="5960">
          <cell r="K5960" t="str">
            <v>00021250P.11</v>
          </cell>
        </row>
        <row r="5961">
          <cell r="K5961" t="str">
            <v>00021253P.11</v>
          </cell>
        </row>
        <row r="5962">
          <cell r="K5962" t="str">
            <v>00021245P.11</v>
          </cell>
        </row>
        <row r="5963">
          <cell r="K5963" t="str">
            <v>00021245P.11</v>
          </cell>
        </row>
        <row r="5964">
          <cell r="K5964" t="str">
            <v>00021245P.11</v>
          </cell>
        </row>
        <row r="5965">
          <cell r="K5965" t="str">
            <v>00021245P.11</v>
          </cell>
        </row>
        <row r="5966">
          <cell r="K5966" t="str">
            <v>00021249P.11</v>
          </cell>
        </row>
        <row r="5967">
          <cell r="K5967" t="str">
            <v>00021249P.11</v>
          </cell>
        </row>
        <row r="5968">
          <cell r="K5968" t="str">
            <v>00021250P.11</v>
          </cell>
        </row>
        <row r="5969">
          <cell r="K5969" t="str">
            <v>00021250P.11</v>
          </cell>
        </row>
        <row r="5970">
          <cell r="K5970" t="str">
            <v>00111148P.2</v>
          </cell>
        </row>
        <row r="5971">
          <cell r="K5971" t="str">
            <v>00111148P.2</v>
          </cell>
        </row>
        <row r="5972">
          <cell r="K5972" t="str">
            <v>00111148P.2</v>
          </cell>
        </row>
        <row r="5973">
          <cell r="K5973" t="str">
            <v>00111148P.2</v>
          </cell>
        </row>
        <row r="5974">
          <cell r="K5974" t="str">
            <v>00111148P.2</v>
          </cell>
        </row>
        <row r="5975">
          <cell r="K5975" t="str">
            <v>00111148P.2</v>
          </cell>
        </row>
        <row r="5976">
          <cell r="K5976" t="str">
            <v>00111148P.2</v>
          </cell>
        </row>
        <row r="5977">
          <cell r="K5977" t="str">
            <v>00111148P.2</v>
          </cell>
        </row>
        <row r="5978">
          <cell r="K5978" t="str">
            <v>00111143P.2</v>
          </cell>
        </row>
        <row r="5979">
          <cell r="K5979" t="str">
            <v>00111143P.2</v>
          </cell>
        </row>
        <row r="5980">
          <cell r="K5980" t="str">
            <v>00111143P.2</v>
          </cell>
        </row>
        <row r="5981">
          <cell r="K5981" t="str">
            <v>00111143P.2</v>
          </cell>
        </row>
        <row r="5982">
          <cell r="K5982" t="str">
            <v>00111143P.2</v>
          </cell>
        </row>
        <row r="5983">
          <cell r="K5983" t="str">
            <v>00111143P.2</v>
          </cell>
        </row>
        <row r="5984">
          <cell r="K5984" t="str">
            <v>00111143P.2</v>
          </cell>
        </row>
        <row r="5985">
          <cell r="K5985" t="str">
            <v>00111143P.2</v>
          </cell>
        </row>
        <row r="5986">
          <cell r="K5986" t="str">
            <v>00111143P.2</v>
          </cell>
        </row>
        <row r="5987">
          <cell r="K5987" t="str">
            <v>00111143P.2</v>
          </cell>
        </row>
        <row r="5988">
          <cell r="K5988" t="str">
            <v>00111143P.2</v>
          </cell>
        </row>
        <row r="5989">
          <cell r="K5989" t="str">
            <v>00111143P.2</v>
          </cell>
        </row>
        <row r="5990">
          <cell r="K5990" t="str">
            <v>00111143P.2</v>
          </cell>
        </row>
        <row r="5991">
          <cell r="K5991" t="str">
            <v>00111103P.2</v>
          </cell>
        </row>
        <row r="5992">
          <cell r="K5992" t="str">
            <v>00111103P.2</v>
          </cell>
        </row>
        <row r="5993">
          <cell r="K5993" t="str">
            <v>00111103P.2</v>
          </cell>
        </row>
        <row r="5994">
          <cell r="K5994" t="str">
            <v>00111103P.2</v>
          </cell>
        </row>
        <row r="5995">
          <cell r="K5995" t="str">
            <v>00111103P.2</v>
          </cell>
        </row>
        <row r="5996">
          <cell r="K5996" t="str">
            <v>00111104P.2</v>
          </cell>
        </row>
        <row r="5997">
          <cell r="K5997" t="str">
            <v>00111104P.2</v>
          </cell>
        </row>
        <row r="5998">
          <cell r="K5998" t="str">
            <v>00111104P.2</v>
          </cell>
        </row>
        <row r="5999">
          <cell r="K5999" t="str">
            <v>00111104P.2</v>
          </cell>
        </row>
        <row r="6000">
          <cell r="K6000" t="str">
            <v>00111105P.2</v>
          </cell>
        </row>
        <row r="6001">
          <cell r="K6001" t="str">
            <v>00111105P.2</v>
          </cell>
        </row>
        <row r="6002">
          <cell r="K6002" t="str">
            <v>00111105P.2</v>
          </cell>
        </row>
        <row r="6003">
          <cell r="K6003" t="str">
            <v>00111105P.2</v>
          </cell>
        </row>
        <row r="6004">
          <cell r="K6004" t="str">
            <v>00111138P.2</v>
          </cell>
        </row>
        <row r="6005">
          <cell r="K6005" t="str">
            <v>00111138P.2</v>
          </cell>
        </row>
        <row r="6006">
          <cell r="K6006" t="str">
            <v>00111138P.2</v>
          </cell>
        </row>
        <row r="6007">
          <cell r="K6007" t="str">
            <v>00111138P.2</v>
          </cell>
        </row>
        <row r="6008">
          <cell r="K6008" t="str">
            <v>00111138P.2</v>
          </cell>
        </row>
        <row r="6009">
          <cell r="K6009" t="str">
            <v>00111138P.2</v>
          </cell>
        </row>
        <row r="6010">
          <cell r="K6010" t="str">
            <v>00111138P.2</v>
          </cell>
        </row>
        <row r="6011">
          <cell r="K6011" t="str">
            <v>00111138P.2</v>
          </cell>
        </row>
        <row r="6012">
          <cell r="K6012" t="str">
            <v>00111138P.2</v>
          </cell>
        </row>
        <row r="6013">
          <cell r="K6013" t="str">
            <v>00111138P.2</v>
          </cell>
        </row>
        <row r="6014">
          <cell r="K6014" t="str">
            <v>00111138P.2</v>
          </cell>
        </row>
        <row r="6015">
          <cell r="K6015" t="str">
            <v>00111138P.2</v>
          </cell>
        </row>
        <row r="6016">
          <cell r="K6016" t="str">
            <v>00111138P.2</v>
          </cell>
        </row>
        <row r="6017">
          <cell r="K6017" t="str">
            <v>00111138P.2</v>
          </cell>
        </row>
        <row r="6018">
          <cell r="K6018" t="str">
            <v>00111138P.2</v>
          </cell>
        </row>
        <row r="6019">
          <cell r="K6019" t="str">
            <v>00111139P.2</v>
          </cell>
        </row>
        <row r="6020">
          <cell r="K6020" t="str">
            <v>00111139P.2</v>
          </cell>
        </row>
        <row r="6021">
          <cell r="K6021" t="str">
            <v>00111139P.2</v>
          </cell>
        </row>
        <row r="6022">
          <cell r="K6022" t="str">
            <v>00111139P.2</v>
          </cell>
        </row>
        <row r="6023">
          <cell r="K6023" t="str">
            <v>00111139P.2</v>
          </cell>
        </row>
        <row r="6024">
          <cell r="K6024" t="str">
            <v>00111139P.2</v>
          </cell>
        </row>
        <row r="6025">
          <cell r="K6025" t="str">
            <v>00111139P.2</v>
          </cell>
        </row>
        <row r="6026">
          <cell r="K6026" t="str">
            <v>00111140P.2</v>
          </cell>
        </row>
        <row r="6027">
          <cell r="K6027" t="str">
            <v>00111158P.2</v>
          </cell>
        </row>
        <row r="6028">
          <cell r="K6028" t="str">
            <v>00111140P.2</v>
          </cell>
        </row>
        <row r="6029">
          <cell r="K6029" t="str">
            <v>00111140P.2</v>
          </cell>
        </row>
        <row r="6030">
          <cell r="K6030" t="str">
            <v>00111140P.2</v>
          </cell>
        </row>
        <row r="6031">
          <cell r="K6031" t="str">
            <v>00111140P.2</v>
          </cell>
        </row>
        <row r="6032">
          <cell r="K6032" t="str">
            <v>00111140P.2</v>
          </cell>
        </row>
        <row r="6033">
          <cell r="K6033" t="str">
            <v>00111140P.2</v>
          </cell>
        </row>
        <row r="6034">
          <cell r="K6034" t="str">
            <v>00111140P.2</v>
          </cell>
        </row>
        <row r="6035">
          <cell r="K6035" t="str">
            <v>00111140P.2</v>
          </cell>
        </row>
        <row r="6036">
          <cell r="K6036" t="str">
            <v>00111140P.2</v>
          </cell>
        </row>
        <row r="6037">
          <cell r="K6037" t="str">
            <v>00111140P.2</v>
          </cell>
        </row>
        <row r="6038">
          <cell r="K6038" t="str">
            <v>00111140P.2</v>
          </cell>
        </row>
        <row r="6039">
          <cell r="K6039" t="str">
            <v>00111140P.2</v>
          </cell>
        </row>
        <row r="6040">
          <cell r="K6040" t="str">
            <v>00111140P.2</v>
          </cell>
        </row>
        <row r="6041">
          <cell r="K6041" t="str">
            <v>00111140P.2</v>
          </cell>
        </row>
        <row r="6042">
          <cell r="K6042" t="str">
            <v>00111158P.2</v>
          </cell>
        </row>
        <row r="6043">
          <cell r="K6043" t="str">
            <v>00111158P.2</v>
          </cell>
        </row>
        <row r="6044">
          <cell r="K6044" t="str">
            <v>00111158P.2</v>
          </cell>
        </row>
        <row r="6045">
          <cell r="K6045" t="str">
            <v>00111158P.2</v>
          </cell>
        </row>
        <row r="6046">
          <cell r="K6046" t="str">
            <v>00111158P.2</v>
          </cell>
        </row>
        <row r="6047">
          <cell r="K6047" t="str">
            <v>00111158P.2</v>
          </cell>
        </row>
        <row r="6048">
          <cell r="K6048" t="str">
            <v>00111158P.2</v>
          </cell>
        </row>
        <row r="6049">
          <cell r="K6049" t="str">
            <v>00111158P.2</v>
          </cell>
        </row>
        <row r="6050">
          <cell r="K6050" t="str">
            <v>00111158P.2</v>
          </cell>
        </row>
        <row r="6051">
          <cell r="K6051" t="str">
            <v>00111158P.2</v>
          </cell>
        </row>
        <row r="6052">
          <cell r="K6052" t="str">
            <v>00111158P.2</v>
          </cell>
        </row>
        <row r="6053">
          <cell r="K6053" t="str">
            <v>00111158P.2</v>
          </cell>
        </row>
        <row r="6054">
          <cell r="K6054" t="str">
            <v>00111158P.2</v>
          </cell>
        </row>
        <row r="6055">
          <cell r="K6055" t="str">
            <v>00111150P.2</v>
          </cell>
        </row>
        <row r="6056">
          <cell r="K6056" t="str">
            <v>00111150P.2</v>
          </cell>
        </row>
        <row r="6057">
          <cell r="K6057" t="str">
            <v>00111150P.2</v>
          </cell>
        </row>
        <row r="6058">
          <cell r="K6058" t="str">
            <v>00111150P.2</v>
          </cell>
        </row>
        <row r="6059">
          <cell r="K6059" t="str">
            <v>00111150P.2</v>
          </cell>
        </row>
        <row r="6060">
          <cell r="K6060" t="str">
            <v>00111150P.2</v>
          </cell>
        </row>
        <row r="6061">
          <cell r="K6061" t="str">
            <v>00111102P.2</v>
          </cell>
        </row>
        <row r="6062">
          <cell r="K6062" t="str">
            <v>00111102P.2</v>
          </cell>
        </row>
        <row r="6063">
          <cell r="K6063" t="str">
            <v>00111102P.2</v>
          </cell>
        </row>
        <row r="6064">
          <cell r="K6064" t="str">
            <v>00111102P.2</v>
          </cell>
        </row>
        <row r="6065">
          <cell r="K6065" t="str">
            <v>00111102P.2</v>
          </cell>
        </row>
        <row r="6066">
          <cell r="K6066" t="str">
            <v>00111102P.2</v>
          </cell>
        </row>
        <row r="6067">
          <cell r="K6067" t="str">
            <v>00111102P.2</v>
          </cell>
        </row>
        <row r="6068">
          <cell r="K6068" t="str">
            <v>00111102P.2</v>
          </cell>
        </row>
        <row r="6069">
          <cell r="K6069" t="str">
            <v>00111102P.2</v>
          </cell>
        </row>
        <row r="6070">
          <cell r="K6070" t="str">
            <v>00111102P.2</v>
          </cell>
        </row>
        <row r="6071">
          <cell r="K6071" t="str">
            <v>00111102P.2</v>
          </cell>
        </row>
        <row r="6072">
          <cell r="K6072" t="str">
            <v>00111102P.2</v>
          </cell>
        </row>
        <row r="6073">
          <cell r="K6073" t="str">
            <v>00111102P.2</v>
          </cell>
        </row>
        <row r="6074">
          <cell r="K6074" t="str">
            <v>00111102P.2</v>
          </cell>
        </row>
        <row r="6075">
          <cell r="K6075" t="str">
            <v>00111102P.2</v>
          </cell>
        </row>
        <row r="6076">
          <cell r="K6076" t="str">
            <v>00111102P.2</v>
          </cell>
        </row>
        <row r="6077">
          <cell r="K6077" t="str">
            <v>00111102P.2</v>
          </cell>
        </row>
        <row r="6078">
          <cell r="K6078" t="str">
            <v>00111102P.2</v>
          </cell>
        </row>
        <row r="6079">
          <cell r="K6079" t="str">
            <v>00111102P.2</v>
          </cell>
        </row>
        <row r="6080">
          <cell r="K6080" t="str">
            <v>00111102P.2</v>
          </cell>
        </row>
        <row r="6081">
          <cell r="K6081" t="str">
            <v>00111102P.2</v>
          </cell>
        </row>
        <row r="6082">
          <cell r="K6082" t="str">
            <v>00111102P.2</v>
          </cell>
        </row>
        <row r="6083">
          <cell r="K6083" t="str">
            <v>00111102P.2</v>
          </cell>
        </row>
        <row r="6084">
          <cell r="K6084" t="str">
            <v>00111102P.2</v>
          </cell>
        </row>
        <row r="6085">
          <cell r="K6085" t="str">
            <v>00111102P.2</v>
          </cell>
        </row>
        <row r="6086">
          <cell r="K6086" t="str">
            <v>00111102P.2</v>
          </cell>
        </row>
        <row r="6087">
          <cell r="K6087" t="str">
            <v>00111102P.2</v>
          </cell>
        </row>
        <row r="6088">
          <cell r="K6088" t="str">
            <v>00111102P.2</v>
          </cell>
        </row>
        <row r="6089">
          <cell r="K6089" t="str">
            <v>00111102P.2</v>
          </cell>
        </row>
        <row r="6090">
          <cell r="K6090" t="str">
            <v>00111102P.2</v>
          </cell>
        </row>
        <row r="6091">
          <cell r="K6091" t="str">
            <v>00111102P.2</v>
          </cell>
        </row>
        <row r="6092">
          <cell r="K6092" t="str">
            <v>00111102P.2</v>
          </cell>
        </row>
        <row r="6093">
          <cell r="K6093" t="str">
            <v>00111102P.2</v>
          </cell>
        </row>
        <row r="6094">
          <cell r="K6094" t="str">
            <v>00111102P.2</v>
          </cell>
        </row>
        <row r="6095">
          <cell r="K6095" t="str">
            <v>00111102P.2</v>
          </cell>
        </row>
        <row r="6096">
          <cell r="K6096" t="str">
            <v>00111102P.2</v>
          </cell>
        </row>
        <row r="6097">
          <cell r="K6097" t="str">
            <v>00111102P.2</v>
          </cell>
        </row>
        <row r="6098">
          <cell r="K6098" t="str">
            <v>00111102P.2</v>
          </cell>
        </row>
        <row r="6099">
          <cell r="K6099" t="str">
            <v>00111102P.2</v>
          </cell>
        </row>
        <row r="6100">
          <cell r="K6100" t="str">
            <v>00111152P.2</v>
          </cell>
        </row>
        <row r="6101">
          <cell r="K6101" t="str">
            <v>00111152P.2</v>
          </cell>
        </row>
        <row r="6102">
          <cell r="K6102" t="str">
            <v>00111152P.2</v>
          </cell>
        </row>
        <row r="6103">
          <cell r="K6103" t="str">
            <v>00111152P.2</v>
          </cell>
        </row>
        <row r="6104">
          <cell r="K6104" t="str">
            <v>00111152P.2</v>
          </cell>
        </row>
        <row r="6105">
          <cell r="K6105" t="str">
            <v>00111143P.2</v>
          </cell>
        </row>
        <row r="6106">
          <cell r="K6106" t="str">
            <v>00111143P.2</v>
          </cell>
        </row>
        <row r="6107">
          <cell r="K6107" t="str">
            <v>00111143P.2</v>
          </cell>
        </row>
        <row r="6108">
          <cell r="K6108" t="str">
            <v>00111143P.2</v>
          </cell>
        </row>
        <row r="6109">
          <cell r="K6109" t="str">
            <v>00111123P.2</v>
          </cell>
        </row>
        <row r="6110">
          <cell r="K6110" t="str">
            <v>00111135P.2</v>
          </cell>
        </row>
        <row r="6111">
          <cell r="K6111" t="str">
            <v>00111135P.2</v>
          </cell>
        </row>
        <row r="6112">
          <cell r="K6112" t="str">
            <v>00111136P.2</v>
          </cell>
        </row>
        <row r="6113">
          <cell r="K6113" t="str">
            <v>00111136P.2</v>
          </cell>
        </row>
        <row r="6114">
          <cell r="K6114" t="str">
            <v>00111136P.2</v>
          </cell>
        </row>
        <row r="6115">
          <cell r="K6115" t="str">
            <v>00111136P.2</v>
          </cell>
        </row>
        <row r="6116">
          <cell r="K6116" t="str">
            <v>00111136P.2</v>
          </cell>
        </row>
        <row r="6117">
          <cell r="K6117" t="str">
            <v>00111136P.2</v>
          </cell>
        </row>
        <row r="6118">
          <cell r="K6118" t="str">
            <v>00111136P.2</v>
          </cell>
        </row>
        <row r="6119">
          <cell r="K6119" t="str">
            <v>00111122P.2</v>
          </cell>
        </row>
        <row r="6120">
          <cell r="K6120" t="str">
            <v>00111122P.2</v>
          </cell>
        </row>
        <row r="6121">
          <cell r="K6121" t="str">
            <v>00111128P.2</v>
          </cell>
        </row>
        <row r="6122">
          <cell r="K6122" t="str">
            <v>00111128P.2</v>
          </cell>
        </row>
        <row r="6123">
          <cell r="K6123" t="str">
            <v>00111153P.2</v>
          </cell>
        </row>
        <row r="6124">
          <cell r="K6124" t="str">
            <v>00111153P.2</v>
          </cell>
        </row>
        <row r="6125">
          <cell r="K6125" t="str">
            <v>00111153P.2</v>
          </cell>
        </row>
        <row r="6126">
          <cell r="K6126" t="str">
            <v>00111153P.2</v>
          </cell>
        </row>
        <row r="6127">
          <cell r="K6127" t="str">
            <v>00111153P.2</v>
          </cell>
        </row>
        <row r="6128">
          <cell r="K6128" t="str">
            <v>00111122P.2</v>
          </cell>
        </row>
        <row r="6129">
          <cell r="K6129" t="str">
            <v>00111123P.2</v>
          </cell>
        </row>
        <row r="6130">
          <cell r="K6130" t="str">
            <v>00111110P.2</v>
          </cell>
        </row>
        <row r="6131">
          <cell r="K6131" t="str">
            <v>00111110P.2</v>
          </cell>
        </row>
        <row r="6132">
          <cell r="K6132" t="str">
            <v>00111110P.2</v>
          </cell>
        </row>
        <row r="6133">
          <cell r="K6133" t="str">
            <v>00111110P.2</v>
          </cell>
        </row>
        <row r="6134">
          <cell r="K6134" t="str">
            <v>00111110P.2</v>
          </cell>
        </row>
        <row r="6135">
          <cell r="K6135" t="str">
            <v>00111118P.2</v>
          </cell>
        </row>
        <row r="6136">
          <cell r="K6136" t="str">
            <v>00111118P.2</v>
          </cell>
        </row>
        <row r="6137">
          <cell r="K6137" t="str">
            <v>00111118P.2</v>
          </cell>
        </row>
        <row r="6138">
          <cell r="K6138" t="str">
            <v>00111118P.2</v>
          </cell>
        </row>
        <row r="6139">
          <cell r="K6139" t="str">
            <v>00111118P.2</v>
          </cell>
        </row>
        <row r="6140">
          <cell r="K6140" t="str">
            <v>00111126P.2</v>
          </cell>
        </row>
        <row r="6141">
          <cell r="K6141" t="str">
            <v>00111126P.2</v>
          </cell>
        </row>
        <row r="6142">
          <cell r="K6142" t="str">
            <v>00111126P.2</v>
          </cell>
        </row>
        <row r="6143">
          <cell r="K6143" t="str">
            <v>00111126P.2</v>
          </cell>
        </row>
        <row r="6144">
          <cell r="K6144" t="str">
            <v>00111126P.2</v>
          </cell>
        </row>
        <row r="6145">
          <cell r="K6145" t="str">
            <v>00111134P.2</v>
          </cell>
        </row>
        <row r="6146">
          <cell r="K6146" t="str">
            <v>00111134P.2</v>
          </cell>
        </row>
        <row r="6147">
          <cell r="K6147" t="str">
            <v>00111134P.2</v>
          </cell>
        </row>
        <row r="6148">
          <cell r="K6148" t="str">
            <v>00111134P.2</v>
          </cell>
        </row>
        <row r="6149">
          <cell r="K6149" t="str">
            <v>00111134P.2</v>
          </cell>
        </row>
        <row r="6150">
          <cell r="K6150" t="str">
            <v>00111134P.2</v>
          </cell>
        </row>
        <row r="6151">
          <cell r="K6151" t="str">
            <v>00111134P.2</v>
          </cell>
        </row>
        <row r="6152">
          <cell r="K6152" t="str">
            <v>00111143P.2</v>
          </cell>
        </row>
        <row r="6153">
          <cell r="K6153" t="str">
            <v>00111145P.2</v>
          </cell>
        </row>
        <row r="6154">
          <cell r="K6154" t="str">
            <v>00111145P.2</v>
          </cell>
        </row>
        <row r="6155">
          <cell r="K6155" t="str">
            <v>00111145P.2</v>
          </cell>
        </row>
        <row r="6156">
          <cell r="K6156" t="str">
            <v>00111145P.2</v>
          </cell>
        </row>
        <row r="6157">
          <cell r="K6157" t="str">
            <v>00111145P.2</v>
          </cell>
        </row>
        <row r="6158">
          <cell r="K6158" t="str">
            <v>00111145P.2</v>
          </cell>
        </row>
        <row r="6159">
          <cell r="K6159" t="str">
            <v>00111145P.2</v>
          </cell>
        </row>
        <row r="6160">
          <cell r="K6160" t="str">
            <v>00111145P.2</v>
          </cell>
        </row>
        <row r="6161">
          <cell r="K6161" t="str">
            <v>00111145P.2</v>
          </cell>
        </row>
        <row r="6162">
          <cell r="K6162" t="str">
            <v>00111145P.2</v>
          </cell>
        </row>
        <row r="6163">
          <cell r="K6163" t="str">
            <v>00111145P.2</v>
          </cell>
        </row>
        <row r="6164">
          <cell r="K6164" t="str">
            <v>00111145P.2</v>
          </cell>
        </row>
        <row r="6165">
          <cell r="K6165" t="str">
            <v>00111145P.2</v>
          </cell>
        </row>
        <row r="6166">
          <cell r="K6166" t="str">
            <v>00111145P.2</v>
          </cell>
        </row>
        <row r="6167">
          <cell r="K6167" t="str">
            <v>00111145P.2</v>
          </cell>
        </row>
        <row r="6168">
          <cell r="K6168" t="str">
            <v>00111145P.2</v>
          </cell>
        </row>
        <row r="6169">
          <cell r="K6169" t="str">
            <v>00111145P.2</v>
          </cell>
        </row>
        <row r="6170">
          <cell r="K6170" t="str">
            <v>00111145P.2</v>
          </cell>
        </row>
        <row r="6171">
          <cell r="K6171" t="str">
            <v>00111145P.2</v>
          </cell>
        </row>
        <row r="6172">
          <cell r="K6172" t="str">
            <v>00111145P.2</v>
          </cell>
        </row>
        <row r="6173">
          <cell r="K6173" t="str">
            <v>00111145P.2</v>
          </cell>
        </row>
        <row r="6174">
          <cell r="K6174" t="str">
            <v>00111145P.2</v>
          </cell>
        </row>
        <row r="6175">
          <cell r="K6175" t="str">
            <v>00111145P.2</v>
          </cell>
        </row>
        <row r="6176">
          <cell r="K6176" t="str">
            <v>00111145P.2</v>
          </cell>
        </row>
        <row r="6177">
          <cell r="K6177" t="str">
            <v>00111145P.2</v>
          </cell>
        </row>
        <row r="6178">
          <cell r="K6178" t="str">
            <v>00111145P.2</v>
          </cell>
        </row>
        <row r="6179">
          <cell r="K6179" t="str">
            <v>00111145P.2</v>
          </cell>
        </row>
        <row r="6180">
          <cell r="K6180" t="str">
            <v>00111145P.2</v>
          </cell>
        </row>
        <row r="6181">
          <cell r="K6181" t="str">
            <v>00111145P.2</v>
          </cell>
        </row>
        <row r="6182">
          <cell r="K6182" t="str">
            <v>00111145P.2</v>
          </cell>
        </row>
        <row r="6183">
          <cell r="K6183" t="str">
            <v>00111145P.2</v>
          </cell>
        </row>
        <row r="6184">
          <cell r="K6184" t="str">
            <v>00111145P.2</v>
          </cell>
        </row>
        <row r="6185">
          <cell r="K6185" t="str">
            <v>00111145P.2</v>
          </cell>
        </row>
        <row r="6186">
          <cell r="K6186" t="str">
            <v>00111148P.2</v>
          </cell>
        </row>
        <row r="6187">
          <cell r="K6187" t="str">
            <v>00111148P.2</v>
          </cell>
        </row>
        <row r="6188">
          <cell r="K6188" t="str">
            <v>00111148P.2</v>
          </cell>
        </row>
        <row r="6189">
          <cell r="K6189" t="str">
            <v>00111148P.2</v>
          </cell>
        </row>
        <row r="6190">
          <cell r="K6190" t="str">
            <v>00111148P.2</v>
          </cell>
        </row>
        <row r="6191">
          <cell r="K6191" t="str">
            <v>00111148P.2</v>
          </cell>
        </row>
        <row r="6192">
          <cell r="K6192" t="str">
            <v>00111148P.2</v>
          </cell>
        </row>
        <row r="6193">
          <cell r="K6193" t="str">
            <v>00111148P.2</v>
          </cell>
        </row>
        <row r="6194">
          <cell r="K6194" t="str">
            <v>00111149P.2</v>
          </cell>
        </row>
        <row r="6195">
          <cell r="K6195" t="str">
            <v>00111149P.2</v>
          </cell>
        </row>
        <row r="6196">
          <cell r="K6196" t="str">
            <v>00111149P.2</v>
          </cell>
        </row>
        <row r="6197">
          <cell r="K6197" t="str">
            <v>00111150P.2</v>
          </cell>
        </row>
        <row r="6198">
          <cell r="K6198" t="str">
            <v>00111150P.2</v>
          </cell>
        </row>
        <row r="6199">
          <cell r="K6199" t="str">
            <v>00111150P.2</v>
          </cell>
        </row>
        <row r="6200">
          <cell r="K6200" t="str">
            <v>00111150P.2</v>
          </cell>
        </row>
        <row r="6201">
          <cell r="K6201" t="str">
            <v>00111150P.2</v>
          </cell>
        </row>
        <row r="6202">
          <cell r="K6202" t="str">
            <v>00111150P.2</v>
          </cell>
        </row>
        <row r="6203">
          <cell r="K6203" t="str">
            <v>00111150P.2</v>
          </cell>
        </row>
        <row r="6204">
          <cell r="K6204" t="str">
            <v>00111150P.2</v>
          </cell>
        </row>
        <row r="6205">
          <cell r="K6205" t="str">
            <v>00111150P.2</v>
          </cell>
        </row>
        <row r="6206">
          <cell r="K6206" t="str">
            <v>00111157P.2</v>
          </cell>
        </row>
        <row r="6207">
          <cell r="K6207" t="str">
            <v>00111159P.2</v>
          </cell>
        </row>
        <row r="6208">
          <cell r="K6208" t="str">
            <v>00111159P.2</v>
          </cell>
        </row>
        <row r="6209">
          <cell r="K6209" t="str">
            <v>00111159P.2</v>
          </cell>
        </row>
        <row r="6210">
          <cell r="K6210" t="str">
            <v>00111159P.2</v>
          </cell>
        </row>
        <row r="6211">
          <cell r="K6211" t="str">
            <v>00111159P.2</v>
          </cell>
        </row>
        <row r="6212">
          <cell r="K6212" t="str">
            <v>00111159P.2</v>
          </cell>
        </row>
        <row r="6213">
          <cell r="K6213" t="str">
            <v>00111107P.2</v>
          </cell>
        </row>
        <row r="6214">
          <cell r="K6214" t="str">
            <v>00111107P.2</v>
          </cell>
        </row>
        <row r="6215">
          <cell r="K6215" t="str">
            <v>00111144P.2</v>
          </cell>
        </row>
        <row r="6216">
          <cell r="K6216" t="str">
            <v>00111144P.2</v>
          </cell>
        </row>
        <row r="6217">
          <cell r="K6217" t="str">
            <v>00111144P.2</v>
          </cell>
        </row>
        <row r="6218">
          <cell r="K6218" t="str">
            <v>00111144P.2</v>
          </cell>
        </row>
        <row r="6219">
          <cell r="K6219" t="str">
            <v>00111144P.2</v>
          </cell>
        </row>
        <row r="6220">
          <cell r="K6220" t="str">
            <v>00111160P.2</v>
          </cell>
        </row>
        <row r="6221">
          <cell r="K6221" t="str">
            <v>00111160P.2</v>
          </cell>
        </row>
        <row r="6222">
          <cell r="K6222" t="str">
            <v>00111160P.2</v>
          </cell>
        </row>
        <row r="6223">
          <cell r="K6223" t="str">
            <v>00111160P.2</v>
          </cell>
        </row>
        <row r="6224">
          <cell r="K6224" t="str">
            <v>00111160P.2</v>
          </cell>
        </row>
        <row r="6225">
          <cell r="K6225" t="str">
            <v>00111160P.2</v>
          </cell>
        </row>
        <row r="6226">
          <cell r="K6226" t="str">
            <v>00111160P.2</v>
          </cell>
        </row>
        <row r="6227">
          <cell r="K6227" t="str">
            <v>00111160P.2</v>
          </cell>
        </row>
        <row r="6228">
          <cell r="K6228" t="str">
            <v>00111160P.2</v>
          </cell>
        </row>
        <row r="6229">
          <cell r="K6229" t="str">
            <v>00111160P.2</v>
          </cell>
        </row>
        <row r="6230">
          <cell r="K6230" t="str">
            <v>00111160P.2</v>
          </cell>
        </row>
        <row r="6231">
          <cell r="K6231" t="str">
            <v>00111160P.2</v>
          </cell>
        </row>
        <row r="6232">
          <cell r="K6232" t="str">
            <v>00111160P.2</v>
          </cell>
        </row>
        <row r="6233">
          <cell r="K6233" t="str">
            <v>00111160P.2</v>
          </cell>
        </row>
        <row r="6234">
          <cell r="K6234" t="str">
            <v>00111160P.2</v>
          </cell>
        </row>
        <row r="6235">
          <cell r="K6235" t="str">
            <v>00111160P.2</v>
          </cell>
        </row>
        <row r="6236">
          <cell r="K6236" t="str">
            <v>00111160P.2</v>
          </cell>
        </row>
        <row r="6237">
          <cell r="K6237" t="str">
            <v>00111160P.2</v>
          </cell>
        </row>
        <row r="6238">
          <cell r="K6238" t="str">
            <v>00111160P.2</v>
          </cell>
        </row>
        <row r="6239">
          <cell r="K6239" t="str">
            <v>00111160P.2</v>
          </cell>
        </row>
        <row r="6240">
          <cell r="K6240" t="str">
            <v>00111160P.2</v>
          </cell>
        </row>
        <row r="6241">
          <cell r="K6241" t="str">
            <v>00111160P.2</v>
          </cell>
        </row>
        <row r="6242">
          <cell r="K6242" t="str">
            <v>00111160P.2</v>
          </cell>
        </row>
        <row r="6243">
          <cell r="K6243" t="str">
            <v>00111159P.2</v>
          </cell>
        </row>
        <row r="6244">
          <cell r="K6244" t="str">
            <v>00111159P.2</v>
          </cell>
        </row>
        <row r="6245">
          <cell r="K6245" t="str">
            <v>00111159P.2</v>
          </cell>
        </row>
        <row r="6246">
          <cell r="K6246" t="str">
            <v>00111159P.2</v>
          </cell>
        </row>
        <row r="6247">
          <cell r="K6247" t="str">
            <v>00111159P.2</v>
          </cell>
        </row>
        <row r="6248">
          <cell r="K6248" t="str">
            <v>00111159P.2</v>
          </cell>
        </row>
        <row r="6249">
          <cell r="K6249" t="str">
            <v>00111159P.2</v>
          </cell>
        </row>
        <row r="6250">
          <cell r="K6250" t="str">
            <v>00111112P.2</v>
          </cell>
        </row>
        <row r="6251">
          <cell r="K6251" t="str">
            <v>00111121P.2</v>
          </cell>
        </row>
        <row r="6252">
          <cell r="K6252" t="str">
            <v>00111121P.2</v>
          </cell>
        </row>
        <row r="6253">
          <cell r="K6253" t="str">
            <v>00111122P.2</v>
          </cell>
        </row>
        <row r="6254">
          <cell r="K6254" t="str">
            <v>00111128P.2</v>
          </cell>
        </row>
        <row r="6255">
          <cell r="K6255" t="str">
            <v>00111130P.2</v>
          </cell>
        </row>
        <row r="6256">
          <cell r="K6256" t="str">
            <v>00111131P.2</v>
          </cell>
        </row>
        <row r="6257">
          <cell r="K6257" t="str">
            <v>00111133P.2</v>
          </cell>
        </row>
        <row r="6258">
          <cell r="K6258" t="str">
            <v>00111135P.2</v>
          </cell>
        </row>
        <row r="6259">
          <cell r="K6259" t="str">
            <v>00111112P.2</v>
          </cell>
        </row>
        <row r="6260">
          <cell r="K6260" t="str">
            <v>00111115P.2</v>
          </cell>
        </row>
        <row r="6261">
          <cell r="K6261" t="str">
            <v>00111116P.2</v>
          </cell>
        </row>
        <row r="6262">
          <cell r="K6262" t="str">
            <v>00111119P.2</v>
          </cell>
        </row>
        <row r="6263">
          <cell r="K6263" t="str">
            <v>00111120P.2</v>
          </cell>
        </row>
        <row r="6264">
          <cell r="K6264" t="str">
            <v>00111120P.2</v>
          </cell>
        </row>
        <row r="6265">
          <cell r="K6265" t="str">
            <v>00111126P.2</v>
          </cell>
        </row>
        <row r="6266">
          <cell r="K6266" t="str">
            <v>00111127P.2</v>
          </cell>
        </row>
        <row r="6267">
          <cell r="K6267" t="str">
            <v>00111128P.2</v>
          </cell>
        </row>
        <row r="6268">
          <cell r="K6268" t="str">
            <v>00111128P.2</v>
          </cell>
        </row>
        <row r="6269">
          <cell r="K6269" t="str">
            <v>00111132P.2</v>
          </cell>
        </row>
        <row r="6270">
          <cell r="K6270" t="str">
            <v>00111118P.2</v>
          </cell>
        </row>
        <row r="6271">
          <cell r="K6271" t="str">
            <v>00111110P.2</v>
          </cell>
        </row>
        <row r="6272">
          <cell r="K6272" t="str">
            <v>00111112P.2</v>
          </cell>
        </row>
        <row r="6273">
          <cell r="K6273" t="str">
            <v>00111113P.2</v>
          </cell>
        </row>
        <row r="6274">
          <cell r="K6274" t="str">
            <v>00111114P.2</v>
          </cell>
        </row>
        <row r="6275">
          <cell r="K6275" t="str">
            <v>00111117P.2</v>
          </cell>
        </row>
        <row r="6276">
          <cell r="K6276" t="str">
            <v>00111117P.2</v>
          </cell>
        </row>
        <row r="6277">
          <cell r="K6277" t="str">
            <v>00111117P.2</v>
          </cell>
        </row>
        <row r="6278">
          <cell r="K6278" t="str">
            <v>00111117P.2</v>
          </cell>
        </row>
        <row r="6279">
          <cell r="K6279" t="str">
            <v>00111118P.2</v>
          </cell>
        </row>
        <row r="6280">
          <cell r="K6280" t="str">
            <v>00111118P.2</v>
          </cell>
        </row>
        <row r="6281">
          <cell r="K6281" t="str">
            <v>00111118P.2</v>
          </cell>
        </row>
        <row r="6282">
          <cell r="K6282" t="str">
            <v>00111119P.2</v>
          </cell>
        </row>
        <row r="6283">
          <cell r="K6283" t="str">
            <v>00111119P.2</v>
          </cell>
        </row>
        <row r="6284">
          <cell r="K6284" t="str">
            <v>00111119P.2</v>
          </cell>
        </row>
        <row r="6285">
          <cell r="K6285" t="str">
            <v>00111122P.2</v>
          </cell>
        </row>
        <row r="6286">
          <cell r="K6286" t="str">
            <v>00111131P.2</v>
          </cell>
        </row>
        <row r="6287">
          <cell r="K6287" t="str">
            <v>00111131P.2</v>
          </cell>
        </row>
        <row r="6288">
          <cell r="K6288" t="str">
            <v>00111132P.2</v>
          </cell>
        </row>
        <row r="6289">
          <cell r="K6289" t="str">
            <v>00111135P.2</v>
          </cell>
        </row>
        <row r="6290">
          <cell r="K6290" t="str">
            <v>00111112P.2</v>
          </cell>
        </row>
        <row r="6291">
          <cell r="K6291" t="str">
            <v>00111121P.2</v>
          </cell>
        </row>
        <row r="6292">
          <cell r="K6292" t="str">
            <v>00111130P.2</v>
          </cell>
        </row>
        <row r="6293">
          <cell r="K6293" t="str">
            <v>00111132P.2</v>
          </cell>
        </row>
        <row r="6294">
          <cell r="K6294" t="str">
            <v>00111132P.2</v>
          </cell>
        </row>
        <row r="6295">
          <cell r="K6295" t="str">
            <v>00111114P.2</v>
          </cell>
        </row>
        <row r="6296">
          <cell r="K6296" t="str">
            <v>00111115P.2</v>
          </cell>
        </row>
        <row r="6297">
          <cell r="K6297" t="str">
            <v>00111116P.2</v>
          </cell>
        </row>
        <row r="6298">
          <cell r="K6298" t="str">
            <v>00111119P.2</v>
          </cell>
        </row>
        <row r="6299">
          <cell r="K6299" t="str">
            <v>00111128P.2</v>
          </cell>
        </row>
        <row r="6300">
          <cell r="K6300" t="str">
            <v>00111129P.2</v>
          </cell>
        </row>
        <row r="6301">
          <cell r="K6301" t="str">
            <v>00111129P.2</v>
          </cell>
        </row>
        <row r="6302">
          <cell r="K6302" t="str">
            <v>00111130P.2</v>
          </cell>
        </row>
        <row r="6303">
          <cell r="K6303" t="str">
            <v>00111131P.2</v>
          </cell>
        </row>
        <row r="6304">
          <cell r="K6304" t="str">
            <v>00111131P.2</v>
          </cell>
        </row>
        <row r="6305">
          <cell r="K6305" t="str">
            <v>00111132P.2</v>
          </cell>
        </row>
        <row r="6306">
          <cell r="K6306" t="str">
            <v>00111135P.2</v>
          </cell>
        </row>
        <row r="6307">
          <cell r="K6307" t="str">
            <v>00111110P.2</v>
          </cell>
        </row>
        <row r="6308">
          <cell r="K6308" t="str">
            <v>00111112P.2</v>
          </cell>
        </row>
        <row r="6309">
          <cell r="K6309" t="str">
            <v>00111113P.2</v>
          </cell>
        </row>
        <row r="6310">
          <cell r="K6310" t="str">
            <v>00111113P.2</v>
          </cell>
        </row>
        <row r="6311">
          <cell r="K6311" t="str">
            <v>00111113P.2</v>
          </cell>
        </row>
        <row r="6312">
          <cell r="K6312" t="str">
            <v>00111114P.2</v>
          </cell>
        </row>
        <row r="6313">
          <cell r="K6313" t="str">
            <v>00111118P.2</v>
          </cell>
        </row>
        <row r="6314">
          <cell r="K6314" t="str">
            <v>00111123P.2</v>
          </cell>
        </row>
        <row r="6315">
          <cell r="K6315" t="str">
            <v>00111124P.2</v>
          </cell>
        </row>
        <row r="6316">
          <cell r="K6316" t="str">
            <v>00111129P.2</v>
          </cell>
        </row>
        <row r="6317">
          <cell r="K6317" t="str">
            <v>00111135P.2</v>
          </cell>
        </row>
        <row r="6318">
          <cell r="K6318" t="str">
            <v>00111121P.2</v>
          </cell>
        </row>
        <row r="6319">
          <cell r="K6319" t="str">
            <v>00111135P.2</v>
          </cell>
        </row>
        <row r="6320">
          <cell r="K6320" t="str">
            <v>00111110P.2</v>
          </cell>
        </row>
        <row r="6321">
          <cell r="K6321" t="str">
            <v>00111112P.2</v>
          </cell>
        </row>
        <row r="6322">
          <cell r="K6322" t="str">
            <v>00111112P.2</v>
          </cell>
        </row>
        <row r="6323">
          <cell r="K6323" t="str">
            <v>00111114P.2</v>
          </cell>
        </row>
        <row r="6324">
          <cell r="K6324" t="str">
            <v>00111115P.2</v>
          </cell>
        </row>
        <row r="6325">
          <cell r="K6325" t="str">
            <v>00111116P.2</v>
          </cell>
        </row>
        <row r="6326">
          <cell r="K6326" t="str">
            <v>00111116P.2</v>
          </cell>
        </row>
        <row r="6327">
          <cell r="K6327" t="str">
            <v>00111117P.2</v>
          </cell>
        </row>
        <row r="6328">
          <cell r="K6328" t="str">
            <v>00111119P.2</v>
          </cell>
        </row>
        <row r="6329">
          <cell r="K6329" t="str">
            <v>00111121P.2</v>
          </cell>
        </row>
        <row r="6330">
          <cell r="K6330" t="str">
            <v>00111128P.2</v>
          </cell>
        </row>
        <row r="6331">
          <cell r="K6331" t="str">
            <v>00111129P.2</v>
          </cell>
        </row>
        <row r="6332">
          <cell r="K6332" t="str">
            <v>00111131P.2</v>
          </cell>
        </row>
        <row r="6333">
          <cell r="K6333" t="str">
            <v>00111119P.2</v>
          </cell>
        </row>
        <row r="6334">
          <cell r="K6334" t="str">
            <v>00111133P.2</v>
          </cell>
        </row>
        <row r="6335">
          <cell r="K6335" t="str">
            <v>00111113P.2</v>
          </cell>
        </row>
        <row r="6336">
          <cell r="K6336" t="str">
            <v>00111128P.2</v>
          </cell>
        </row>
        <row r="6337">
          <cell r="K6337" t="str">
            <v>00111134P.2</v>
          </cell>
        </row>
        <row r="6338">
          <cell r="K6338" t="str">
            <v>00111135P.2</v>
          </cell>
        </row>
        <row r="6339">
          <cell r="K6339" t="str">
            <v>00111123P.2</v>
          </cell>
        </row>
        <row r="6340">
          <cell r="K6340" t="str">
            <v>00111110P.2</v>
          </cell>
        </row>
        <row r="6341">
          <cell r="K6341" t="str">
            <v>00111110P.2</v>
          </cell>
        </row>
        <row r="6342">
          <cell r="K6342" t="str">
            <v>00111110P.2</v>
          </cell>
        </row>
        <row r="6343">
          <cell r="K6343" t="str">
            <v>00111112P.2</v>
          </cell>
        </row>
        <row r="6344">
          <cell r="K6344" t="str">
            <v>00111116P.2</v>
          </cell>
        </row>
        <row r="6345">
          <cell r="K6345" t="str">
            <v>00111135P.2</v>
          </cell>
        </row>
        <row r="6346">
          <cell r="K6346" t="str">
            <v>00111136P.2</v>
          </cell>
        </row>
        <row r="6347">
          <cell r="K6347" t="str">
            <v>00111123P.2</v>
          </cell>
        </row>
        <row r="6348">
          <cell r="K6348" t="str">
            <v>00111113P.2</v>
          </cell>
        </row>
        <row r="6349">
          <cell r="K6349" t="str">
            <v>00111132P.2</v>
          </cell>
        </row>
        <row r="6350">
          <cell r="K6350" t="str">
            <v>00111110P.2</v>
          </cell>
        </row>
        <row r="6351">
          <cell r="K6351" t="str">
            <v>00111115P.2</v>
          </cell>
        </row>
        <row r="6352">
          <cell r="K6352" t="str">
            <v>00111116P.2</v>
          </cell>
        </row>
        <row r="6353">
          <cell r="K6353" t="str">
            <v>00111117P.2</v>
          </cell>
        </row>
        <row r="6354">
          <cell r="K6354" t="str">
            <v>00111110P.2</v>
          </cell>
        </row>
        <row r="6355">
          <cell r="K6355" t="str">
            <v>00111115P.2</v>
          </cell>
        </row>
        <row r="6356">
          <cell r="K6356" t="str">
            <v>00111115P.2</v>
          </cell>
        </row>
        <row r="6357">
          <cell r="K6357" t="str">
            <v>00111115P.2</v>
          </cell>
        </row>
        <row r="6358">
          <cell r="K6358" t="str">
            <v>00111116P.2</v>
          </cell>
        </row>
        <row r="6359">
          <cell r="K6359" t="str">
            <v>00111120P.2</v>
          </cell>
        </row>
        <row r="6360">
          <cell r="K6360" t="str">
            <v>00111127P.2</v>
          </cell>
        </row>
        <row r="6361">
          <cell r="K6361" t="str">
            <v>00111130P.2</v>
          </cell>
        </row>
        <row r="6362">
          <cell r="K6362" t="str">
            <v>00111134P.2</v>
          </cell>
        </row>
        <row r="6363">
          <cell r="K6363" t="str">
            <v>00111136P.2</v>
          </cell>
        </row>
        <row r="6364">
          <cell r="K6364" t="str">
            <v>00111110P.2</v>
          </cell>
        </row>
        <row r="6365">
          <cell r="K6365" t="str">
            <v>00111127P.2</v>
          </cell>
        </row>
        <row r="6366">
          <cell r="K6366" t="str">
            <v>00111136P.2</v>
          </cell>
        </row>
        <row r="6367">
          <cell r="K6367" t="str">
            <v>00111121P.2</v>
          </cell>
        </row>
        <row r="6368">
          <cell r="K6368" t="str">
            <v>00111124P.2</v>
          </cell>
        </row>
        <row r="6369">
          <cell r="K6369" t="str">
            <v>00111133P.2</v>
          </cell>
        </row>
        <row r="6370">
          <cell r="K6370" t="str">
            <v>00111126P.2</v>
          </cell>
        </row>
        <row r="6371">
          <cell r="K6371" t="str">
            <v>00111127P.2</v>
          </cell>
        </row>
        <row r="6372">
          <cell r="K6372" t="str">
            <v>00111116P.2</v>
          </cell>
        </row>
        <row r="6373">
          <cell r="K6373" t="str">
            <v>00111112P.2</v>
          </cell>
        </row>
        <row r="6374">
          <cell r="K6374" t="str">
            <v>00111118P.2</v>
          </cell>
        </row>
        <row r="6375">
          <cell r="K6375" t="str">
            <v>00111123P.2</v>
          </cell>
        </row>
        <row r="6376">
          <cell r="K6376" t="str">
            <v>00111124P.2</v>
          </cell>
        </row>
        <row r="6377">
          <cell r="K6377" t="str">
            <v>00111126P.2</v>
          </cell>
        </row>
        <row r="6378">
          <cell r="K6378" t="str">
            <v>00111132P.2</v>
          </cell>
        </row>
        <row r="6379">
          <cell r="K6379" t="str">
            <v>00111124P.2</v>
          </cell>
        </row>
        <row r="6380">
          <cell r="K6380" t="str">
            <v>00111128P.2</v>
          </cell>
        </row>
        <row r="6381">
          <cell r="K6381" t="str">
            <v>00111135P.2</v>
          </cell>
        </row>
        <row r="6382">
          <cell r="K6382" t="str">
            <v>00111124P.2</v>
          </cell>
        </row>
        <row r="6383">
          <cell r="K6383" t="str">
            <v>00111124P.2</v>
          </cell>
        </row>
        <row r="6384">
          <cell r="K6384" t="str">
            <v>00111129P.2</v>
          </cell>
        </row>
        <row r="6385">
          <cell r="K6385" t="str">
            <v>00111115P.2</v>
          </cell>
        </row>
        <row r="6386">
          <cell r="K6386" t="str">
            <v>00111117P.2</v>
          </cell>
        </row>
        <row r="6387">
          <cell r="K6387" t="str">
            <v>00111124P.2</v>
          </cell>
        </row>
        <row r="6388">
          <cell r="K6388" t="str">
            <v>00111132P.2</v>
          </cell>
        </row>
        <row r="6389">
          <cell r="K6389" t="str">
            <v>00111136P.2</v>
          </cell>
        </row>
        <row r="6390">
          <cell r="K6390" t="str">
            <v>00111123P.2</v>
          </cell>
        </row>
        <row r="6391">
          <cell r="K6391" t="str">
            <v>00111112P.2</v>
          </cell>
        </row>
        <row r="6392">
          <cell r="K6392" t="str">
            <v>00111113P.2</v>
          </cell>
        </row>
        <row r="6393">
          <cell r="K6393" t="str">
            <v>00111116P.2</v>
          </cell>
        </row>
        <row r="6394">
          <cell r="K6394" t="str">
            <v>00111118P.2</v>
          </cell>
        </row>
        <row r="6395">
          <cell r="K6395" t="str">
            <v>00111126P.2</v>
          </cell>
        </row>
        <row r="6396">
          <cell r="K6396" t="str">
            <v>00111127P.2</v>
          </cell>
        </row>
        <row r="6397">
          <cell r="K6397" t="str">
            <v>00111121P.2</v>
          </cell>
        </row>
        <row r="6398">
          <cell r="K6398" t="str">
            <v>00111129P.2</v>
          </cell>
        </row>
        <row r="6399">
          <cell r="K6399" t="str">
            <v>00111110P.2</v>
          </cell>
        </row>
        <row r="6400">
          <cell r="K6400" t="str">
            <v>00111126P.2</v>
          </cell>
        </row>
        <row r="6401">
          <cell r="K6401" t="str">
            <v>00111128P.2</v>
          </cell>
        </row>
        <row r="6402">
          <cell r="K6402" t="str">
            <v>00111131P.2</v>
          </cell>
        </row>
        <row r="6403">
          <cell r="K6403" t="str">
            <v>00111134P.2</v>
          </cell>
        </row>
        <row r="6404">
          <cell r="K6404" t="str">
            <v>00111110P.2</v>
          </cell>
        </row>
        <row r="6405">
          <cell r="K6405" t="str">
            <v>00111110P.2</v>
          </cell>
        </row>
        <row r="6406">
          <cell r="K6406" t="str">
            <v>00111111P.2</v>
          </cell>
        </row>
        <row r="6407">
          <cell r="K6407" t="str">
            <v>00111116P.2</v>
          </cell>
        </row>
        <row r="6408">
          <cell r="K6408" t="str">
            <v>00111117P.2</v>
          </cell>
        </row>
        <row r="6409">
          <cell r="K6409" t="str">
            <v>00111130P.2</v>
          </cell>
        </row>
        <row r="6410">
          <cell r="K6410" t="str">
            <v>00111136P.2</v>
          </cell>
        </row>
        <row r="6411">
          <cell r="K6411" t="str">
            <v>00111136P.2</v>
          </cell>
        </row>
        <row r="6412">
          <cell r="K6412" t="str">
            <v>00111130P.2</v>
          </cell>
        </row>
        <row r="6413">
          <cell r="K6413" t="str">
            <v>00111121P.2</v>
          </cell>
        </row>
        <row r="6414">
          <cell r="K6414" t="str">
            <v>00111133P.2</v>
          </cell>
        </row>
        <row r="6415">
          <cell r="K6415" t="str">
            <v>00111121P.2</v>
          </cell>
        </row>
        <row r="6416">
          <cell r="K6416" t="str">
            <v>00111124P.2</v>
          </cell>
        </row>
        <row r="6417">
          <cell r="K6417" t="str">
            <v>00111125P.2</v>
          </cell>
        </row>
        <row r="6418">
          <cell r="K6418" t="str">
            <v>00111117P.2</v>
          </cell>
        </row>
        <row r="6419">
          <cell r="K6419" t="str">
            <v>00111117P.2</v>
          </cell>
        </row>
        <row r="6420">
          <cell r="K6420" t="str">
            <v>00111124P.2</v>
          </cell>
        </row>
        <row r="6421">
          <cell r="K6421" t="str">
            <v>00111127P.2</v>
          </cell>
        </row>
        <row r="6422">
          <cell r="K6422" t="str">
            <v>00111130P.2</v>
          </cell>
        </row>
        <row r="6423">
          <cell r="K6423" t="str">
            <v>00111133P.2</v>
          </cell>
        </row>
        <row r="6424">
          <cell r="K6424" t="str">
            <v>00111135P.2</v>
          </cell>
        </row>
        <row r="6425">
          <cell r="K6425" t="str">
            <v>00111136P.2</v>
          </cell>
        </row>
        <row r="6426">
          <cell r="K6426" t="str">
            <v>00111123P.2</v>
          </cell>
        </row>
        <row r="6427">
          <cell r="K6427" t="str">
            <v>00111113P.2</v>
          </cell>
        </row>
        <row r="6428">
          <cell r="K6428" t="str">
            <v>00111117P.2</v>
          </cell>
        </row>
        <row r="6429">
          <cell r="K6429" t="str">
            <v>00111136P.2</v>
          </cell>
        </row>
        <row r="6430">
          <cell r="K6430" t="str">
            <v>00111115P.2</v>
          </cell>
        </row>
        <row r="6431">
          <cell r="K6431" t="str">
            <v>00111124P.2</v>
          </cell>
        </row>
        <row r="6432">
          <cell r="K6432" t="str">
            <v>00111125P.2</v>
          </cell>
        </row>
        <row r="6433">
          <cell r="K6433" t="str">
            <v>00111134P.2</v>
          </cell>
        </row>
        <row r="6434">
          <cell r="K6434" t="str">
            <v>00111110P.2</v>
          </cell>
        </row>
        <row r="6435">
          <cell r="K6435" t="str">
            <v>00111116P.2</v>
          </cell>
        </row>
        <row r="6436">
          <cell r="K6436" t="str">
            <v>00111130P.2</v>
          </cell>
        </row>
        <row r="6437">
          <cell r="K6437" t="str">
            <v>00111128P.2</v>
          </cell>
        </row>
        <row r="6438">
          <cell r="K6438" t="str">
            <v>00111120P.2</v>
          </cell>
        </row>
        <row r="6439">
          <cell r="K6439" t="str">
            <v>00111124P.2</v>
          </cell>
        </row>
        <row r="6440">
          <cell r="K6440" t="str">
            <v>00111132P.2</v>
          </cell>
        </row>
        <row r="6441">
          <cell r="K6441" t="str">
            <v>00111110P.2</v>
          </cell>
        </row>
        <row r="6442">
          <cell r="K6442" t="str">
            <v>00111131P.2</v>
          </cell>
        </row>
        <row r="6443">
          <cell r="K6443" t="str">
            <v>00111135P.2</v>
          </cell>
        </row>
        <row r="6444">
          <cell r="K6444" t="str">
            <v>00111118P.2</v>
          </cell>
        </row>
        <row r="6445">
          <cell r="K6445" t="str">
            <v>00111126P.2</v>
          </cell>
        </row>
        <row r="6446">
          <cell r="K6446" t="str">
            <v>00111111P.2</v>
          </cell>
        </row>
        <row r="6447">
          <cell r="K6447" t="str">
            <v>00111113P.2</v>
          </cell>
        </row>
        <row r="6448">
          <cell r="K6448" t="str">
            <v>00111116P.2</v>
          </cell>
        </row>
        <row r="6449">
          <cell r="K6449" t="str">
            <v>00111116P.2</v>
          </cell>
        </row>
        <row r="6450">
          <cell r="K6450" t="str">
            <v>00111118P.2</v>
          </cell>
        </row>
        <row r="6451">
          <cell r="K6451" t="str">
            <v>00111127P.2</v>
          </cell>
        </row>
        <row r="6452">
          <cell r="K6452" t="str">
            <v>00111131P.2</v>
          </cell>
        </row>
        <row r="6453">
          <cell r="K6453" t="str">
            <v>00111114P.2</v>
          </cell>
        </row>
        <row r="6454">
          <cell r="K6454" t="str">
            <v>00111132P.2</v>
          </cell>
        </row>
        <row r="6455">
          <cell r="K6455" t="str">
            <v>00111134P.2</v>
          </cell>
        </row>
        <row r="6456">
          <cell r="K6456" t="str">
            <v>00111135P.2</v>
          </cell>
        </row>
        <row r="6457">
          <cell r="K6457" t="str">
            <v>00111136P.2</v>
          </cell>
        </row>
        <row r="6458">
          <cell r="K6458" t="str">
            <v>00111116P.2</v>
          </cell>
        </row>
        <row r="6459">
          <cell r="K6459" t="str">
            <v>00111117P.2</v>
          </cell>
        </row>
        <row r="6460">
          <cell r="K6460" t="str">
            <v>00111129P.2</v>
          </cell>
        </row>
        <row r="6461">
          <cell r="K6461" t="str">
            <v>00111129P.2</v>
          </cell>
        </row>
        <row r="6462">
          <cell r="K6462" t="str">
            <v>00111132P.2</v>
          </cell>
        </row>
        <row r="6463">
          <cell r="K6463" t="str">
            <v>00111135P.2</v>
          </cell>
        </row>
        <row r="6464">
          <cell r="K6464" t="str">
            <v>00111131P.2</v>
          </cell>
        </row>
        <row r="6465">
          <cell r="K6465" t="str">
            <v>00111132P.2</v>
          </cell>
        </row>
        <row r="6466">
          <cell r="K6466" t="str">
            <v>00111133P.2</v>
          </cell>
        </row>
        <row r="6467">
          <cell r="K6467" t="str">
            <v>00111114P.2</v>
          </cell>
        </row>
        <row r="6468">
          <cell r="K6468" t="str">
            <v>00111121P.2</v>
          </cell>
        </row>
        <row r="6469">
          <cell r="K6469" t="str">
            <v>00111118P.2</v>
          </cell>
        </row>
        <row r="6470">
          <cell r="K6470" t="str">
            <v>00111133P.2</v>
          </cell>
        </row>
        <row r="6471">
          <cell r="K6471" t="str">
            <v>00111115P.2</v>
          </cell>
        </row>
        <row r="6472">
          <cell r="K6472" t="str">
            <v>00111128P.2</v>
          </cell>
        </row>
        <row r="6473">
          <cell r="K6473" t="str">
            <v>00111113P.2</v>
          </cell>
        </row>
        <row r="6474">
          <cell r="K6474" t="str">
            <v>00111110P.2</v>
          </cell>
        </row>
        <row r="6475">
          <cell r="K6475" t="str">
            <v>00111110P.2</v>
          </cell>
        </row>
        <row r="6476">
          <cell r="K6476" t="str">
            <v>00111114P.2</v>
          </cell>
        </row>
        <row r="6477">
          <cell r="K6477" t="str">
            <v>00111116P.2</v>
          </cell>
        </row>
        <row r="6478">
          <cell r="K6478" t="str">
            <v>00111123P.2</v>
          </cell>
        </row>
        <row r="6479">
          <cell r="K6479" t="str">
            <v>00111129P.2</v>
          </cell>
        </row>
        <row r="6480">
          <cell r="K6480" t="str">
            <v>00111130P.2</v>
          </cell>
        </row>
        <row r="6481">
          <cell r="K6481" t="str">
            <v>00111114P.2</v>
          </cell>
        </row>
        <row r="6482">
          <cell r="K6482" t="str">
            <v>00111124P.2</v>
          </cell>
        </row>
        <row r="6483">
          <cell r="K6483" t="str">
            <v>00111118P.2</v>
          </cell>
        </row>
        <row r="6484">
          <cell r="K6484" t="str">
            <v>00111133P.2</v>
          </cell>
        </row>
        <row r="6485">
          <cell r="K6485" t="str">
            <v>00111132P.2</v>
          </cell>
        </row>
        <row r="6486">
          <cell r="K6486" t="str">
            <v>00111135P.2</v>
          </cell>
        </row>
        <row r="6487">
          <cell r="K6487" t="str">
            <v>00111134P.2</v>
          </cell>
        </row>
        <row r="6488">
          <cell r="K6488" t="str">
            <v>00111122P.2</v>
          </cell>
        </row>
        <row r="6489">
          <cell r="K6489" t="str">
            <v>00111126P.2</v>
          </cell>
        </row>
        <row r="6490">
          <cell r="K6490" t="str">
            <v>00111132P.2</v>
          </cell>
        </row>
        <row r="6491">
          <cell r="K6491" t="str">
            <v>00111128P.2</v>
          </cell>
        </row>
        <row r="6492">
          <cell r="K6492" t="str">
            <v>00111114P.2</v>
          </cell>
        </row>
        <row r="6493">
          <cell r="K6493" t="str">
            <v>00111116P.2</v>
          </cell>
        </row>
        <row r="6494">
          <cell r="K6494" t="str">
            <v>00111130P.2</v>
          </cell>
        </row>
        <row r="6495">
          <cell r="K6495" t="str">
            <v>00111117P.2</v>
          </cell>
        </row>
        <row r="6496">
          <cell r="K6496" t="str">
            <v>00111113P.2</v>
          </cell>
        </row>
        <row r="6497">
          <cell r="K6497" t="str">
            <v>00111120P.2</v>
          </cell>
        </row>
        <row r="6498">
          <cell r="K6498" t="str">
            <v>00111117P.2</v>
          </cell>
        </row>
        <row r="6499">
          <cell r="K6499" t="str">
            <v>00111121P.2</v>
          </cell>
        </row>
        <row r="6500">
          <cell r="K6500" t="str">
            <v>00111121P.2</v>
          </cell>
        </row>
        <row r="6501">
          <cell r="K6501" t="str">
            <v>00111128P.2</v>
          </cell>
        </row>
        <row r="6502">
          <cell r="K6502" t="str">
            <v>00111136P.2</v>
          </cell>
        </row>
        <row r="6503">
          <cell r="K6503" t="str">
            <v>00111131P.2</v>
          </cell>
        </row>
        <row r="6504">
          <cell r="K6504" t="str">
            <v>00111117P.2</v>
          </cell>
        </row>
        <row r="6505">
          <cell r="K6505" t="str">
            <v>00111132P.2</v>
          </cell>
        </row>
        <row r="6506">
          <cell r="K6506" t="str">
            <v>00111124P.2</v>
          </cell>
        </row>
        <row r="6507">
          <cell r="K6507" t="str">
            <v>00111126P.2</v>
          </cell>
        </row>
        <row r="6508">
          <cell r="K6508" t="str">
            <v>00111116P.2</v>
          </cell>
        </row>
        <row r="6509">
          <cell r="K6509" t="str">
            <v>00111121P.2</v>
          </cell>
        </row>
        <row r="6510">
          <cell r="K6510" t="str">
            <v>00111122P.2</v>
          </cell>
        </row>
        <row r="6511">
          <cell r="K6511" t="str">
            <v>00111126P.2</v>
          </cell>
        </row>
        <row r="6512">
          <cell r="K6512" t="str">
            <v>00111127P.2</v>
          </cell>
        </row>
        <row r="6513">
          <cell r="K6513" t="str">
            <v>00111112P.2</v>
          </cell>
        </row>
        <row r="6514">
          <cell r="K6514" t="str">
            <v>00111112P.2</v>
          </cell>
        </row>
        <row r="6515">
          <cell r="K6515" t="str">
            <v>00111125P.2</v>
          </cell>
        </row>
        <row r="6516">
          <cell r="K6516" t="str">
            <v>00111118P.2</v>
          </cell>
        </row>
        <row r="6517">
          <cell r="K6517" t="str">
            <v>00111118P.2</v>
          </cell>
        </row>
        <row r="6518">
          <cell r="K6518" t="str">
            <v>00111126P.2</v>
          </cell>
        </row>
        <row r="6519">
          <cell r="K6519" t="str">
            <v>00111128P.2</v>
          </cell>
        </row>
        <row r="6520">
          <cell r="K6520" t="str">
            <v>00111132P.2</v>
          </cell>
        </row>
        <row r="6521">
          <cell r="K6521" t="str">
            <v>00111124P.2</v>
          </cell>
        </row>
        <row r="6522">
          <cell r="K6522" t="str">
            <v>00111125P.2</v>
          </cell>
        </row>
        <row r="6523">
          <cell r="K6523" t="str">
            <v>00111128P.2</v>
          </cell>
        </row>
        <row r="6524">
          <cell r="K6524" t="str">
            <v>00111133P.2</v>
          </cell>
        </row>
        <row r="6525">
          <cell r="K6525" t="str">
            <v>00111127P.2</v>
          </cell>
        </row>
        <row r="6526">
          <cell r="K6526" t="str">
            <v>00111111P.2</v>
          </cell>
        </row>
        <row r="6527">
          <cell r="K6527" t="str">
            <v>00111128P.2</v>
          </cell>
        </row>
        <row r="6528">
          <cell r="K6528" t="str">
            <v>00111110P.2</v>
          </cell>
        </row>
        <row r="6529">
          <cell r="K6529" t="str">
            <v>00111113P.2</v>
          </cell>
        </row>
        <row r="6530">
          <cell r="K6530" t="str">
            <v>00111133P.2</v>
          </cell>
        </row>
        <row r="6531">
          <cell r="K6531" t="str">
            <v>00111125P.2</v>
          </cell>
        </row>
        <row r="6532">
          <cell r="K6532" t="str">
            <v>00111131P.2</v>
          </cell>
        </row>
        <row r="6533">
          <cell r="K6533" t="str">
            <v>00111120P.2</v>
          </cell>
        </row>
        <row r="6534">
          <cell r="K6534" t="str">
            <v>00111128P.2</v>
          </cell>
        </row>
        <row r="6535">
          <cell r="K6535" t="str">
            <v>00111131P.2</v>
          </cell>
        </row>
        <row r="6536">
          <cell r="K6536" t="str">
            <v>00111136P.2</v>
          </cell>
        </row>
        <row r="6537">
          <cell r="K6537" t="str">
            <v>00111120P.2</v>
          </cell>
        </row>
        <row r="6538">
          <cell r="K6538" t="str">
            <v>00111124P.2</v>
          </cell>
        </row>
        <row r="6539">
          <cell r="K6539" t="str">
            <v>00111135P.2</v>
          </cell>
        </row>
        <row r="6540">
          <cell r="K6540" t="str">
            <v>00111136P.2</v>
          </cell>
        </row>
        <row r="6541">
          <cell r="K6541" t="str">
            <v>00111135P.2</v>
          </cell>
        </row>
        <row r="6542">
          <cell r="K6542" t="str">
            <v>00111113P.2</v>
          </cell>
        </row>
        <row r="6543">
          <cell r="K6543" t="str">
            <v>00111132P.2</v>
          </cell>
        </row>
        <row r="6544">
          <cell r="K6544" t="str">
            <v>00111133P.2</v>
          </cell>
        </row>
        <row r="6545">
          <cell r="K6545" t="str">
            <v>00111121P.2</v>
          </cell>
        </row>
        <row r="6546">
          <cell r="K6546" t="str">
            <v>00111122P.2</v>
          </cell>
        </row>
        <row r="6547">
          <cell r="K6547" t="str">
            <v>00111115P.2</v>
          </cell>
        </row>
        <row r="6548">
          <cell r="K6548" t="str">
            <v>00111131P.2</v>
          </cell>
        </row>
        <row r="6549">
          <cell r="K6549" t="str">
            <v>00111132P.2</v>
          </cell>
        </row>
        <row r="6550">
          <cell r="K6550" t="str">
            <v>00111135P.2</v>
          </cell>
        </row>
        <row r="6551">
          <cell r="K6551" t="str">
            <v>00111123P.2</v>
          </cell>
        </row>
        <row r="6552">
          <cell r="K6552" t="str">
            <v>00111126P.2</v>
          </cell>
        </row>
        <row r="6553">
          <cell r="K6553" t="str">
            <v>00111131P.2</v>
          </cell>
        </row>
        <row r="6554">
          <cell r="K6554" t="str">
            <v>00111131P.2</v>
          </cell>
        </row>
        <row r="6555">
          <cell r="K6555" t="str">
            <v>00111112P.2</v>
          </cell>
        </row>
        <row r="6556">
          <cell r="K6556" t="str">
            <v>00111136P.2</v>
          </cell>
        </row>
        <row r="6557">
          <cell r="K6557" t="str">
            <v>00111116P.2</v>
          </cell>
        </row>
        <row r="6558">
          <cell r="K6558" t="str">
            <v>00111110P.2</v>
          </cell>
        </row>
        <row r="6559">
          <cell r="K6559" t="str">
            <v>00111125P.2</v>
          </cell>
        </row>
        <row r="6560">
          <cell r="K6560" t="str">
            <v>00111122P.2</v>
          </cell>
        </row>
        <row r="6561">
          <cell r="K6561" t="str">
            <v>00111113P.2</v>
          </cell>
        </row>
        <row r="6562">
          <cell r="K6562" t="str">
            <v>00111133P.2</v>
          </cell>
        </row>
        <row r="6563">
          <cell r="K6563" t="str">
            <v>00111120P.2</v>
          </cell>
        </row>
        <row r="6564">
          <cell r="K6564" t="str">
            <v>00111110P.2</v>
          </cell>
        </row>
        <row r="6565">
          <cell r="K6565" t="str">
            <v>00111112P.2</v>
          </cell>
        </row>
        <row r="6566">
          <cell r="K6566" t="str">
            <v>00111127P.2</v>
          </cell>
        </row>
        <row r="6567">
          <cell r="K6567" t="str">
            <v>00111133P.2</v>
          </cell>
        </row>
        <row r="6568">
          <cell r="K6568" t="str">
            <v>00111112P.2</v>
          </cell>
        </row>
        <row r="6569">
          <cell r="K6569" t="str">
            <v>00111126P.2</v>
          </cell>
        </row>
        <row r="6570">
          <cell r="K6570" t="str">
            <v>00111121P.2</v>
          </cell>
        </row>
        <row r="6571">
          <cell r="K6571" t="str">
            <v>00111110P.2</v>
          </cell>
        </row>
        <row r="6572">
          <cell r="K6572" t="str">
            <v>00111123P.2</v>
          </cell>
        </row>
        <row r="6573">
          <cell r="K6573" t="str">
            <v>00111126P.2</v>
          </cell>
        </row>
        <row r="6574">
          <cell r="K6574" t="str">
            <v>00111122P.2</v>
          </cell>
        </row>
        <row r="6575">
          <cell r="K6575" t="str">
            <v>00111127P.2</v>
          </cell>
        </row>
        <row r="6576">
          <cell r="K6576" t="str">
            <v>00111136P.2</v>
          </cell>
        </row>
        <row r="6577">
          <cell r="K6577" t="str">
            <v>00111110P.2</v>
          </cell>
        </row>
        <row r="6578">
          <cell r="K6578" t="str">
            <v>00111123P.2</v>
          </cell>
        </row>
        <row r="6579">
          <cell r="K6579" t="str">
            <v>00111113P.2</v>
          </cell>
        </row>
        <row r="6580">
          <cell r="K6580" t="str">
            <v>00111113P.2</v>
          </cell>
        </row>
        <row r="6581">
          <cell r="K6581" t="str">
            <v>00111118P.2</v>
          </cell>
        </row>
        <row r="6582">
          <cell r="K6582" t="str">
            <v>00111135P.2</v>
          </cell>
        </row>
        <row r="6583">
          <cell r="K6583" t="str">
            <v>00111132P.2</v>
          </cell>
        </row>
        <row r="6584">
          <cell r="K6584" t="str">
            <v>00111130P.2</v>
          </cell>
        </row>
        <row r="6585">
          <cell r="K6585" t="str">
            <v>00111131P.2</v>
          </cell>
        </row>
        <row r="6586">
          <cell r="K6586" t="str">
            <v>00111118P.2</v>
          </cell>
        </row>
        <row r="6587">
          <cell r="K6587" t="str">
            <v>00111131P.2</v>
          </cell>
        </row>
        <row r="6588">
          <cell r="K6588" t="str">
            <v>00111117P.2</v>
          </cell>
        </row>
        <row r="6589">
          <cell r="K6589" t="str">
            <v>00111125P.2</v>
          </cell>
        </row>
        <row r="6590">
          <cell r="K6590" t="str">
            <v>00111136P.2</v>
          </cell>
        </row>
        <row r="6591">
          <cell r="K6591" t="str">
            <v>00111135P.2</v>
          </cell>
        </row>
        <row r="6592">
          <cell r="K6592" t="str">
            <v>00111121P.2</v>
          </cell>
        </row>
        <row r="6593">
          <cell r="K6593" t="str">
            <v>00111113P.2</v>
          </cell>
        </row>
        <row r="6594">
          <cell r="K6594" t="str">
            <v>00111134P.2</v>
          </cell>
        </row>
        <row r="6595">
          <cell r="K6595" t="str">
            <v>00111118P.2</v>
          </cell>
        </row>
        <row r="6596">
          <cell r="K6596" t="str">
            <v>00111112P.2</v>
          </cell>
        </row>
        <row r="6597">
          <cell r="K6597" t="str">
            <v>00111116P.2</v>
          </cell>
        </row>
        <row r="6598">
          <cell r="K6598" t="str">
            <v>00111129P.2</v>
          </cell>
        </row>
        <row r="6599">
          <cell r="K6599" t="str">
            <v>00111136P.2</v>
          </cell>
        </row>
        <row r="6600">
          <cell r="K6600" t="str">
            <v>00111117P.2</v>
          </cell>
        </row>
        <row r="6601">
          <cell r="K6601" t="str">
            <v>00111121P.2</v>
          </cell>
        </row>
        <row r="6602">
          <cell r="K6602" t="str">
            <v>00111128P.2</v>
          </cell>
        </row>
        <row r="6603">
          <cell r="K6603" t="str">
            <v>00111132P.2</v>
          </cell>
        </row>
        <row r="6604">
          <cell r="K6604" t="str">
            <v>00111132P.2</v>
          </cell>
        </row>
        <row r="6605">
          <cell r="K6605" t="str">
            <v>00111131P.2</v>
          </cell>
        </row>
        <row r="6606">
          <cell r="K6606" t="str">
            <v>00111121P.2</v>
          </cell>
        </row>
        <row r="6607">
          <cell r="K6607" t="str">
            <v>00111118P.2</v>
          </cell>
        </row>
        <row r="6608">
          <cell r="K6608" t="str">
            <v>00111117P.2</v>
          </cell>
        </row>
        <row r="6609">
          <cell r="K6609" t="str">
            <v>00111133P.2</v>
          </cell>
        </row>
        <row r="6610">
          <cell r="K6610" t="str">
            <v>00111113P.2</v>
          </cell>
        </row>
        <row r="6611">
          <cell r="K6611" t="str">
            <v>00111114P.2</v>
          </cell>
        </row>
        <row r="6612">
          <cell r="K6612" t="str">
            <v>00111116P.2</v>
          </cell>
        </row>
        <row r="6613">
          <cell r="K6613" t="str">
            <v>00111118P.2</v>
          </cell>
        </row>
        <row r="6614">
          <cell r="K6614" t="str">
            <v>00111128P.2</v>
          </cell>
        </row>
        <row r="6615">
          <cell r="K6615" t="str">
            <v>00111135P.2</v>
          </cell>
        </row>
        <row r="6616">
          <cell r="K6616" t="str">
            <v>00111126P.2</v>
          </cell>
        </row>
        <row r="6617">
          <cell r="K6617" t="str">
            <v>00111112P.2</v>
          </cell>
        </row>
        <row r="6618">
          <cell r="K6618" t="str">
            <v>00111122P.2</v>
          </cell>
        </row>
        <row r="6619">
          <cell r="K6619" t="str">
            <v>00111133P.2</v>
          </cell>
        </row>
        <row r="6620">
          <cell r="K6620" t="str">
            <v>00111128P.2</v>
          </cell>
        </row>
        <row r="6621">
          <cell r="K6621" t="str">
            <v>00111133P.2</v>
          </cell>
        </row>
        <row r="6622">
          <cell r="K6622" t="str">
            <v>00111136P.2</v>
          </cell>
        </row>
        <row r="6623">
          <cell r="K6623" t="str">
            <v>00111131P.2</v>
          </cell>
        </row>
        <row r="6624">
          <cell r="K6624" t="str">
            <v>00111128P.2</v>
          </cell>
        </row>
        <row r="6625">
          <cell r="K6625" t="str">
            <v>00111110P.2</v>
          </cell>
        </row>
        <row r="6626">
          <cell r="K6626" t="str">
            <v>00111120P.2</v>
          </cell>
        </row>
        <row r="6627">
          <cell r="K6627" t="str">
            <v>00111135P.2</v>
          </cell>
        </row>
        <row r="6628">
          <cell r="K6628" t="str">
            <v>00111130P.2</v>
          </cell>
        </row>
        <row r="6629">
          <cell r="K6629" t="str">
            <v>00111136P.2</v>
          </cell>
        </row>
        <row r="6630">
          <cell r="K6630" t="str">
            <v>00111112P.2</v>
          </cell>
        </row>
        <row r="6631">
          <cell r="K6631" t="str">
            <v>00111136P.2</v>
          </cell>
        </row>
        <row r="6632">
          <cell r="K6632" t="str">
            <v>00111135P.2</v>
          </cell>
        </row>
        <row r="6633">
          <cell r="K6633" t="str">
            <v>00111110P.2</v>
          </cell>
        </row>
        <row r="6634">
          <cell r="K6634" t="str">
            <v>00111117P.2</v>
          </cell>
        </row>
        <row r="6635">
          <cell r="K6635" t="str">
            <v>00111134P.2</v>
          </cell>
        </row>
        <row r="6636">
          <cell r="K6636" t="str">
            <v>00111110P.2</v>
          </cell>
        </row>
        <row r="6637">
          <cell r="K6637" t="str">
            <v>00111134P.2</v>
          </cell>
        </row>
        <row r="6638">
          <cell r="K6638" t="str">
            <v>00111121P.2</v>
          </cell>
        </row>
        <row r="6639">
          <cell r="K6639" t="str">
            <v>00111125P.2</v>
          </cell>
        </row>
        <row r="6640">
          <cell r="K6640" t="str">
            <v>00111124P.2</v>
          </cell>
        </row>
        <row r="6641">
          <cell r="K6641" t="str">
            <v>00111135P.2</v>
          </cell>
        </row>
        <row r="6642">
          <cell r="K6642" t="str">
            <v>00111134P.2</v>
          </cell>
        </row>
        <row r="6643">
          <cell r="K6643" t="str">
            <v>00111112P.2</v>
          </cell>
        </row>
        <row r="6644">
          <cell r="K6644" t="str">
            <v>00111121P.2</v>
          </cell>
        </row>
        <row r="6645">
          <cell r="K6645" t="str">
            <v>00111123P.2</v>
          </cell>
        </row>
        <row r="6646">
          <cell r="K6646" t="str">
            <v>00111122P.2</v>
          </cell>
        </row>
        <row r="6647">
          <cell r="K6647" t="str">
            <v>00111123P.2</v>
          </cell>
        </row>
        <row r="6648">
          <cell r="K6648" t="str">
            <v>00111126P.2</v>
          </cell>
        </row>
        <row r="6649">
          <cell r="K6649" t="str">
            <v>00111123P.2</v>
          </cell>
        </row>
        <row r="6650">
          <cell r="K6650" t="str">
            <v>00111131P.2</v>
          </cell>
        </row>
        <row r="6651">
          <cell r="K6651" t="str">
            <v>00111136P.2</v>
          </cell>
        </row>
        <row r="6652">
          <cell r="K6652" t="str">
            <v>00111131P.2</v>
          </cell>
        </row>
        <row r="6653">
          <cell r="K6653" t="str">
            <v>00111122P.2</v>
          </cell>
        </row>
        <row r="6654">
          <cell r="K6654" t="str">
            <v>00111130P.2</v>
          </cell>
        </row>
        <row r="6655">
          <cell r="K6655" t="str">
            <v>00111135P.2</v>
          </cell>
        </row>
        <row r="6656">
          <cell r="K6656" t="str">
            <v>00111128P.2</v>
          </cell>
        </row>
        <row r="6657">
          <cell r="K6657" t="str">
            <v>00111135P.2</v>
          </cell>
        </row>
        <row r="6658">
          <cell r="K6658" t="str">
            <v>00111123P.2</v>
          </cell>
        </row>
        <row r="6659">
          <cell r="K6659" t="str">
            <v>00111123P.2</v>
          </cell>
        </row>
        <row r="6660">
          <cell r="K6660" t="str">
            <v>00111129P.2</v>
          </cell>
        </row>
        <row r="6661">
          <cell r="K6661" t="str">
            <v>00111132P.2</v>
          </cell>
        </row>
        <row r="6662">
          <cell r="K6662" t="str">
            <v>00111114P.2</v>
          </cell>
        </row>
        <row r="6663">
          <cell r="K6663" t="str">
            <v>00111134P.2</v>
          </cell>
        </row>
        <row r="6664">
          <cell r="K6664" t="str">
            <v>00111126P.2</v>
          </cell>
        </row>
        <row r="6665">
          <cell r="K6665" t="str">
            <v>00111134P.2</v>
          </cell>
        </row>
        <row r="6666">
          <cell r="K6666" t="str">
            <v>00111110P.2</v>
          </cell>
        </row>
        <row r="6667">
          <cell r="K6667" t="str">
            <v>00111134P.2</v>
          </cell>
        </row>
        <row r="6668">
          <cell r="K6668" t="str">
            <v>00111124P.2</v>
          </cell>
        </row>
        <row r="6669">
          <cell r="K6669" t="str">
            <v>00111116P.2</v>
          </cell>
        </row>
        <row r="6670">
          <cell r="K6670" t="str">
            <v>00111119P.2</v>
          </cell>
        </row>
        <row r="6671">
          <cell r="K6671" t="str">
            <v>00111131P.2</v>
          </cell>
        </row>
        <row r="6672">
          <cell r="K6672" t="str">
            <v>00111115P.2</v>
          </cell>
        </row>
        <row r="6673">
          <cell r="K6673" t="str">
            <v>00111110P.2</v>
          </cell>
        </row>
        <row r="6674">
          <cell r="K6674" t="str">
            <v>00111128P.2</v>
          </cell>
        </row>
        <row r="6675">
          <cell r="K6675" t="str">
            <v>00111132P.2</v>
          </cell>
        </row>
        <row r="6676">
          <cell r="K6676" t="str">
            <v>00111117P.2</v>
          </cell>
        </row>
        <row r="6677">
          <cell r="K6677" t="str">
            <v>00111133P.2</v>
          </cell>
        </row>
        <row r="6678">
          <cell r="K6678" t="str">
            <v>00111131P.2</v>
          </cell>
        </row>
        <row r="6679">
          <cell r="K6679" t="str">
            <v>00111112P.2</v>
          </cell>
        </row>
        <row r="6680">
          <cell r="K6680" t="str">
            <v>00111129P.2</v>
          </cell>
        </row>
        <row r="6681">
          <cell r="K6681" t="str">
            <v>00111132P.2</v>
          </cell>
        </row>
        <row r="6682">
          <cell r="K6682" t="str">
            <v>00111118P.2</v>
          </cell>
        </row>
        <row r="6683">
          <cell r="K6683" t="str">
            <v>00111121P.2</v>
          </cell>
        </row>
        <row r="6684">
          <cell r="K6684" t="str">
            <v>00111124P.2</v>
          </cell>
        </row>
        <row r="6685">
          <cell r="K6685" t="str">
            <v>00111133P.2</v>
          </cell>
        </row>
        <row r="6686">
          <cell r="K6686" t="str">
            <v>00111136P.2</v>
          </cell>
        </row>
        <row r="6687">
          <cell r="K6687" t="str">
            <v>00111121P.2</v>
          </cell>
        </row>
        <row r="6688">
          <cell r="K6688" t="str">
            <v>00111113P.2</v>
          </cell>
        </row>
        <row r="6689">
          <cell r="K6689" t="str">
            <v>00111135P.2</v>
          </cell>
        </row>
        <row r="6690">
          <cell r="K6690" t="str">
            <v>00111129P.2</v>
          </cell>
        </row>
        <row r="6691">
          <cell r="K6691" t="str">
            <v>00111130P.2</v>
          </cell>
        </row>
        <row r="6692">
          <cell r="K6692" t="str">
            <v>00111116P.2</v>
          </cell>
        </row>
        <row r="6693">
          <cell r="K6693" t="str">
            <v>00111127P.2</v>
          </cell>
        </row>
        <row r="6694">
          <cell r="K6694" t="str">
            <v>00111117P.2</v>
          </cell>
        </row>
        <row r="6695">
          <cell r="K6695" t="str">
            <v>00111116P.2</v>
          </cell>
        </row>
        <row r="6696">
          <cell r="K6696" t="str">
            <v>00111112P.2</v>
          </cell>
        </row>
        <row r="6697">
          <cell r="K6697" t="str">
            <v>00111133P.2</v>
          </cell>
        </row>
        <row r="6698">
          <cell r="K6698" t="str">
            <v>00111136P.2</v>
          </cell>
        </row>
        <row r="6699">
          <cell r="K6699" t="str">
            <v>00111117P.2</v>
          </cell>
        </row>
        <row r="6700">
          <cell r="K6700" t="str">
            <v>00111122P.2</v>
          </cell>
        </row>
        <row r="6701">
          <cell r="K6701" t="str">
            <v>00111118P.2</v>
          </cell>
        </row>
        <row r="6702">
          <cell r="K6702" t="str">
            <v>00111114P.2</v>
          </cell>
        </row>
        <row r="6703">
          <cell r="K6703" t="str">
            <v>00111129P.2</v>
          </cell>
        </row>
        <row r="6704">
          <cell r="K6704" t="str">
            <v>00111116P.2</v>
          </cell>
        </row>
        <row r="6705">
          <cell r="K6705" t="str">
            <v>00111136P.2</v>
          </cell>
        </row>
        <row r="6706">
          <cell r="K6706" t="str">
            <v>00111120P.2</v>
          </cell>
        </row>
        <row r="6707">
          <cell r="K6707" t="str">
            <v>00111129P.2</v>
          </cell>
        </row>
        <row r="6708">
          <cell r="K6708" t="str">
            <v>00111132P.2</v>
          </cell>
        </row>
        <row r="6709">
          <cell r="K6709" t="str">
            <v>00111120P.2</v>
          </cell>
        </row>
        <row r="6710">
          <cell r="K6710" t="str">
            <v>00111132P.2</v>
          </cell>
        </row>
        <row r="6711">
          <cell r="K6711" t="str">
            <v>00111113P.2</v>
          </cell>
        </row>
        <row r="6712">
          <cell r="K6712" t="str">
            <v>00111126P.2</v>
          </cell>
        </row>
        <row r="6713">
          <cell r="K6713" t="str">
            <v>00111110P.2</v>
          </cell>
        </row>
        <row r="6714">
          <cell r="K6714" t="str">
            <v>00111135P.2</v>
          </cell>
        </row>
        <row r="6715">
          <cell r="K6715" t="str">
            <v>00111131P.2</v>
          </cell>
        </row>
        <row r="6716">
          <cell r="K6716" t="str">
            <v>00111129P.2</v>
          </cell>
        </row>
        <row r="6717">
          <cell r="K6717" t="str">
            <v>00111118P.2</v>
          </cell>
        </row>
        <row r="6718">
          <cell r="K6718" t="str">
            <v>00111117P.2</v>
          </cell>
        </row>
        <row r="6719">
          <cell r="K6719" t="str">
            <v>00111129P.2</v>
          </cell>
        </row>
        <row r="6720">
          <cell r="K6720" t="str">
            <v>00111118P.2</v>
          </cell>
        </row>
        <row r="6721">
          <cell r="K6721" t="str">
            <v>00111112P.2</v>
          </cell>
        </row>
        <row r="6722">
          <cell r="K6722" t="str">
            <v>00111130P.2</v>
          </cell>
        </row>
        <row r="6723">
          <cell r="K6723" t="str">
            <v>00111115P.2</v>
          </cell>
        </row>
        <row r="6724">
          <cell r="K6724" t="str">
            <v>00111127P.2</v>
          </cell>
        </row>
        <row r="6725">
          <cell r="K6725" t="str">
            <v>00111131P.2</v>
          </cell>
        </row>
        <row r="6726">
          <cell r="K6726" t="str">
            <v>00111110P.2</v>
          </cell>
        </row>
        <row r="6727">
          <cell r="K6727" t="str">
            <v>00111127P.2</v>
          </cell>
        </row>
        <row r="6728">
          <cell r="K6728" t="str">
            <v>00111127P.2</v>
          </cell>
        </row>
        <row r="6729">
          <cell r="K6729" t="str">
            <v>00111114P.2</v>
          </cell>
        </row>
        <row r="6730">
          <cell r="K6730" t="str">
            <v>00111117P.2</v>
          </cell>
        </row>
        <row r="6731">
          <cell r="K6731" t="str">
            <v>00111113P.2</v>
          </cell>
        </row>
        <row r="6732">
          <cell r="K6732" t="str">
            <v>00111126P.2</v>
          </cell>
        </row>
        <row r="6733">
          <cell r="K6733" t="str">
            <v>00111134P.2</v>
          </cell>
        </row>
        <row r="6734">
          <cell r="K6734" t="str">
            <v>00111122P.2</v>
          </cell>
        </row>
        <row r="6735">
          <cell r="K6735" t="str">
            <v>00111124P.2</v>
          </cell>
        </row>
        <row r="6736">
          <cell r="K6736" t="str">
            <v>00111136P.2</v>
          </cell>
        </row>
        <row r="6737">
          <cell r="K6737" t="str">
            <v>00111133P.2</v>
          </cell>
        </row>
        <row r="6738">
          <cell r="K6738" t="str">
            <v>00111131P.2</v>
          </cell>
        </row>
        <row r="6739">
          <cell r="K6739" t="str">
            <v>00111136P.2</v>
          </cell>
        </row>
        <row r="6740">
          <cell r="K6740" t="str">
            <v>00111113P.2</v>
          </cell>
        </row>
        <row r="6741">
          <cell r="K6741" t="str">
            <v>00111122P.2</v>
          </cell>
        </row>
        <row r="6742">
          <cell r="K6742" t="str">
            <v>00111128P.2</v>
          </cell>
        </row>
        <row r="6743">
          <cell r="K6743" t="str">
            <v>00111132P.2</v>
          </cell>
        </row>
        <row r="6744">
          <cell r="K6744" t="str">
            <v>00111124P.2</v>
          </cell>
        </row>
        <row r="6745">
          <cell r="K6745" t="str">
            <v>00111110P.2</v>
          </cell>
        </row>
        <row r="6746">
          <cell r="K6746" t="str">
            <v>00111123P.2</v>
          </cell>
        </row>
        <row r="6747">
          <cell r="K6747" t="str">
            <v>00111134P.2</v>
          </cell>
        </row>
        <row r="6748">
          <cell r="K6748" t="str">
            <v>00111134P.2</v>
          </cell>
        </row>
        <row r="6749">
          <cell r="K6749" t="str">
            <v>00111116P.2</v>
          </cell>
        </row>
        <row r="6750">
          <cell r="K6750" t="str">
            <v>00111122P.2</v>
          </cell>
        </row>
        <row r="6751">
          <cell r="K6751" t="str">
            <v>00111126P.2</v>
          </cell>
        </row>
        <row r="6752">
          <cell r="K6752" t="str">
            <v>00111124P.2</v>
          </cell>
        </row>
        <row r="6753">
          <cell r="K6753" t="str">
            <v>00111129P.2</v>
          </cell>
        </row>
        <row r="6754">
          <cell r="K6754" t="str">
            <v>00111127P.2</v>
          </cell>
        </row>
        <row r="6755">
          <cell r="K6755" t="str">
            <v>00111133P.2</v>
          </cell>
        </row>
        <row r="6756">
          <cell r="K6756" t="str">
            <v>00111136P.2</v>
          </cell>
        </row>
        <row r="6757">
          <cell r="K6757" t="str">
            <v>00111111P.2</v>
          </cell>
        </row>
        <row r="6758">
          <cell r="K6758" t="str">
            <v>00111123P.2</v>
          </cell>
        </row>
        <row r="6759">
          <cell r="K6759" t="str">
            <v>00111112P.2</v>
          </cell>
        </row>
        <row r="6760">
          <cell r="K6760" t="str">
            <v>00111129P.2</v>
          </cell>
        </row>
        <row r="6761">
          <cell r="K6761" t="str">
            <v>00111121P.2</v>
          </cell>
        </row>
        <row r="6762">
          <cell r="K6762" t="str">
            <v>00111136P.2</v>
          </cell>
        </row>
        <row r="6763">
          <cell r="K6763" t="str">
            <v>00111117P.2</v>
          </cell>
        </row>
        <row r="6764">
          <cell r="K6764" t="str">
            <v>00111110P.2</v>
          </cell>
        </row>
        <row r="6765">
          <cell r="K6765" t="str">
            <v>00111129P.2</v>
          </cell>
        </row>
        <row r="6766">
          <cell r="K6766" t="str">
            <v>00111112P.2</v>
          </cell>
        </row>
        <row r="6767">
          <cell r="K6767" t="str">
            <v>00111132P.2</v>
          </cell>
        </row>
        <row r="6768">
          <cell r="K6768" t="str">
            <v>00111130P.2</v>
          </cell>
        </row>
        <row r="6769">
          <cell r="K6769" t="str">
            <v>00111119P.2</v>
          </cell>
        </row>
        <row r="6770">
          <cell r="K6770" t="str">
            <v>00111120P.2</v>
          </cell>
        </row>
        <row r="6771">
          <cell r="K6771" t="str">
            <v>00111110P.2</v>
          </cell>
        </row>
        <row r="6772">
          <cell r="K6772" t="str">
            <v>00111114P.2</v>
          </cell>
        </row>
        <row r="6773">
          <cell r="K6773" t="str">
            <v>00111135P.2</v>
          </cell>
        </row>
        <row r="6774">
          <cell r="K6774" t="str">
            <v>00111132P.2</v>
          </cell>
        </row>
        <row r="6775">
          <cell r="K6775" t="str">
            <v>00111128P.2</v>
          </cell>
        </row>
        <row r="6776">
          <cell r="K6776" t="str">
            <v>00111126P.2</v>
          </cell>
        </row>
        <row r="6777">
          <cell r="K6777" t="str">
            <v>00111110P.2</v>
          </cell>
        </row>
        <row r="6778">
          <cell r="K6778" t="str">
            <v>00111134P.2</v>
          </cell>
        </row>
        <row r="6779">
          <cell r="K6779" t="str">
            <v>00111112P.2</v>
          </cell>
        </row>
        <row r="6780">
          <cell r="K6780" t="str">
            <v>00111133P.2</v>
          </cell>
        </row>
        <row r="6781">
          <cell r="K6781" t="str">
            <v>00111136P.2</v>
          </cell>
        </row>
        <row r="6782">
          <cell r="K6782" t="str">
            <v>00111110P.2</v>
          </cell>
        </row>
        <row r="6783">
          <cell r="K6783" t="str">
            <v>00111127P.2</v>
          </cell>
        </row>
        <row r="6784">
          <cell r="K6784" t="str">
            <v>00111132P.2</v>
          </cell>
        </row>
        <row r="6785">
          <cell r="K6785" t="str">
            <v>00111124P.2</v>
          </cell>
        </row>
        <row r="6786">
          <cell r="K6786" t="str">
            <v>00111131P.2</v>
          </cell>
        </row>
        <row r="6787">
          <cell r="K6787" t="str">
            <v>00111111P.2</v>
          </cell>
        </row>
        <row r="6788">
          <cell r="K6788" t="str">
            <v>00111131P.2</v>
          </cell>
        </row>
        <row r="6789">
          <cell r="K6789" t="str">
            <v>00111133P.2</v>
          </cell>
        </row>
        <row r="6790">
          <cell r="K6790" t="str">
            <v>00111117P.2</v>
          </cell>
        </row>
        <row r="6791">
          <cell r="K6791" t="str">
            <v>00111133P.2</v>
          </cell>
        </row>
        <row r="6792">
          <cell r="K6792" t="str">
            <v>00111114P.2</v>
          </cell>
        </row>
        <row r="6793">
          <cell r="K6793" t="str">
            <v>00111135P.2</v>
          </cell>
        </row>
        <row r="6794">
          <cell r="K6794" t="str">
            <v>00111126P.2</v>
          </cell>
        </row>
        <row r="6795">
          <cell r="K6795" t="str">
            <v>00111134P.2</v>
          </cell>
        </row>
        <row r="6796">
          <cell r="K6796" t="str">
            <v>00111134P.2</v>
          </cell>
        </row>
        <row r="6797">
          <cell r="K6797" t="str">
            <v>00111130P.2</v>
          </cell>
        </row>
        <row r="6798">
          <cell r="K6798" t="str">
            <v>00111122P.2</v>
          </cell>
        </row>
        <row r="6799">
          <cell r="K6799" t="str">
            <v>00111132P.2</v>
          </cell>
        </row>
        <row r="6800">
          <cell r="K6800" t="str">
            <v>00111135P.2</v>
          </cell>
        </row>
        <row r="6801">
          <cell r="K6801" t="str">
            <v>00111121P.2</v>
          </cell>
        </row>
        <row r="6802">
          <cell r="K6802" t="str">
            <v>00111128P.2</v>
          </cell>
        </row>
        <row r="6803">
          <cell r="K6803" t="str">
            <v>00111110P.2</v>
          </cell>
        </row>
        <row r="6804">
          <cell r="K6804" t="str">
            <v>00111134P.2</v>
          </cell>
        </row>
        <row r="6805">
          <cell r="K6805" t="str">
            <v>00111128P.2</v>
          </cell>
        </row>
        <row r="6806">
          <cell r="K6806" t="str">
            <v>00111113P.2</v>
          </cell>
        </row>
        <row r="6807">
          <cell r="K6807" t="str">
            <v>00111134P.2</v>
          </cell>
        </row>
        <row r="6808">
          <cell r="K6808" t="str">
            <v>00111124P.2</v>
          </cell>
        </row>
        <row r="6809">
          <cell r="K6809" t="str">
            <v>00111128P.2</v>
          </cell>
        </row>
        <row r="6810">
          <cell r="K6810" t="str">
            <v>00111136P.2</v>
          </cell>
        </row>
        <row r="6811">
          <cell r="K6811" t="str">
            <v>00111129P.2</v>
          </cell>
        </row>
        <row r="6812">
          <cell r="K6812" t="str">
            <v>00111131P.2</v>
          </cell>
        </row>
        <row r="6813">
          <cell r="K6813" t="str">
            <v>00111133P.2</v>
          </cell>
        </row>
        <row r="6814">
          <cell r="K6814" t="str">
            <v>00111120P.2</v>
          </cell>
        </row>
        <row r="6815">
          <cell r="K6815" t="str">
            <v>00111136P.2</v>
          </cell>
        </row>
        <row r="6816">
          <cell r="K6816" t="str">
            <v>00111136P.2</v>
          </cell>
        </row>
        <row r="6817">
          <cell r="K6817" t="str">
            <v>00111113P.2</v>
          </cell>
        </row>
        <row r="6818">
          <cell r="K6818" t="str">
            <v>00111136P.2</v>
          </cell>
        </row>
        <row r="6819">
          <cell r="K6819" t="str">
            <v>00111110P.2</v>
          </cell>
        </row>
        <row r="6820">
          <cell r="K6820" t="str">
            <v>00111123P.2</v>
          </cell>
        </row>
        <row r="6821">
          <cell r="K6821" t="str">
            <v>00111121P.2</v>
          </cell>
        </row>
        <row r="6822">
          <cell r="K6822" t="str">
            <v>00111116P.2</v>
          </cell>
        </row>
        <row r="6823">
          <cell r="K6823" t="str">
            <v>00111113P.2</v>
          </cell>
        </row>
        <row r="6824">
          <cell r="K6824" t="str">
            <v>00111129P.2</v>
          </cell>
        </row>
        <row r="6825">
          <cell r="K6825" t="str">
            <v>00111130P.2</v>
          </cell>
        </row>
        <row r="6826">
          <cell r="K6826" t="str">
            <v>00111131P.2</v>
          </cell>
        </row>
        <row r="6827">
          <cell r="K6827" t="str">
            <v>00111125P.2</v>
          </cell>
        </row>
        <row r="6828">
          <cell r="K6828" t="str">
            <v>00111128P.2</v>
          </cell>
        </row>
        <row r="6829">
          <cell r="K6829" t="str">
            <v>00111115P.2</v>
          </cell>
        </row>
        <row r="6830">
          <cell r="K6830" t="str">
            <v>00111120P.2</v>
          </cell>
        </row>
        <row r="6831">
          <cell r="K6831" t="str">
            <v>00111129P.2</v>
          </cell>
        </row>
        <row r="6832">
          <cell r="K6832" t="str">
            <v>00111123P.2</v>
          </cell>
        </row>
        <row r="6833">
          <cell r="K6833" t="str">
            <v>00111116P.2</v>
          </cell>
        </row>
        <row r="6834">
          <cell r="K6834" t="str">
            <v>00111131P.2</v>
          </cell>
        </row>
        <row r="6835">
          <cell r="K6835" t="str">
            <v>00111113P.2</v>
          </cell>
        </row>
        <row r="6836">
          <cell r="K6836" t="str">
            <v>00111133P.2</v>
          </cell>
        </row>
        <row r="6837">
          <cell r="K6837" t="str">
            <v>00111119P.2</v>
          </cell>
        </row>
        <row r="6838">
          <cell r="K6838" t="str">
            <v>00111130P.2</v>
          </cell>
        </row>
        <row r="6839">
          <cell r="K6839" t="str">
            <v>00111131P.2</v>
          </cell>
        </row>
        <row r="6840">
          <cell r="K6840" t="str">
            <v>00111136P.2</v>
          </cell>
        </row>
        <row r="6841">
          <cell r="K6841" t="str">
            <v>00111134P.2</v>
          </cell>
        </row>
        <row r="6842">
          <cell r="K6842" t="str">
            <v>00111110P.2</v>
          </cell>
        </row>
        <row r="6843">
          <cell r="K6843" t="str">
            <v>00111119P.2</v>
          </cell>
        </row>
        <row r="6844">
          <cell r="K6844" t="str">
            <v>00111134P.2</v>
          </cell>
        </row>
        <row r="6845">
          <cell r="K6845" t="str">
            <v>00111113P.2</v>
          </cell>
        </row>
        <row r="6846">
          <cell r="K6846" t="str">
            <v>00111128P.2</v>
          </cell>
        </row>
        <row r="6847">
          <cell r="K6847" t="str">
            <v>00111123P.2</v>
          </cell>
        </row>
        <row r="6848">
          <cell r="K6848" t="str">
            <v>00111117P.2</v>
          </cell>
        </row>
        <row r="6849">
          <cell r="K6849" t="str">
            <v>00111113P.2</v>
          </cell>
        </row>
        <row r="6850">
          <cell r="K6850" t="str">
            <v>00111114P.2</v>
          </cell>
        </row>
        <row r="6851">
          <cell r="K6851" t="str">
            <v>00111128P.2</v>
          </cell>
        </row>
        <row r="6852">
          <cell r="K6852" t="str">
            <v>00111125P.2</v>
          </cell>
        </row>
        <row r="6853">
          <cell r="K6853" t="str">
            <v>00111120P.2</v>
          </cell>
        </row>
        <row r="6854">
          <cell r="K6854" t="str">
            <v>00111112P.2</v>
          </cell>
        </row>
        <row r="6855">
          <cell r="K6855" t="str">
            <v>00111123P.2</v>
          </cell>
        </row>
        <row r="6856">
          <cell r="K6856" t="str">
            <v>00111134P.2</v>
          </cell>
        </row>
        <row r="6857">
          <cell r="K6857" t="str">
            <v>00111123P.2</v>
          </cell>
        </row>
        <row r="6858">
          <cell r="K6858" t="str">
            <v>00111134P.2</v>
          </cell>
        </row>
        <row r="6859">
          <cell r="K6859" t="str">
            <v>00111122P.2</v>
          </cell>
        </row>
        <row r="6860">
          <cell r="K6860" t="str">
            <v>00111128P.2</v>
          </cell>
        </row>
        <row r="6861">
          <cell r="K6861" t="str">
            <v>00111124P.2</v>
          </cell>
        </row>
        <row r="6862">
          <cell r="K6862" t="str">
            <v>00111110P.2</v>
          </cell>
        </row>
        <row r="6863">
          <cell r="K6863" t="str">
            <v>00111129P.2</v>
          </cell>
        </row>
        <row r="6864">
          <cell r="K6864" t="str">
            <v>00111121P.2</v>
          </cell>
        </row>
        <row r="6865">
          <cell r="K6865" t="str">
            <v>00111112P.2</v>
          </cell>
        </row>
        <row r="6866">
          <cell r="K6866" t="str">
            <v>00111113P.2</v>
          </cell>
        </row>
        <row r="6867">
          <cell r="K6867" t="str">
            <v>00111135P.2</v>
          </cell>
        </row>
        <row r="6868">
          <cell r="K6868" t="str">
            <v>00111118P.2</v>
          </cell>
        </row>
        <row r="6869">
          <cell r="K6869" t="str">
            <v>00111128P.2</v>
          </cell>
        </row>
        <row r="6870">
          <cell r="K6870" t="str">
            <v>00111123P.2</v>
          </cell>
        </row>
        <row r="6871">
          <cell r="K6871" t="str">
            <v>00111123P.2</v>
          </cell>
        </row>
        <row r="6872">
          <cell r="K6872" t="str">
            <v>00111131P.2</v>
          </cell>
        </row>
        <row r="6873">
          <cell r="K6873" t="str">
            <v>00111113P.2</v>
          </cell>
        </row>
        <row r="6874">
          <cell r="K6874" t="str">
            <v>00111122P.2</v>
          </cell>
        </row>
        <row r="6875">
          <cell r="K6875" t="str">
            <v>00111113P.2</v>
          </cell>
        </row>
        <row r="6876">
          <cell r="K6876" t="str">
            <v>00111117P.2</v>
          </cell>
        </row>
        <row r="6877">
          <cell r="K6877" t="str">
            <v>00111133P.2</v>
          </cell>
        </row>
        <row r="6878">
          <cell r="K6878" t="str">
            <v>00111136P.2</v>
          </cell>
        </row>
        <row r="6879">
          <cell r="K6879" t="str">
            <v>00111129P.2</v>
          </cell>
        </row>
        <row r="6880">
          <cell r="K6880" t="str">
            <v>00111126P.2</v>
          </cell>
        </row>
        <row r="6881">
          <cell r="K6881" t="str">
            <v>00111131P.2</v>
          </cell>
        </row>
        <row r="6882">
          <cell r="K6882" t="str">
            <v>00111130P.2</v>
          </cell>
        </row>
        <row r="6883">
          <cell r="K6883" t="str">
            <v>00111114P.2</v>
          </cell>
        </row>
        <row r="6884">
          <cell r="K6884" t="str">
            <v>00111134P.2</v>
          </cell>
        </row>
        <row r="6885">
          <cell r="K6885" t="str">
            <v>00111123P.2</v>
          </cell>
        </row>
        <row r="6886">
          <cell r="K6886" t="str">
            <v>00111112P.2</v>
          </cell>
        </row>
        <row r="6887">
          <cell r="K6887" t="str">
            <v>00111132P.2</v>
          </cell>
        </row>
        <row r="6888">
          <cell r="K6888" t="str">
            <v>00111110P.2</v>
          </cell>
        </row>
        <row r="6889">
          <cell r="K6889" t="str">
            <v>00111116P.2</v>
          </cell>
        </row>
        <row r="6890">
          <cell r="K6890" t="str">
            <v>00111110P.2</v>
          </cell>
        </row>
        <row r="6891">
          <cell r="K6891" t="str">
            <v>00111111P.2</v>
          </cell>
        </row>
        <row r="6892">
          <cell r="K6892" t="str">
            <v>00111124P.2</v>
          </cell>
        </row>
        <row r="6893">
          <cell r="K6893" t="str">
            <v>00111127P.2</v>
          </cell>
        </row>
        <row r="6894">
          <cell r="K6894" t="str">
            <v>00111111P.2</v>
          </cell>
        </row>
        <row r="6895">
          <cell r="K6895" t="str">
            <v>00111117P.2</v>
          </cell>
        </row>
        <row r="6896">
          <cell r="K6896" t="str">
            <v>00111132P.2</v>
          </cell>
        </row>
        <row r="6897">
          <cell r="K6897" t="str">
            <v>00111111P.2</v>
          </cell>
        </row>
        <row r="6898">
          <cell r="K6898" t="str">
            <v>00111128P.2</v>
          </cell>
        </row>
        <row r="6899">
          <cell r="K6899" t="str">
            <v>00111130P.2</v>
          </cell>
        </row>
        <row r="6900">
          <cell r="K6900" t="str">
            <v>00111135P.2</v>
          </cell>
        </row>
        <row r="6901">
          <cell r="K6901" t="str">
            <v>00111128P.2</v>
          </cell>
        </row>
        <row r="6902">
          <cell r="K6902" t="str">
            <v>00111122P.2</v>
          </cell>
        </row>
        <row r="6903">
          <cell r="K6903" t="str">
            <v>00111112P.2</v>
          </cell>
        </row>
        <row r="6904">
          <cell r="K6904" t="str">
            <v>00111131P.2</v>
          </cell>
        </row>
        <row r="6905">
          <cell r="K6905" t="str">
            <v>00111133P.2</v>
          </cell>
        </row>
        <row r="6906">
          <cell r="K6906" t="str">
            <v>00111122P.2</v>
          </cell>
        </row>
        <row r="6907">
          <cell r="K6907" t="str">
            <v>00111116P.2</v>
          </cell>
        </row>
        <row r="6908">
          <cell r="K6908" t="str">
            <v>00111136P.2</v>
          </cell>
        </row>
        <row r="6909">
          <cell r="K6909" t="str">
            <v>00111124P.2</v>
          </cell>
        </row>
        <row r="6910">
          <cell r="K6910" t="str">
            <v>00111124P.2</v>
          </cell>
        </row>
        <row r="6911">
          <cell r="K6911" t="str">
            <v>00111130P.2</v>
          </cell>
        </row>
        <row r="6912">
          <cell r="K6912" t="str">
            <v>00111128P.2</v>
          </cell>
        </row>
        <row r="6913">
          <cell r="K6913" t="str">
            <v>00111125P.2</v>
          </cell>
        </row>
        <row r="6914">
          <cell r="K6914" t="str">
            <v>00111130P.2</v>
          </cell>
        </row>
        <row r="6915">
          <cell r="K6915" t="str">
            <v>00111122P.2</v>
          </cell>
        </row>
        <row r="6916">
          <cell r="K6916" t="str">
            <v>00111133P.2</v>
          </cell>
        </row>
        <row r="6917">
          <cell r="K6917" t="str">
            <v>00111121P.2</v>
          </cell>
        </row>
        <row r="6918">
          <cell r="K6918" t="str">
            <v>00111113P.2</v>
          </cell>
        </row>
        <row r="6919">
          <cell r="K6919" t="str">
            <v>00111132P.2</v>
          </cell>
        </row>
        <row r="6920">
          <cell r="K6920" t="str">
            <v>00111123P.2</v>
          </cell>
        </row>
        <row r="6921">
          <cell r="K6921" t="str">
            <v>00111121P.2</v>
          </cell>
        </row>
        <row r="6922">
          <cell r="K6922" t="str">
            <v>00111135P.2</v>
          </cell>
        </row>
        <row r="6923">
          <cell r="K6923" t="str">
            <v>00111128P.2</v>
          </cell>
        </row>
        <row r="6924">
          <cell r="K6924" t="str">
            <v>00111116P.2</v>
          </cell>
        </row>
        <row r="6925">
          <cell r="K6925" t="str">
            <v>00111118P.2</v>
          </cell>
        </row>
        <row r="6926">
          <cell r="K6926" t="str">
            <v>00111128P.2</v>
          </cell>
        </row>
        <row r="6927">
          <cell r="K6927" t="str">
            <v>00111135P.2</v>
          </cell>
        </row>
        <row r="6928">
          <cell r="K6928" t="str">
            <v>00111123P.2</v>
          </cell>
        </row>
        <row r="6929">
          <cell r="K6929" t="str">
            <v>00111111P.2</v>
          </cell>
        </row>
        <row r="6930">
          <cell r="K6930" t="str">
            <v>00111110P.2</v>
          </cell>
        </row>
        <row r="6931">
          <cell r="K6931" t="str">
            <v>00111136P.2</v>
          </cell>
        </row>
        <row r="6932">
          <cell r="K6932" t="str">
            <v>00111112P.2</v>
          </cell>
        </row>
        <row r="6933">
          <cell r="K6933" t="str">
            <v>00111132P.2</v>
          </cell>
        </row>
        <row r="6934">
          <cell r="K6934" t="str">
            <v>00111117P.2</v>
          </cell>
        </row>
        <row r="6935">
          <cell r="K6935" t="str">
            <v>00111117P.2</v>
          </cell>
        </row>
        <row r="6936">
          <cell r="K6936" t="str">
            <v>00111120P.2</v>
          </cell>
        </row>
        <row r="6937">
          <cell r="K6937" t="str">
            <v>00111114P.2</v>
          </cell>
        </row>
        <row r="6938">
          <cell r="K6938" t="str">
            <v>00111127P.2</v>
          </cell>
        </row>
        <row r="6939">
          <cell r="K6939" t="str">
            <v>00111113P.2</v>
          </cell>
        </row>
        <row r="6940">
          <cell r="K6940" t="str">
            <v>00111131P.2</v>
          </cell>
        </row>
        <row r="6941">
          <cell r="K6941" t="str">
            <v>00111122P.2</v>
          </cell>
        </row>
        <row r="6942">
          <cell r="K6942" t="str">
            <v>00111128P.2</v>
          </cell>
        </row>
        <row r="6943">
          <cell r="K6943" t="str">
            <v>00111112P.2</v>
          </cell>
        </row>
        <row r="6944">
          <cell r="K6944" t="str">
            <v>00111115P.2</v>
          </cell>
        </row>
        <row r="6945">
          <cell r="K6945" t="str">
            <v>00111129P.2</v>
          </cell>
        </row>
        <row r="6946">
          <cell r="K6946" t="str">
            <v>00111123P.2</v>
          </cell>
        </row>
        <row r="6947">
          <cell r="K6947" t="str">
            <v>00111122P.2</v>
          </cell>
        </row>
        <row r="6948">
          <cell r="K6948" t="str">
            <v>00111134P.2</v>
          </cell>
        </row>
        <row r="6949">
          <cell r="K6949" t="str">
            <v>00111112P.2</v>
          </cell>
        </row>
        <row r="6950">
          <cell r="K6950" t="str">
            <v>00111121P.2</v>
          </cell>
        </row>
        <row r="6951">
          <cell r="K6951" t="str">
            <v>00111132P.2</v>
          </cell>
        </row>
        <row r="6952">
          <cell r="K6952" t="str">
            <v>00111131P.2</v>
          </cell>
        </row>
        <row r="6953">
          <cell r="K6953" t="str">
            <v>00111129P.2</v>
          </cell>
        </row>
        <row r="6954">
          <cell r="K6954" t="str">
            <v>00111110P.2</v>
          </cell>
        </row>
        <row r="6955">
          <cell r="K6955" t="str">
            <v>00111132P.2</v>
          </cell>
        </row>
        <row r="6956">
          <cell r="K6956" t="str">
            <v>00111112P.2</v>
          </cell>
        </row>
        <row r="6957">
          <cell r="K6957" t="str">
            <v>00111116P.2</v>
          </cell>
        </row>
        <row r="6958">
          <cell r="K6958" t="str">
            <v>00111112P.2</v>
          </cell>
        </row>
        <row r="6959">
          <cell r="K6959" t="str">
            <v>00111136P.2</v>
          </cell>
        </row>
        <row r="6960">
          <cell r="K6960" t="str">
            <v>00111122P.2</v>
          </cell>
        </row>
        <row r="6961">
          <cell r="K6961" t="str">
            <v>00111128P.2</v>
          </cell>
        </row>
        <row r="6962">
          <cell r="K6962" t="str">
            <v>00111130P.2</v>
          </cell>
        </row>
        <row r="6963">
          <cell r="K6963" t="str">
            <v>00111115P.2</v>
          </cell>
        </row>
        <row r="6964">
          <cell r="K6964" t="str">
            <v>00111129P.2</v>
          </cell>
        </row>
        <row r="6965">
          <cell r="K6965" t="str">
            <v>00111125P.2</v>
          </cell>
        </row>
        <row r="6966">
          <cell r="K6966" t="str">
            <v>00111132P.2</v>
          </cell>
        </row>
        <row r="6967">
          <cell r="K6967" t="str">
            <v>00111136P.2</v>
          </cell>
        </row>
        <row r="6968">
          <cell r="K6968" t="str">
            <v>00111112P.2</v>
          </cell>
        </row>
        <row r="6969">
          <cell r="K6969" t="str">
            <v>00111132P.2</v>
          </cell>
        </row>
        <row r="6970">
          <cell r="K6970" t="str">
            <v>00111134P.2</v>
          </cell>
        </row>
        <row r="6971">
          <cell r="K6971" t="str">
            <v>00111117P.2</v>
          </cell>
        </row>
        <row r="6972">
          <cell r="K6972" t="str">
            <v>00111112P.2</v>
          </cell>
        </row>
        <row r="6973">
          <cell r="K6973" t="str">
            <v>00111134P.2</v>
          </cell>
        </row>
        <row r="6974">
          <cell r="K6974" t="str">
            <v>00111120P.2</v>
          </cell>
        </row>
        <row r="6975">
          <cell r="K6975" t="str">
            <v>00111128P.2</v>
          </cell>
        </row>
        <row r="6976">
          <cell r="K6976" t="str">
            <v>00111120P.2</v>
          </cell>
        </row>
        <row r="6977">
          <cell r="K6977" t="str">
            <v>00111125P.2</v>
          </cell>
        </row>
        <row r="6978">
          <cell r="K6978" t="str">
            <v>00111134P.2</v>
          </cell>
        </row>
        <row r="6979">
          <cell r="K6979" t="str">
            <v>00111122P.2</v>
          </cell>
        </row>
        <row r="6980">
          <cell r="K6980" t="str">
            <v>00111128P.2</v>
          </cell>
        </row>
        <row r="6981">
          <cell r="K6981" t="str">
            <v>00111113P.2</v>
          </cell>
        </row>
        <row r="6982">
          <cell r="K6982" t="str">
            <v>00111113P.2</v>
          </cell>
        </row>
        <row r="6983">
          <cell r="K6983" t="str">
            <v>00111134P.2</v>
          </cell>
        </row>
        <row r="6984">
          <cell r="K6984" t="str">
            <v>00111130P.2</v>
          </cell>
        </row>
        <row r="6985">
          <cell r="K6985" t="str">
            <v>00111117P.2</v>
          </cell>
        </row>
        <row r="6986">
          <cell r="K6986" t="str">
            <v>00111134P.2</v>
          </cell>
        </row>
        <row r="6987">
          <cell r="K6987" t="str">
            <v>00111130P.2</v>
          </cell>
        </row>
        <row r="6988">
          <cell r="K6988" t="str">
            <v>00111114P.2</v>
          </cell>
        </row>
        <row r="6989">
          <cell r="K6989" t="str">
            <v>00111134P.2</v>
          </cell>
        </row>
        <row r="6990">
          <cell r="K6990" t="str">
            <v>00111129P.2</v>
          </cell>
        </row>
        <row r="6991">
          <cell r="K6991" t="str">
            <v>00111120P.2</v>
          </cell>
        </row>
        <row r="6992">
          <cell r="K6992" t="str">
            <v>00111131P.2</v>
          </cell>
        </row>
        <row r="6993">
          <cell r="K6993" t="str">
            <v>00111117P.2</v>
          </cell>
        </row>
        <row r="6994">
          <cell r="K6994" t="str">
            <v>00111132P.2</v>
          </cell>
        </row>
        <row r="6995">
          <cell r="K6995" t="str">
            <v>00111121P.2</v>
          </cell>
        </row>
        <row r="6996">
          <cell r="K6996" t="str">
            <v>00111113P.2</v>
          </cell>
        </row>
        <row r="6997">
          <cell r="K6997" t="str">
            <v>00111127P.2</v>
          </cell>
        </row>
        <row r="6998">
          <cell r="K6998" t="str">
            <v>00111113P.2</v>
          </cell>
        </row>
        <row r="6999">
          <cell r="K6999" t="str">
            <v>00111111P.2</v>
          </cell>
        </row>
        <row r="7000">
          <cell r="K7000" t="str">
            <v>00111132P.2</v>
          </cell>
        </row>
        <row r="7001">
          <cell r="K7001" t="str">
            <v>00111111P.2</v>
          </cell>
        </row>
        <row r="7002">
          <cell r="K7002" t="str">
            <v>00111129P.2</v>
          </cell>
        </row>
        <row r="7003">
          <cell r="K7003" t="str">
            <v>00111128P.2</v>
          </cell>
        </row>
        <row r="7004">
          <cell r="K7004" t="str">
            <v>00111111P.2</v>
          </cell>
        </row>
        <row r="7005">
          <cell r="K7005" t="str">
            <v>00111132P.2</v>
          </cell>
        </row>
        <row r="7006">
          <cell r="K7006" t="str">
            <v>00111136P.2</v>
          </cell>
        </row>
        <row r="7007">
          <cell r="K7007" t="str">
            <v>00111119P.2</v>
          </cell>
        </row>
        <row r="7008">
          <cell r="K7008" t="str">
            <v>00111132P.2</v>
          </cell>
        </row>
        <row r="7009">
          <cell r="K7009" t="str">
            <v>00111129P.2</v>
          </cell>
        </row>
        <row r="7010">
          <cell r="K7010" t="str">
            <v>00111123P.2</v>
          </cell>
        </row>
        <row r="7011">
          <cell r="K7011" t="str">
            <v>00111111P.2</v>
          </cell>
        </row>
        <row r="7012">
          <cell r="K7012" t="str">
            <v>00111128P.2</v>
          </cell>
        </row>
        <row r="7013">
          <cell r="K7013" t="str">
            <v>00111136P.2</v>
          </cell>
        </row>
        <row r="7014">
          <cell r="K7014" t="str">
            <v>00111127P.2</v>
          </cell>
        </row>
        <row r="7015">
          <cell r="K7015" t="str">
            <v>00111124P.2</v>
          </cell>
        </row>
        <row r="7016">
          <cell r="K7016" t="str">
            <v>00111123P.2</v>
          </cell>
        </row>
        <row r="7017">
          <cell r="K7017" t="str">
            <v>00111132P.2</v>
          </cell>
        </row>
        <row r="7018">
          <cell r="K7018" t="str">
            <v>00111130P.2</v>
          </cell>
        </row>
        <row r="7019">
          <cell r="K7019" t="str">
            <v>00111111P.2</v>
          </cell>
        </row>
        <row r="7020">
          <cell r="K7020" t="str">
            <v>00111128P.2</v>
          </cell>
        </row>
        <row r="7021">
          <cell r="K7021" t="str">
            <v>00111132P.2</v>
          </cell>
        </row>
        <row r="7022">
          <cell r="K7022" t="str">
            <v>00111112P.2</v>
          </cell>
        </row>
        <row r="7023">
          <cell r="K7023" t="str">
            <v>00111128P.2</v>
          </cell>
        </row>
        <row r="7024">
          <cell r="K7024" t="str">
            <v>00111132P.2</v>
          </cell>
        </row>
        <row r="7025">
          <cell r="K7025" t="str">
            <v>00111117P.2</v>
          </cell>
        </row>
        <row r="7026">
          <cell r="K7026" t="str">
            <v>00111132P.2</v>
          </cell>
        </row>
        <row r="7027">
          <cell r="K7027" t="str">
            <v>00111128P.2</v>
          </cell>
        </row>
        <row r="7028">
          <cell r="K7028" t="str">
            <v>00111133P.2</v>
          </cell>
        </row>
        <row r="7029">
          <cell r="K7029" t="str">
            <v>00111125P.2</v>
          </cell>
        </row>
        <row r="7030">
          <cell r="K7030" t="str">
            <v>00111127P.2</v>
          </cell>
        </row>
        <row r="7031">
          <cell r="K7031" t="str">
            <v>00111128P.2</v>
          </cell>
        </row>
        <row r="7032">
          <cell r="K7032" t="str">
            <v>00111120P.2</v>
          </cell>
        </row>
        <row r="7033">
          <cell r="K7033" t="str">
            <v>00111112P.2</v>
          </cell>
        </row>
        <row r="7034">
          <cell r="K7034" t="str">
            <v>00111133P.2</v>
          </cell>
        </row>
        <row r="7035">
          <cell r="K7035" t="str">
            <v>00111123P.2</v>
          </cell>
        </row>
        <row r="7036">
          <cell r="K7036" t="str">
            <v>00111128P.2</v>
          </cell>
        </row>
        <row r="7037">
          <cell r="K7037" t="str">
            <v>00111133P.2</v>
          </cell>
        </row>
        <row r="7038">
          <cell r="K7038" t="str">
            <v>00111136P.2</v>
          </cell>
        </row>
        <row r="7039">
          <cell r="K7039" t="str">
            <v>00111117P.2</v>
          </cell>
        </row>
        <row r="7040">
          <cell r="K7040" t="str">
            <v>00111118P.2</v>
          </cell>
        </row>
        <row r="7041">
          <cell r="K7041" t="str">
            <v>00111120P.2</v>
          </cell>
        </row>
        <row r="7042">
          <cell r="K7042" t="str">
            <v>00111112P.2</v>
          </cell>
        </row>
        <row r="7043">
          <cell r="K7043" t="str">
            <v>00111132P.2</v>
          </cell>
        </row>
        <row r="7044">
          <cell r="K7044" t="str">
            <v>00111114P.2</v>
          </cell>
        </row>
        <row r="7045">
          <cell r="K7045" t="str">
            <v>00111127P.2</v>
          </cell>
        </row>
        <row r="7046">
          <cell r="K7046" t="str">
            <v>00111130P.2</v>
          </cell>
        </row>
        <row r="7047">
          <cell r="K7047" t="str">
            <v>00111111P.2</v>
          </cell>
        </row>
        <row r="7048">
          <cell r="K7048" t="str">
            <v>00111113P.2</v>
          </cell>
        </row>
        <row r="7049">
          <cell r="K7049" t="str">
            <v>00111128P.2</v>
          </cell>
        </row>
        <row r="7050">
          <cell r="K7050" t="str">
            <v>00111126P.2</v>
          </cell>
        </row>
        <row r="7051">
          <cell r="K7051" t="str">
            <v>00111112P.2</v>
          </cell>
        </row>
        <row r="7052">
          <cell r="K7052" t="str">
            <v>00111121P.2</v>
          </cell>
        </row>
        <row r="7053">
          <cell r="K7053" t="str">
            <v>00111121P.2</v>
          </cell>
        </row>
        <row r="7054">
          <cell r="K7054" t="str">
            <v>00111113P.2</v>
          </cell>
        </row>
        <row r="7055">
          <cell r="K7055" t="str">
            <v>00111113P.2</v>
          </cell>
        </row>
        <row r="7056">
          <cell r="K7056" t="str">
            <v>00111129P.2</v>
          </cell>
        </row>
        <row r="7057">
          <cell r="K7057" t="str">
            <v>00111113P.2</v>
          </cell>
        </row>
        <row r="7058">
          <cell r="K7058" t="str">
            <v>00111121P.2</v>
          </cell>
        </row>
        <row r="7059">
          <cell r="K7059" t="str">
            <v>00111132P.2</v>
          </cell>
        </row>
        <row r="7060">
          <cell r="K7060" t="str">
            <v>00111123P.2</v>
          </cell>
        </row>
        <row r="7061">
          <cell r="K7061" t="str">
            <v>00111122P.2</v>
          </cell>
        </row>
        <row r="7062">
          <cell r="K7062" t="str">
            <v>00111128P.2</v>
          </cell>
        </row>
        <row r="7063">
          <cell r="K7063" t="str">
            <v>00111131P.2</v>
          </cell>
        </row>
        <row r="7064">
          <cell r="K7064" t="str">
            <v>00111128P.2</v>
          </cell>
        </row>
        <row r="7065">
          <cell r="K7065" t="str">
            <v>00111113P.2</v>
          </cell>
        </row>
        <row r="7066">
          <cell r="K7066" t="str">
            <v>00111135P.2</v>
          </cell>
        </row>
        <row r="7067">
          <cell r="K7067" t="str">
            <v>00111128P.2</v>
          </cell>
        </row>
        <row r="7068">
          <cell r="K7068" t="str">
            <v>00111128P.2</v>
          </cell>
        </row>
        <row r="7069">
          <cell r="K7069" t="str">
            <v>00111132P.2</v>
          </cell>
        </row>
        <row r="7070">
          <cell r="K7070" t="str">
            <v>00111126P.2</v>
          </cell>
        </row>
        <row r="7071">
          <cell r="K7071" t="str">
            <v>00111119P.2</v>
          </cell>
        </row>
        <row r="7072">
          <cell r="K7072" t="str">
            <v>00111114P.2</v>
          </cell>
        </row>
        <row r="7073">
          <cell r="K7073" t="str">
            <v>00111128P.2</v>
          </cell>
        </row>
        <row r="7074">
          <cell r="K7074" t="str">
            <v>00111133P.2</v>
          </cell>
        </row>
        <row r="7075">
          <cell r="K7075" t="str">
            <v>00111133P.2</v>
          </cell>
        </row>
        <row r="7076">
          <cell r="K7076" t="str">
            <v>00111122P.2</v>
          </cell>
        </row>
        <row r="7077">
          <cell r="K7077" t="str">
            <v>00111130P.2</v>
          </cell>
        </row>
        <row r="7078">
          <cell r="K7078" t="str">
            <v>00111113P.2</v>
          </cell>
        </row>
        <row r="7079">
          <cell r="K7079" t="str">
            <v>00111113P.2</v>
          </cell>
        </row>
        <row r="7080">
          <cell r="K7080" t="str">
            <v>00111129P.2</v>
          </cell>
        </row>
        <row r="7081">
          <cell r="K7081" t="str">
            <v>00111136P.2</v>
          </cell>
        </row>
        <row r="7082">
          <cell r="K7082" t="str">
            <v>00111120P.2</v>
          </cell>
        </row>
        <row r="7083">
          <cell r="K7083" t="str">
            <v>00111131P.2</v>
          </cell>
        </row>
        <row r="7084">
          <cell r="K7084" t="str">
            <v>00111122P.2</v>
          </cell>
        </row>
        <row r="7085">
          <cell r="K7085" t="str">
            <v>00111114P.2</v>
          </cell>
        </row>
        <row r="7086">
          <cell r="K7086" t="str">
            <v>00111132P.2</v>
          </cell>
        </row>
        <row r="7087">
          <cell r="K7087" t="str">
            <v>00111122P.2</v>
          </cell>
        </row>
        <row r="7088">
          <cell r="K7088" t="str">
            <v>00111127P.2</v>
          </cell>
        </row>
        <row r="7089">
          <cell r="K7089" t="str">
            <v>00111122P.2</v>
          </cell>
        </row>
        <row r="7090">
          <cell r="K7090" t="str">
            <v>00111134P.2</v>
          </cell>
        </row>
        <row r="7091">
          <cell r="K7091" t="str">
            <v>00111134P.2</v>
          </cell>
        </row>
        <row r="7092">
          <cell r="K7092" t="str">
            <v>00111135P.2</v>
          </cell>
        </row>
        <row r="7093">
          <cell r="K7093" t="str">
            <v>00111122P.2</v>
          </cell>
        </row>
        <row r="7094">
          <cell r="K7094" t="str">
            <v>00111131P.2</v>
          </cell>
        </row>
        <row r="7095">
          <cell r="K7095" t="str">
            <v>00111125P.2</v>
          </cell>
        </row>
        <row r="7096">
          <cell r="K7096" t="str">
            <v>00111110P.2</v>
          </cell>
        </row>
        <row r="7097">
          <cell r="K7097" t="str">
            <v>00111123P.2</v>
          </cell>
        </row>
        <row r="7098">
          <cell r="K7098" t="str">
            <v>00111128P.2</v>
          </cell>
        </row>
        <row r="7099">
          <cell r="K7099" t="str">
            <v>00111128P.2</v>
          </cell>
        </row>
        <row r="7100">
          <cell r="K7100" t="str">
            <v>00111129P.2</v>
          </cell>
        </row>
        <row r="7101">
          <cell r="K7101" t="str">
            <v>00111134P.2</v>
          </cell>
        </row>
        <row r="7102">
          <cell r="K7102" t="str">
            <v>00111127P.2</v>
          </cell>
        </row>
        <row r="7103">
          <cell r="K7103" t="str">
            <v>00111130P.2</v>
          </cell>
        </row>
        <row r="7104">
          <cell r="K7104" t="str">
            <v>00111113P.2</v>
          </cell>
        </row>
        <row r="7105">
          <cell r="K7105" t="str">
            <v>00111128P.2</v>
          </cell>
        </row>
        <row r="7106">
          <cell r="K7106" t="str">
            <v>00111122P.2</v>
          </cell>
        </row>
        <row r="7107">
          <cell r="K7107" t="str">
            <v>00111118P.2</v>
          </cell>
        </row>
        <row r="7108">
          <cell r="K7108" t="str">
            <v>00111130P.2</v>
          </cell>
        </row>
        <row r="7109">
          <cell r="K7109" t="str">
            <v>00111122P.2</v>
          </cell>
        </row>
        <row r="7110">
          <cell r="K7110" t="str">
            <v>00111131P.2</v>
          </cell>
        </row>
        <row r="7111">
          <cell r="K7111" t="str">
            <v>00111129P.2</v>
          </cell>
        </row>
        <row r="7112">
          <cell r="K7112" t="str">
            <v>00111132P.2</v>
          </cell>
        </row>
        <row r="7113">
          <cell r="K7113" t="str">
            <v>00111130P.2</v>
          </cell>
        </row>
        <row r="7114">
          <cell r="K7114" t="str">
            <v>00111135P.2</v>
          </cell>
        </row>
        <row r="7115">
          <cell r="K7115" t="str">
            <v>00111128P.2</v>
          </cell>
        </row>
        <row r="7116">
          <cell r="K7116" t="str">
            <v>00111121P.2</v>
          </cell>
        </row>
        <row r="7117">
          <cell r="K7117" t="str">
            <v>00111122P.2</v>
          </cell>
        </row>
        <row r="7118">
          <cell r="K7118" t="str">
            <v>00111128P.2</v>
          </cell>
        </row>
        <row r="7119">
          <cell r="K7119" t="str">
            <v>00111133P.2</v>
          </cell>
        </row>
        <row r="7120">
          <cell r="K7120" t="str">
            <v>00111116P.2</v>
          </cell>
        </row>
        <row r="7121">
          <cell r="K7121" t="str">
            <v>00111113P.2</v>
          </cell>
        </row>
        <row r="7122">
          <cell r="K7122" t="str">
            <v>00111128P.2</v>
          </cell>
        </row>
        <row r="7123">
          <cell r="K7123" t="str">
            <v>00111113P.2</v>
          </cell>
        </row>
        <row r="7124">
          <cell r="K7124" t="str">
            <v>00111120P.2</v>
          </cell>
        </row>
        <row r="7125">
          <cell r="K7125" t="str">
            <v>00111110P.2</v>
          </cell>
        </row>
        <row r="7126">
          <cell r="K7126" t="str">
            <v>00111129P.2</v>
          </cell>
        </row>
        <row r="7127">
          <cell r="K7127" t="str">
            <v>00111130P.2</v>
          </cell>
        </row>
        <row r="7128">
          <cell r="K7128" t="str">
            <v>00111113P.2</v>
          </cell>
        </row>
        <row r="7129">
          <cell r="K7129" t="str">
            <v>00111120P.2</v>
          </cell>
        </row>
        <row r="7130">
          <cell r="K7130" t="str">
            <v>00111117P.2</v>
          </cell>
        </row>
        <row r="7131">
          <cell r="K7131" t="str">
            <v>00111126P.2</v>
          </cell>
        </row>
        <row r="7132">
          <cell r="K7132" t="str">
            <v>00111117P.2</v>
          </cell>
        </row>
        <row r="7133">
          <cell r="K7133" t="str">
            <v>00111128P.2</v>
          </cell>
        </row>
        <row r="7134">
          <cell r="K7134" t="str">
            <v>00111130P.2</v>
          </cell>
        </row>
        <row r="7135">
          <cell r="K7135" t="str">
            <v>00111128P.2</v>
          </cell>
        </row>
        <row r="7136">
          <cell r="K7136" t="str">
            <v>00111121P.2</v>
          </cell>
        </row>
        <row r="7137">
          <cell r="K7137" t="str">
            <v>00111122P.2</v>
          </cell>
        </row>
        <row r="7138">
          <cell r="K7138" t="str">
            <v>00111134P.2</v>
          </cell>
        </row>
        <row r="7139">
          <cell r="K7139" t="str">
            <v>00111118P.2</v>
          </cell>
        </row>
        <row r="7140">
          <cell r="K7140" t="str">
            <v>00111116P.2</v>
          </cell>
        </row>
        <row r="7141">
          <cell r="K7141" t="str">
            <v>00111114P.2</v>
          </cell>
        </row>
        <row r="7142">
          <cell r="K7142" t="str">
            <v>00111130P.2</v>
          </cell>
        </row>
        <row r="7143">
          <cell r="K7143" t="str">
            <v>00111131P.2</v>
          </cell>
        </row>
        <row r="7144">
          <cell r="K7144" t="str">
            <v>00111129P.2</v>
          </cell>
        </row>
        <row r="7145">
          <cell r="K7145" t="str">
            <v>00111116P.2</v>
          </cell>
        </row>
        <row r="7146">
          <cell r="K7146" t="str">
            <v>00111112P.2</v>
          </cell>
        </row>
        <row r="7147">
          <cell r="K7147" t="str">
            <v>00111123P.2</v>
          </cell>
        </row>
        <row r="7148">
          <cell r="K7148" t="str">
            <v>00111128P.2</v>
          </cell>
        </row>
        <row r="7149">
          <cell r="K7149" t="str">
            <v>00111113P.2</v>
          </cell>
        </row>
        <row r="7150">
          <cell r="K7150" t="str">
            <v>00111125P.2</v>
          </cell>
        </row>
        <row r="7151">
          <cell r="K7151" t="str">
            <v>00111125P.2</v>
          </cell>
        </row>
        <row r="7152">
          <cell r="K7152" t="str">
            <v>00111111P.2</v>
          </cell>
        </row>
        <row r="7153">
          <cell r="K7153" t="str">
            <v>00111110P.2</v>
          </cell>
        </row>
        <row r="7154">
          <cell r="K7154" t="str">
            <v>00111110P.2</v>
          </cell>
        </row>
        <row r="7155">
          <cell r="K7155" t="str">
            <v>00111125P.2</v>
          </cell>
        </row>
        <row r="7156">
          <cell r="K7156" t="str">
            <v>00111128P.2</v>
          </cell>
        </row>
        <row r="7157">
          <cell r="K7157" t="str">
            <v>00111133P.2</v>
          </cell>
        </row>
        <row r="7158">
          <cell r="K7158" t="str">
            <v>00111117P.2</v>
          </cell>
        </row>
        <row r="7159">
          <cell r="K7159" t="str">
            <v>00111110P.2</v>
          </cell>
        </row>
        <row r="7160">
          <cell r="K7160" t="str">
            <v>00111129P.2</v>
          </cell>
        </row>
        <row r="7161">
          <cell r="K7161" t="str">
            <v>00111113P.2</v>
          </cell>
        </row>
        <row r="7162">
          <cell r="K7162" t="str">
            <v>00111124P.2</v>
          </cell>
        </row>
        <row r="7163">
          <cell r="K7163" t="str">
            <v>00111123P.2</v>
          </cell>
        </row>
        <row r="7164">
          <cell r="K7164" t="str">
            <v>00111130P.2</v>
          </cell>
        </row>
        <row r="7165">
          <cell r="K7165" t="str">
            <v>00111113P.2</v>
          </cell>
        </row>
        <row r="7166">
          <cell r="K7166" t="str">
            <v>00111134P.2</v>
          </cell>
        </row>
        <row r="7167">
          <cell r="K7167" t="str">
            <v>00111133P.2</v>
          </cell>
        </row>
        <row r="7168">
          <cell r="K7168" t="str">
            <v>00111122P.2</v>
          </cell>
        </row>
        <row r="7169">
          <cell r="K7169" t="str">
            <v>00111131P.2</v>
          </cell>
        </row>
        <row r="7170">
          <cell r="K7170" t="str">
            <v>00111125P.2</v>
          </cell>
        </row>
        <row r="7171">
          <cell r="K7171" t="str">
            <v>00111112P.2</v>
          </cell>
        </row>
        <row r="7172">
          <cell r="K7172" t="str">
            <v>00111128P.2</v>
          </cell>
        </row>
        <row r="7173">
          <cell r="K7173" t="str">
            <v>00111113P.2</v>
          </cell>
        </row>
        <row r="7174">
          <cell r="K7174" t="str">
            <v>00111129P.2</v>
          </cell>
        </row>
        <row r="7175">
          <cell r="K7175" t="str">
            <v>00111125P.2</v>
          </cell>
        </row>
        <row r="7176">
          <cell r="K7176" t="str">
            <v>00111131P.2</v>
          </cell>
        </row>
        <row r="7177">
          <cell r="K7177" t="str">
            <v>00111129P.2</v>
          </cell>
        </row>
        <row r="7178">
          <cell r="K7178" t="str">
            <v>00111122P.2</v>
          </cell>
        </row>
        <row r="7179">
          <cell r="K7179" t="str">
            <v>00111125P.2</v>
          </cell>
        </row>
        <row r="7180">
          <cell r="K7180" t="str">
            <v>00111122P.2</v>
          </cell>
        </row>
        <row r="7181">
          <cell r="K7181" t="str">
            <v>00111118P.2</v>
          </cell>
        </row>
        <row r="7182">
          <cell r="K7182" t="str">
            <v>00111118P.2</v>
          </cell>
        </row>
        <row r="7183">
          <cell r="K7183" t="str">
            <v>00111122P.2</v>
          </cell>
        </row>
        <row r="7184">
          <cell r="K7184" t="str">
            <v>00111125P.2</v>
          </cell>
        </row>
        <row r="7185">
          <cell r="K7185" t="str">
            <v>00111133P.2</v>
          </cell>
        </row>
        <row r="7186">
          <cell r="K7186" t="str">
            <v>00111133P.2</v>
          </cell>
        </row>
        <row r="7187">
          <cell r="K7187" t="str">
            <v>00111152P.2</v>
          </cell>
        </row>
        <row r="7188">
          <cell r="K7188" t="str">
            <v>00111151P.2</v>
          </cell>
        </row>
        <row r="7189">
          <cell r="K7189" t="str">
            <v>00111151P.2</v>
          </cell>
        </row>
        <row r="7190">
          <cell r="K7190" t="str">
            <v>00111151P.2</v>
          </cell>
        </row>
        <row r="7191">
          <cell r="K7191" t="str">
            <v>00111151P.2</v>
          </cell>
        </row>
        <row r="7192">
          <cell r="K7192" t="str">
            <v>00111151P.2</v>
          </cell>
        </row>
        <row r="7193">
          <cell r="K7193" t="str">
            <v>00111151P.2</v>
          </cell>
        </row>
        <row r="7194">
          <cell r="K7194" t="str">
            <v>00111151P.2</v>
          </cell>
        </row>
        <row r="7195">
          <cell r="K7195" t="str">
            <v>00111151P.2</v>
          </cell>
        </row>
        <row r="7196">
          <cell r="K7196" t="str">
            <v>00111151P.2</v>
          </cell>
        </row>
        <row r="7197">
          <cell r="K7197" t="str">
            <v>00111151P.2</v>
          </cell>
        </row>
        <row r="7198">
          <cell r="K7198" t="str">
            <v>00111151P.2</v>
          </cell>
        </row>
        <row r="7199">
          <cell r="K7199" t="str">
            <v>00111151P.2</v>
          </cell>
        </row>
        <row r="7200">
          <cell r="K7200" t="str">
            <v>00111151P.2</v>
          </cell>
        </row>
        <row r="7201">
          <cell r="K7201" t="str">
            <v>00111151P.2</v>
          </cell>
        </row>
        <row r="7202">
          <cell r="K7202" t="str">
            <v>00111151P.2</v>
          </cell>
        </row>
        <row r="7203">
          <cell r="K7203" t="str">
            <v>00111151P.2</v>
          </cell>
        </row>
        <row r="7204">
          <cell r="K7204" t="str">
            <v>00111151P.2</v>
          </cell>
        </row>
        <row r="7205">
          <cell r="K7205" t="str">
            <v>00111151P.2</v>
          </cell>
        </row>
        <row r="7206">
          <cell r="K7206" t="str">
            <v>00111151P.2</v>
          </cell>
        </row>
        <row r="7207">
          <cell r="K7207" t="str">
            <v>00111151P.2</v>
          </cell>
        </row>
        <row r="7208">
          <cell r="K7208" t="str">
            <v>00111151P.2</v>
          </cell>
        </row>
        <row r="7209">
          <cell r="K7209" t="str">
            <v>00111151P.2</v>
          </cell>
        </row>
        <row r="7210">
          <cell r="K7210" t="str">
            <v>00111151P.2</v>
          </cell>
        </row>
        <row r="7211">
          <cell r="K7211" t="str">
            <v>00111151P.2</v>
          </cell>
        </row>
        <row r="7212">
          <cell r="K7212" t="str">
            <v>00111151P.2</v>
          </cell>
        </row>
        <row r="7213">
          <cell r="K7213" t="str">
            <v>00111151P.2</v>
          </cell>
        </row>
        <row r="7214">
          <cell r="K7214" t="str">
            <v>00111151P.2</v>
          </cell>
        </row>
        <row r="7215">
          <cell r="K7215" t="str">
            <v>00111151P.2</v>
          </cell>
        </row>
        <row r="7216">
          <cell r="K7216" t="str">
            <v>00111151P.2</v>
          </cell>
        </row>
        <row r="7217">
          <cell r="K7217" t="str">
            <v>00111151P.2</v>
          </cell>
        </row>
        <row r="7218">
          <cell r="K7218" t="str">
            <v>00111151P.2</v>
          </cell>
        </row>
        <row r="7219">
          <cell r="K7219" t="str">
            <v>00111151P.2</v>
          </cell>
        </row>
        <row r="7220">
          <cell r="K7220" t="str">
            <v>00111151P.2</v>
          </cell>
        </row>
        <row r="7221">
          <cell r="K7221" t="str">
            <v>00111151P.2</v>
          </cell>
        </row>
        <row r="7222">
          <cell r="K7222" t="str">
            <v>00111151P.2</v>
          </cell>
        </row>
        <row r="7223">
          <cell r="K7223" t="str">
            <v>00111151P.2</v>
          </cell>
        </row>
        <row r="7224">
          <cell r="K7224" t="str">
            <v>00111151P.2</v>
          </cell>
        </row>
        <row r="7225">
          <cell r="K7225" t="str">
            <v>00111151P.2</v>
          </cell>
        </row>
        <row r="7226">
          <cell r="K7226" t="str">
            <v>00111151P.2</v>
          </cell>
        </row>
        <row r="7227">
          <cell r="K7227" t="str">
            <v>00111151P.2</v>
          </cell>
        </row>
        <row r="7228">
          <cell r="K7228" t="str">
            <v>00111151P.2</v>
          </cell>
        </row>
        <row r="7229">
          <cell r="K7229" t="str">
            <v>00111151P.2</v>
          </cell>
        </row>
        <row r="7230">
          <cell r="K7230" t="str">
            <v>00111151P.2</v>
          </cell>
        </row>
        <row r="7231">
          <cell r="K7231" t="str">
            <v>00111151P.2</v>
          </cell>
        </row>
        <row r="7232">
          <cell r="K7232" t="str">
            <v>00111151P.2</v>
          </cell>
        </row>
        <row r="7233">
          <cell r="K7233" t="str">
            <v>00111151P.2</v>
          </cell>
        </row>
        <row r="7234">
          <cell r="K7234" t="str">
            <v>00111151P.2</v>
          </cell>
        </row>
        <row r="7235">
          <cell r="K7235" t="str">
            <v>00111151P.2</v>
          </cell>
        </row>
        <row r="7236">
          <cell r="K7236" t="str">
            <v>00111151P.2</v>
          </cell>
        </row>
        <row r="7237">
          <cell r="K7237" t="str">
            <v>00111151P.2</v>
          </cell>
        </row>
        <row r="7238">
          <cell r="K7238" t="str">
            <v>00111151P.2</v>
          </cell>
        </row>
        <row r="7239">
          <cell r="K7239" t="str">
            <v>00111151P.2</v>
          </cell>
        </row>
        <row r="7240">
          <cell r="K7240" t="str">
            <v>00111151P.2</v>
          </cell>
        </row>
        <row r="7241">
          <cell r="K7241" t="str">
            <v>00111151P.2</v>
          </cell>
        </row>
        <row r="7242">
          <cell r="K7242" t="str">
            <v>00111108P.2</v>
          </cell>
        </row>
        <row r="7243">
          <cell r="K7243" t="str">
            <v>00111108P.2</v>
          </cell>
        </row>
        <row r="7244">
          <cell r="K7244" t="str">
            <v>00111108P.2</v>
          </cell>
        </row>
        <row r="7245">
          <cell r="K7245" t="str">
            <v>00111108P.2</v>
          </cell>
        </row>
        <row r="7246">
          <cell r="K7246" t="str">
            <v>00111108P.2</v>
          </cell>
        </row>
        <row r="7247">
          <cell r="K7247" t="str">
            <v>00111108P.2</v>
          </cell>
        </row>
        <row r="7248">
          <cell r="K7248" t="str">
            <v>00111108P.2</v>
          </cell>
        </row>
        <row r="7249">
          <cell r="K7249" t="str">
            <v>00111108P.2</v>
          </cell>
        </row>
        <row r="7250">
          <cell r="K7250" t="str">
            <v>00111108P.2</v>
          </cell>
        </row>
        <row r="7251">
          <cell r="K7251" t="str">
            <v>00111108P.2</v>
          </cell>
        </row>
        <row r="7252">
          <cell r="K7252" t="str">
            <v>00111108P.2</v>
          </cell>
        </row>
        <row r="7253">
          <cell r="K7253" t="str">
            <v>00111108P.2</v>
          </cell>
        </row>
        <row r="7254">
          <cell r="K7254" t="str">
            <v>00111108P.2</v>
          </cell>
        </row>
        <row r="7255">
          <cell r="K7255" t="str">
            <v>00111108P.2</v>
          </cell>
        </row>
        <row r="7256">
          <cell r="K7256" t="str">
            <v>00111108P.2</v>
          </cell>
        </row>
        <row r="7257">
          <cell r="K7257" t="str">
            <v>00021108P.2</v>
          </cell>
        </row>
        <row r="7258">
          <cell r="K7258" t="str">
            <v>00021108P.2</v>
          </cell>
        </row>
        <row r="7259">
          <cell r="K7259" t="str">
            <v>00111108P.2</v>
          </cell>
        </row>
        <row r="7260">
          <cell r="K7260" t="str">
            <v>00111108P.2</v>
          </cell>
        </row>
        <row r="7261">
          <cell r="K7261" t="str">
            <v>00111108P.2</v>
          </cell>
        </row>
        <row r="7262">
          <cell r="K7262" t="str">
            <v>00111130P.2</v>
          </cell>
        </row>
        <row r="7263">
          <cell r="K7263" t="str">
            <v>00111130P.2</v>
          </cell>
        </row>
        <row r="7264">
          <cell r="K7264" t="str">
            <v>00111130P.2</v>
          </cell>
        </row>
        <row r="7265">
          <cell r="K7265" t="str">
            <v>00111130P.2</v>
          </cell>
        </row>
        <row r="7266">
          <cell r="K7266" t="str">
            <v>00111130P.2</v>
          </cell>
        </row>
        <row r="7267">
          <cell r="K7267" t="str">
            <v>00111130P.2</v>
          </cell>
        </row>
        <row r="7268">
          <cell r="K7268" t="str">
            <v>00111110P.2</v>
          </cell>
        </row>
        <row r="7269">
          <cell r="K7269" t="str">
            <v>00111110P.2</v>
          </cell>
        </row>
        <row r="7270">
          <cell r="K7270" t="str">
            <v>00111110P.2</v>
          </cell>
        </row>
        <row r="7271">
          <cell r="K7271" t="str">
            <v>00111110P.2</v>
          </cell>
        </row>
        <row r="7272">
          <cell r="K7272" t="str">
            <v>00111112P.2</v>
          </cell>
        </row>
        <row r="7273">
          <cell r="K7273" t="str">
            <v>00111112P.2</v>
          </cell>
        </row>
        <row r="7274">
          <cell r="K7274" t="str">
            <v>00111112P.2</v>
          </cell>
        </row>
        <row r="7275">
          <cell r="K7275" t="str">
            <v>00111112P.2</v>
          </cell>
        </row>
        <row r="7276">
          <cell r="K7276" t="str">
            <v>00111112P.2</v>
          </cell>
        </row>
        <row r="7277">
          <cell r="K7277" t="str">
            <v>00111112P.2</v>
          </cell>
        </row>
        <row r="7278">
          <cell r="K7278" t="str">
            <v>00111112P.2</v>
          </cell>
        </row>
        <row r="7279">
          <cell r="K7279" t="str">
            <v>00111112P.2</v>
          </cell>
        </row>
        <row r="7280">
          <cell r="K7280" t="str">
            <v>00111112P.2</v>
          </cell>
        </row>
        <row r="7281">
          <cell r="K7281" t="str">
            <v>00111112P.2</v>
          </cell>
        </row>
        <row r="7282">
          <cell r="K7282" t="str">
            <v>00111113P.2</v>
          </cell>
        </row>
        <row r="7283">
          <cell r="K7283" t="str">
            <v>00111113P.2</v>
          </cell>
        </row>
        <row r="7284">
          <cell r="K7284" t="str">
            <v>00111113P.2</v>
          </cell>
        </row>
        <row r="7285">
          <cell r="K7285" t="str">
            <v>00111113P.2</v>
          </cell>
        </row>
        <row r="7286">
          <cell r="K7286" t="str">
            <v>00111113P.2</v>
          </cell>
        </row>
        <row r="7287">
          <cell r="K7287" t="str">
            <v>00111113P.2</v>
          </cell>
        </row>
        <row r="7288">
          <cell r="K7288" t="str">
            <v>00111113P.2</v>
          </cell>
        </row>
        <row r="7289">
          <cell r="K7289" t="str">
            <v>00111113P.2</v>
          </cell>
        </row>
        <row r="7290">
          <cell r="K7290" t="str">
            <v>00111113P.2</v>
          </cell>
        </row>
        <row r="7291">
          <cell r="K7291" t="str">
            <v>00111113P.2</v>
          </cell>
        </row>
        <row r="7292">
          <cell r="K7292" t="str">
            <v>00111113P.2</v>
          </cell>
        </row>
        <row r="7293">
          <cell r="K7293" t="str">
            <v>00111113P.2</v>
          </cell>
        </row>
        <row r="7294">
          <cell r="K7294" t="str">
            <v>00111113P.2</v>
          </cell>
        </row>
        <row r="7295">
          <cell r="K7295" t="str">
            <v>00111113P.2</v>
          </cell>
        </row>
        <row r="7296">
          <cell r="K7296" t="str">
            <v>00111113P.2</v>
          </cell>
        </row>
        <row r="7297">
          <cell r="K7297" t="str">
            <v>00111114P.2</v>
          </cell>
        </row>
        <row r="7298">
          <cell r="K7298" t="str">
            <v>00111114P.2</v>
          </cell>
        </row>
        <row r="7299">
          <cell r="K7299" t="str">
            <v>00111114P.2</v>
          </cell>
        </row>
        <row r="7300">
          <cell r="K7300" t="str">
            <v>00111114P.2</v>
          </cell>
        </row>
        <row r="7301">
          <cell r="K7301" t="str">
            <v>00111114P.2</v>
          </cell>
        </row>
        <row r="7302">
          <cell r="K7302" t="str">
            <v>00111114P.2</v>
          </cell>
        </row>
        <row r="7303">
          <cell r="K7303" t="str">
            <v>00111114P.2</v>
          </cell>
        </row>
        <row r="7304">
          <cell r="K7304" t="str">
            <v>00111114P.2</v>
          </cell>
        </row>
        <row r="7305">
          <cell r="K7305" t="str">
            <v>00111122P.2</v>
          </cell>
        </row>
        <row r="7306">
          <cell r="K7306" t="str">
            <v>00111122P.2</v>
          </cell>
        </row>
        <row r="7307">
          <cell r="K7307" t="str">
            <v>00111122P.2</v>
          </cell>
        </row>
        <row r="7308">
          <cell r="K7308" t="str">
            <v>00111122P.2</v>
          </cell>
        </row>
        <row r="7309">
          <cell r="K7309" t="str">
            <v>00111122P.2</v>
          </cell>
        </row>
        <row r="7310">
          <cell r="K7310" t="str">
            <v>00111126P.2</v>
          </cell>
        </row>
        <row r="7311">
          <cell r="K7311" t="str">
            <v>00111126P.2</v>
          </cell>
        </row>
        <row r="7312">
          <cell r="K7312" t="str">
            <v>00111126P.2</v>
          </cell>
        </row>
        <row r="7313">
          <cell r="K7313" t="str">
            <v>00111121P.2</v>
          </cell>
        </row>
        <row r="7314">
          <cell r="K7314" t="str">
            <v>00111121P.2</v>
          </cell>
        </row>
        <row r="7315">
          <cell r="K7315" t="str">
            <v>00111121P.2</v>
          </cell>
        </row>
        <row r="7316">
          <cell r="K7316" t="str">
            <v>00111111P.2</v>
          </cell>
        </row>
        <row r="7317">
          <cell r="K7317" t="str">
            <v>00111111P.2</v>
          </cell>
        </row>
        <row r="7318">
          <cell r="K7318" t="str">
            <v>00111111P.2</v>
          </cell>
        </row>
        <row r="7319">
          <cell r="K7319" t="str">
            <v>00111111P.2</v>
          </cell>
        </row>
        <row r="7320">
          <cell r="K7320" t="str">
            <v>00111111P.2</v>
          </cell>
        </row>
        <row r="7321">
          <cell r="K7321" t="str">
            <v>00111111P.2</v>
          </cell>
        </row>
        <row r="7322">
          <cell r="K7322" t="str">
            <v>00111111P.2</v>
          </cell>
        </row>
        <row r="7323">
          <cell r="K7323" t="str">
            <v>00111111P.2</v>
          </cell>
        </row>
        <row r="7324">
          <cell r="K7324" t="str">
            <v>00111111P.2</v>
          </cell>
        </row>
        <row r="7325">
          <cell r="K7325" t="str">
            <v>00111111P.2</v>
          </cell>
        </row>
        <row r="7326">
          <cell r="K7326" t="str">
            <v>00111111P.2</v>
          </cell>
        </row>
        <row r="7327">
          <cell r="K7327" t="str">
            <v>00111111P.2</v>
          </cell>
        </row>
        <row r="7328">
          <cell r="K7328" t="str">
            <v>00111115P.2</v>
          </cell>
        </row>
        <row r="7329">
          <cell r="K7329" t="str">
            <v>00111115P.2</v>
          </cell>
        </row>
        <row r="7330">
          <cell r="K7330" t="str">
            <v>00111115P.2</v>
          </cell>
        </row>
        <row r="7331">
          <cell r="K7331" t="str">
            <v>00111115P.2</v>
          </cell>
        </row>
        <row r="7332">
          <cell r="K7332" t="str">
            <v>00111115P.2</v>
          </cell>
        </row>
        <row r="7333">
          <cell r="K7333" t="str">
            <v>00111115P.2</v>
          </cell>
        </row>
        <row r="7334">
          <cell r="K7334" t="str">
            <v>00111115P.2</v>
          </cell>
        </row>
        <row r="7335">
          <cell r="K7335" t="str">
            <v>00111115P.2</v>
          </cell>
        </row>
        <row r="7336">
          <cell r="K7336" t="str">
            <v>00111115P.2</v>
          </cell>
        </row>
        <row r="7337">
          <cell r="K7337" t="str">
            <v>00111115P.2</v>
          </cell>
        </row>
        <row r="7338">
          <cell r="K7338" t="str">
            <v>00111115P.2</v>
          </cell>
        </row>
        <row r="7339">
          <cell r="K7339" t="str">
            <v>00111116P.2</v>
          </cell>
        </row>
        <row r="7340">
          <cell r="K7340" t="str">
            <v>00111116P.2</v>
          </cell>
        </row>
        <row r="7341">
          <cell r="K7341" t="str">
            <v>00111116P.2</v>
          </cell>
        </row>
        <row r="7342">
          <cell r="K7342" t="str">
            <v>00111116P.2</v>
          </cell>
        </row>
        <row r="7343">
          <cell r="K7343" t="str">
            <v>00111116P.2</v>
          </cell>
        </row>
        <row r="7344">
          <cell r="K7344" t="str">
            <v>00111116P.2</v>
          </cell>
        </row>
        <row r="7345">
          <cell r="K7345" t="str">
            <v>00111117P.2</v>
          </cell>
        </row>
        <row r="7346">
          <cell r="K7346" t="str">
            <v>00111117P.2</v>
          </cell>
        </row>
        <row r="7347">
          <cell r="K7347" t="str">
            <v>00111117P.2</v>
          </cell>
        </row>
        <row r="7348">
          <cell r="K7348" t="str">
            <v>00111117P.2</v>
          </cell>
        </row>
        <row r="7349">
          <cell r="K7349" t="str">
            <v>00111117P.2</v>
          </cell>
        </row>
        <row r="7350">
          <cell r="K7350" t="str">
            <v>00111117P.2</v>
          </cell>
        </row>
        <row r="7351">
          <cell r="K7351" t="str">
            <v>00111117P.2</v>
          </cell>
        </row>
        <row r="7352">
          <cell r="K7352" t="str">
            <v>00111117P.2</v>
          </cell>
        </row>
        <row r="7353">
          <cell r="K7353" t="str">
            <v>00111117P.2</v>
          </cell>
        </row>
        <row r="7354">
          <cell r="K7354" t="str">
            <v>00111117P.2</v>
          </cell>
        </row>
        <row r="7355">
          <cell r="K7355" t="str">
            <v>00111117P.2</v>
          </cell>
        </row>
        <row r="7356">
          <cell r="K7356" t="str">
            <v>00111117P.2</v>
          </cell>
        </row>
        <row r="7357">
          <cell r="K7357" t="str">
            <v>00111117P.2</v>
          </cell>
        </row>
        <row r="7358">
          <cell r="K7358" t="str">
            <v>00111117P.2</v>
          </cell>
        </row>
        <row r="7359">
          <cell r="K7359" t="str">
            <v>00111117P.2</v>
          </cell>
        </row>
        <row r="7360">
          <cell r="K7360" t="str">
            <v>00111117P.2</v>
          </cell>
        </row>
        <row r="7361">
          <cell r="K7361" t="str">
            <v>00111118P.2</v>
          </cell>
        </row>
        <row r="7362">
          <cell r="K7362" t="str">
            <v>00111118P.2</v>
          </cell>
        </row>
        <row r="7363">
          <cell r="K7363" t="str">
            <v>00111118P.2</v>
          </cell>
        </row>
        <row r="7364">
          <cell r="K7364" t="str">
            <v>00111118P.2</v>
          </cell>
        </row>
        <row r="7365">
          <cell r="K7365" t="str">
            <v>00111118P.2</v>
          </cell>
        </row>
        <row r="7366">
          <cell r="K7366" t="str">
            <v>00111118P.2</v>
          </cell>
        </row>
        <row r="7367">
          <cell r="K7367" t="str">
            <v>00111118P.2</v>
          </cell>
        </row>
        <row r="7368">
          <cell r="K7368" t="str">
            <v>00111118P.2</v>
          </cell>
        </row>
        <row r="7369">
          <cell r="K7369" t="str">
            <v>00111119P.2</v>
          </cell>
        </row>
        <row r="7370">
          <cell r="K7370" t="str">
            <v>00111119P.2</v>
          </cell>
        </row>
        <row r="7371">
          <cell r="K7371" t="str">
            <v>00111119P.2</v>
          </cell>
        </row>
        <row r="7372">
          <cell r="K7372" t="str">
            <v>00111119P.2</v>
          </cell>
        </row>
        <row r="7373">
          <cell r="K7373" t="str">
            <v>00111119P.2</v>
          </cell>
        </row>
        <row r="7374">
          <cell r="K7374" t="str">
            <v>00111120P.2</v>
          </cell>
        </row>
        <row r="7375">
          <cell r="K7375" t="str">
            <v>00111120P.2</v>
          </cell>
        </row>
        <row r="7376">
          <cell r="K7376" t="str">
            <v>00111120P.2</v>
          </cell>
        </row>
        <row r="7377">
          <cell r="K7377" t="str">
            <v>00111120P.2</v>
          </cell>
        </row>
        <row r="7378">
          <cell r="K7378" t="str">
            <v>00111122P.2</v>
          </cell>
        </row>
        <row r="7379">
          <cell r="K7379" t="str">
            <v>00111122P.2</v>
          </cell>
        </row>
        <row r="7380">
          <cell r="K7380" t="str">
            <v>00111122P.2</v>
          </cell>
        </row>
        <row r="7381">
          <cell r="K7381" t="str">
            <v>00111122P.2</v>
          </cell>
        </row>
        <row r="7382">
          <cell r="K7382" t="str">
            <v>00111122P.2</v>
          </cell>
        </row>
        <row r="7383">
          <cell r="K7383" t="str">
            <v>00111122P.2</v>
          </cell>
        </row>
        <row r="7384">
          <cell r="K7384" t="str">
            <v>00111122P.2</v>
          </cell>
        </row>
        <row r="7385">
          <cell r="K7385" t="str">
            <v>00111122P.2</v>
          </cell>
        </row>
        <row r="7386">
          <cell r="K7386" t="str">
            <v>00111122P.2</v>
          </cell>
        </row>
        <row r="7387">
          <cell r="K7387" t="str">
            <v>00111122P.2</v>
          </cell>
        </row>
        <row r="7388">
          <cell r="K7388" t="str">
            <v>00111122P.2</v>
          </cell>
        </row>
        <row r="7389">
          <cell r="K7389" t="str">
            <v>00111122P.2</v>
          </cell>
        </row>
        <row r="7390">
          <cell r="K7390" t="str">
            <v>00111125P.2</v>
          </cell>
        </row>
        <row r="7391">
          <cell r="K7391" t="str">
            <v>00111125P.2</v>
          </cell>
        </row>
        <row r="7392">
          <cell r="K7392" t="str">
            <v>00111125P.2</v>
          </cell>
        </row>
        <row r="7393">
          <cell r="K7393" t="str">
            <v>00111125P.2</v>
          </cell>
        </row>
        <row r="7394">
          <cell r="K7394" t="str">
            <v>00111125P.2</v>
          </cell>
        </row>
        <row r="7395">
          <cell r="K7395" t="str">
            <v>00111125P.2</v>
          </cell>
        </row>
        <row r="7396">
          <cell r="K7396" t="str">
            <v>00111125P.2</v>
          </cell>
        </row>
        <row r="7397">
          <cell r="K7397" t="str">
            <v>00111125P.2</v>
          </cell>
        </row>
        <row r="7398">
          <cell r="K7398" t="str">
            <v>00111125P.2</v>
          </cell>
        </row>
        <row r="7399">
          <cell r="K7399" t="str">
            <v>00111125P.2</v>
          </cell>
        </row>
        <row r="7400">
          <cell r="K7400" t="str">
            <v>00111125P.2</v>
          </cell>
        </row>
        <row r="7401">
          <cell r="K7401" t="str">
            <v>00111125P.2</v>
          </cell>
        </row>
        <row r="7402">
          <cell r="K7402" t="str">
            <v>00111125P.2</v>
          </cell>
        </row>
        <row r="7403">
          <cell r="K7403" t="str">
            <v>00111125P.2</v>
          </cell>
        </row>
        <row r="7404">
          <cell r="K7404" t="str">
            <v>00111125P.2</v>
          </cell>
        </row>
        <row r="7405">
          <cell r="K7405" t="str">
            <v>00111126P.2</v>
          </cell>
        </row>
        <row r="7406">
          <cell r="K7406" t="str">
            <v>00111126P.2</v>
          </cell>
        </row>
        <row r="7407">
          <cell r="K7407" t="str">
            <v>00111126P.2</v>
          </cell>
        </row>
        <row r="7408">
          <cell r="K7408" t="str">
            <v>00111126P.2</v>
          </cell>
        </row>
        <row r="7409">
          <cell r="K7409" t="str">
            <v>00111126P.2</v>
          </cell>
        </row>
        <row r="7410">
          <cell r="K7410" t="str">
            <v>00111126P.2</v>
          </cell>
        </row>
        <row r="7411">
          <cell r="K7411" t="str">
            <v>00111126P.2</v>
          </cell>
        </row>
        <row r="7412">
          <cell r="K7412" t="str">
            <v>00111126P.2</v>
          </cell>
        </row>
        <row r="7413">
          <cell r="K7413" t="str">
            <v>00111126P.2</v>
          </cell>
        </row>
        <row r="7414">
          <cell r="K7414" t="str">
            <v>00111126P.2</v>
          </cell>
        </row>
        <row r="7415">
          <cell r="K7415" t="str">
            <v>00111128P.2</v>
          </cell>
        </row>
        <row r="7416">
          <cell r="K7416" t="str">
            <v>00111128P.2</v>
          </cell>
        </row>
        <row r="7417">
          <cell r="K7417" t="str">
            <v>00111128P.2</v>
          </cell>
        </row>
        <row r="7418">
          <cell r="K7418" t="str">
            <v>00111128P.2</v>
          </cell>
        </row>
        <row r="7419">
          <cell r="K7419" t="str">
            <v>00111128P.2</v>
          </cell>
        </row>
        <row r="7420">
          <cell r="K7420" t="str">
            <v>00111128P.2</v>
          </cell>
        </row>
        <row r="7421">
          <cell r="K7421" t="str">
            <v>00111128P.2</v>
          </cell>
        </row>
        <row r="7422">
          <cell r="K7422" t="str">
            <v>00111128P.2</v>
          </cell>
        </row>
        <row r="7423">
          <cell r="K7423" t="str">
            <v>00111128P.2</v>
          </cell>
        </row>
        <row r="7424">
          <cell r="K7424" t="str">
            <v>00111128P.2</v>
          </cell>
        </row>
        <row r="7425">
          <cell r="K7425" t="str">
            <v>00111128P.2</v>
          </cell>
        </row>
        <row r="7426">
          <cell r="K7426" t="str">
            <v>00111128P.2</v>
          </cell>
        </row>
        <row r="7427">
          <cell r="K7427" t="str">
            <v>00111128P.2</v>
          </cell>
        </row>
        <row r="7428">
          <cell r="K7428" t="str">
            <v>00111128P.2</v>
          </cell>
        </row>
        <row r="7429">
          <cell r="K7429" t="str">
            <v>00111128P.2</v>
          </cell>
        </row>
        <row r="7430">
          <cell r="K7430" t="str">
            <v>00111128P.2</v>
          </cell>
        </row>
        <row r="7431">
          <cell r="K7431" t="str">
            <v>00111129P.2</v>
          </cell>
        </row>
        <row r="7432">
          <cell r="K7432" t="str">
            <v>00111129P.2</v>
          </cell>
        </row>
        <row r="7433">
          <cell r="K7433" t="str">
            <v>00111129P.2</v>
          </cell>
        </row>
        <row r="7434">
          <cell r="K7434" t="str">
            <v>00111129P.2</v>
          </cell>
        </row>
        <row r="7435">
          <cell r="K7435" t="str">
            <v>00111129P.2</v>
          </cell>
        </row>
        <row r="7436">
          <cell r="K7436" t="str">
            <v>00111129P.2</v>
          </cell>
        </row>
        <row r="7437">
          <cell r="K7437" t="str">
            <v>00111129P.2</v>
          </cell>
        </row>
        <row r="7438">
          <cell r="K7438" t="str">
            <v>00111129P.2</v>
          </cell>
        </row>
        <row r="7439">
          <cell r="K7439" t="str">
            <v>00111129P.2</v>
          </cell>
        </row>
        <row r="7440">
          <cell r="K7440" t="str">
            <v>00111130P.2</v>
          </cell>
        </row>
        <row r="7441">
          <cell r="K7441" t="str">
            <v>00111130P.2</v>
          </cell>
        </row>
        <row r="7442">
          <cell r="K7442" t="str">
            <v>00111130P.2</v>
          </cell>
        </row>
        <row r="7443">
          <cell r="K7443" t="str">
            <v>00111130P.2</v>
          </cell>
        </row>
        <row r="7444">
          <cell r="K7444" t="str">
            <v>00111130P.2</v>
          </cell>
        </row>
        <row r="7445">
          <cell r="K7445" t="str">
            <v>00111130P.2</v>
          </cell>
        </row>
        <row r="7446">
          <cell r="K7446" t="str">
            <v>00111130P.2</v>
          </cell>
        </row>
        <row r="7447">
          <cell r="K7447" t="str">
            <v>00111130P.2</v>
          </cell>
        </row>
        <row r="7448">
          <cell r="K7448" t="str">
            <v>00111130P.2</v>
          </cell>
        </row>
        <row r="7449">
          <cell r="K7449" t="str">
            <v>00111131P.2</v>
          </cell>
        </row>
        <row r="7450">
          <cell r="K7450" t="str">
            <v>00111131P.2</v>
          </cell>
        </row>
        <row r="7451">
          <cell r="K7451" t="str">
            <v>00111131P.2</v>
          </cell>
        </row>
        <row r="7452">
          <cell r="K7452" t="str">
            <v>00111131P.2</v>
          </cell>
        </row>
        <row r="7453">
          <cell r="K7453" t="str">
            <v>00111131P.2</v>
          </cell>
        </row>
        <row r="7454">
          <cell r="K7454" t="str">
            <v>00111131P.2</v>
          </cell>
        </row>
        <row r="7455">
          <cell r="K7455" t="str">
            <v>00111131P.2</v>
          </cell>
        </row>
        <row r="7456">
          <cell r="K7456" t="str">
            <v>00111131P.2</v>
          </cell>
        </row>
        <row r="7457">
          <cell r="K7457" t="str">
            <v>00111135P.2</v>
          </cell>
        </row>
        <row r="7458">
          <cell r="K7458" t="str">
            <v>00111135P.2</v>
          </cell>
        </row>
        <row r="7459">
          <cell r="K7459" t="str">
            <v>00111135P.2</v>
          </cell>
        </row>
        <row r="7460">
          <cell r="K7460" t="str">
            <v>00111135P.2</v>
          </cell>
        </row>
        <row r="7461">
          <cell r="K7461" t="str">
            <v>00111135P.2</v>
          </cell>
        </row>
        <row r="7462">
          <cell r="K7462" t="str">
            <v>00111135P.2</v>
          </cell>
        </row>
        <row r="7463">
          <cell r="K7463" t="str">
            <v>00111153P.2</v>
          </cell>
        </row>
        <row r="7464">
          <cell r="K7464" t="str">
            <v>00111153P.2</v>
          </cell>
        </row>
        <row r="7465">
          <cell r="K7465" t="str">
            <v>00111153P.2</v>
          </cell>
        </row>
        <row r="7466">
          <cell r="K7466" t="str">
            <v>00111153P.2</v>
          </cell>
        </row>
        <row r="7467">
          <cell r="K7467" t="str">
            <v>00111153P.2</v>
          </cell>
        </row>
        <row r="7468">
          <cell r="K7468" t="str">
            <v>00111143P.2</v>
          </cell>
        </row>
        <row r="7469">
          <cell r="K7469" t="str">
            <v>00111143P.2</v>
          </cell>
        </row>
        <row r="7470">
          <cell r="K7470" t="str">
            <v>00111143P.2</v>
          </cell>
        </row>
        <row r="7471">
          <cell r="K7471" t="str">
            <v>00111143P.2</v>
          </cell>
        </row>
        <row r="7472">
          <cell r="K7472" t="str">
            <v>00111143P.2</v>
          </cell>
        </row>
        <row r="7473">
          <cell r="K7473" t="str">
            <v>00111143P.2</v>
          </cell>
        </row>
        <row r="7474">
          <cell r="K7474" t="str">
            <v>00111150P.2</v>
          </cell>
        </row>
        <row r="7475">
          <cell r="K7475" t="str">
            <v>00111150P.2</v>
          </cell>
        </row>
        <row r="7476">
          <cell r="K7476" t="str">
            <v>00111150P.2</v>
          </cell>
        </row>
        <row r="7477">
          <cell r="K7477" t="str">
            <v>00111150P.2</v>
          </cell>
        </row>
        <row r="7478">
          <cell r="K7478" t="str">
            <v>00111150P.2</v>
          </cell>
        </row>
        <row r="7479">
          <cell r="K7479" t="str">
            <v>00111110P.2</v>
          </cell>
        </row>
        <row r="7480">
          <cell r="K7480" t="str">
            <v>00111110P.2</v>
          </cell>
        </row>
        <row r="7481">
          <cell r="K7481" t="str">
            <v>00111110P.2</v>
          </cell>
        </row>
        <row r="7482">
          <cell r="K7482" t="str">
            <v>00111110P.2</v>
          </cell>
        </row>
        <row r="7483">
          <cell r="K7483" t="str">
            <v>00111110P.2</v>
          </cell>
        </row>
        <row r="7484">
          <cell r="K7484" t="str">
            <v>00111110P.2</v>
          </cell>
        </row>
        <row r="7485">
          <cell r="K7485" t="str">
            <v>00111110P.2</v>
          </cell>
        </row>
        <row r="7486">
          <cell r="K7486" t="str">
            <v>00111110P.2</v>
          </cell>
        </row>
        <row r="7487">
          <cell r="K7487" t="str">
            <v>00111110P.2</v>
          </cell>
        </row>
        <row r="7488">
          <cell r="K7488" t="str">
            <v>00111110P.2</v>
          </cell>
        </row>
        <row r="7489">
          <cell r="K7489" t="str">
            <v>00111110P.2</v>
          </cell>
        </row>
        <row r="7490">
          <cell r="K7490" t="str">
            <v>00111110P.2</v>
          </cell>
        </row>
        <row r="7491">
          <cell r="K7491" t="str">
            <v>00111110P.2</v>
          </cell>
        </row>
        <row r="7492">
          <cell r="K7492" t="str">
            <v>00111110P.2</v>
          </cell>
        </row>
        <row r="7493">
          <cell r="K7493" t="str">
            <v>00111111P.2</v>
          </cell>
        </row>
        <row r="7494">
          <cell r="K7494" t="str">
            <v>00111111P.2</v>
          </cell>
        </row>
        <row r="7495">
          <cell r="K7495" t="str">
            <v>00111111P.2</v>
          </cell>
        </row>
        <row r="7496">
          <cell r="K7496" t="str">
            <v>00111111P.2</v>
          </cell>
        </row>
        <row r="7497">
          <cell r="K7497" t="str">
            <v>00111111P.2</v>
          </cell>
        </row>
        <row r="7498">
          <cell r="K7498" t="str">
            <v>00111111P.2</v>
          </cell>
        </row>
        <row r="7499">
          <cell r="K7499" t="str">
            <v>00111111P.2</v>
          </cell>
        </row>
        <row r="7500">
          <cell r="K7500" t="str">
            <v>00111111P.2</v>
          </cell>
        </row>
        <row r="7501">
          <cell r="K7501" t="str">
            <v>00111111P.2</v>
          </cell>
        </row>
        <row r="7502">
          <cell r="K7502" t="str">
            <v>00111111P.2</v>
          </cell>
        </row>
        <row r="7503">
          <cell r="K7503" t="str">
            <v>00111111P.2</v>
          </cell>
        </row>
        <row r="7504">
          <cell r="K7504" t="str">
            <v>00111112P.2</v>
          </cell>
        </row>
        <row r="7505">
          <cell r="K7505" t="str">
            <v>00111112P.2</v>
          </cell>
        </row>
        <row r="7506">
          <cell r="K7506" t="str">
            <v>00111112P.2</v>
          </cell>
        </row>
        <row r="7507">
          <cell r="K7507" t="str">
            <v>00111112P.2</v>
          </cell>
        </row>
        <row r="7508">
          <cell r="K7508" t="str">
            <v>00111112P.2</v>
          </cell>
        </row>
        <row r="7509">
          <cell r="K7509" t="str">
            <v>00111112P.2</v>
          </cell>
        </row>
        <row r="7510">
          <cell r="K7510" t="str">
            <v>00111112P.2</v>
          </cell>
        </row>
        <row r="7511">
          <cell r="K7511" t="str">
            <v>00111112P.2</v>
          </cell>
        </row>
        <row r="7512">
          <cell r="K7512" t="str">
            <v>00111112P.2</v>
          </cell>
        </row>
        <row r="7513">
          <cell r="K7513" t="str">
            <v>00111112P.2</v>
          </cell>
        </row>
        <row r="7514">
          <cell r="K7514" t="str">
            <v>00111113P.2</v>
          </cell>
        </row>
        <row r="7515">
          <cell r="K7515" t="str">
            <v>00111113P.2</v>
          </cell>
        </row>
        <row r="7516">
          <cell r="K7516" t="str">
            <v>00111113P.2</v>
          </cell>
        </row>
        <row r="7517">
          <cell r="K7517" t="str">
            <v>00111113P.2</v>
          </cell>
        </row>
        <row r="7518">
          <cell r="K7518" t="str">
            <v>00111113P.2</v>
          </cell>
        </row>
        <row r="7519">
          <cell r="K7519" t="str">
            <v>00111113P.2</v>
          </cell>
        </row>
        <row r="7520">
          <cell r="K7520" t="str">
            <v>00111113P.2</v>
          </cell>
        </row>
        <row r="7521">
          <cell r="K7521" t="str">
            <v>00111113P.2</v>
          </cell>
        </row>
        <row r="7522">
          <cell r="K7522" t="str">
            <v>00111113P.2</v>
          </cell>
        </row>
        <row r="7523">
          <cell r="K7523" t="str">
            <v>00111113P.2</v>
          </cell>
        </row>
        <row r="7524">
          <cell r="K7524" t="str">
            <v>00111113P.2</v>
          </cell>
        </row>
        <row r="7525">
          <cell r="K7525" t="str">
            <v>00111113P.2</v>
          </cell>
        </row>
        <row r="7526">
          <cell r="K7526" t="str">
            <v>00111113P.2</v>
          </cell>
        </row>
        <row r="7527">
          <cell r="K7527" t="str">
            <v>00111113P.2</v>
          </cell>
        </row>
        <row r="7528">
          <cell r="K7528" t="str">
            <v>00111113P.2</v>
          </cell>
        </row>
        <row r="7529">
          <cell r="K7529" t="str">
            <v>00111114P.2</v>
          </cell>
        </row>
        <row r="7530">
          <cell r="K7530" t="str">
            <v>00111114P.2</v>
          </cell>
        </row>
        <row r="7531">
          <cell r="K7531" t="str">
            <v>00111114P.2</v>
          </cell>
        </row>
        <row r="7532">
          <cell r="K7532" t="str">
            <v>00111114P.2</v>
          </cell>
        </row>
        <row r="7533">
          <cell r="K7533" t="str">
            <v>00111114P.2</v>
          </cell>
        </row>
        <row r="7534">
          <cell r="K7534" t="str">
            <v>00111114P.2</v>
          </cell>
        </row>
        <row r="7535">
          <cell r="K7535" t="str">
            <v>00111115P.2</v>
          </cell>
        </row>
        <row r="7536">
          <cell r="K7536" t="str">
            <v>00111115P.2</v>
          </cell>
        </row>
        <row r="7537">
          <cell r="K7537" t="str">
            <v>00111115P.2</v>
          </cell>
        </row>
        <row r="7538">
          <cell r="K7538" t="str">
            <v>00111115P.2</v>
          </cell>
        </row>
        <row r="7539">
          <cell r="K7539" t="str">
            <v>00111115P.2</v>
          </cell>
        </row>
        <row r="7540">
          <cell r="K7540" t="str">
            <v>00111115P.2</v>
          </cell>
        </row>
        <row r="7541">
          <cell r="K7541" t="str">
            <v>00111115P.2</v>
          </cell>
        </row>
        <row r="7542">
          <cell r="K7542" t="str">
            <v>00111115P.2</v>
          </cell>
        </row>
        <row r="7543">
          <cell r="K7543" t="str">
            <v>00111115P.2</v>
          </cell>
        </row>
        <row r="7544">
          <cell r="K7544" t="str">
            <v>00111116P.2</v>
          </cell>
        </row>
        <row r="7545">
          <cell r="K7545" t="str">
            <v>00111116P.2</v>
          </cell>
        </row>
        <row r="7546">
          <cell r="K7546" t="str">
            <v>00111116P.2</v>
          </cell>
        </row>
        <row r="7547">
          <cell r="K7547" t="str">
            <v>00111116P.2</v>
          </cell>
        </row>
        <row r="7548">
          <cell r="K7548" t="str">
            <v>00111116P.2</v>
          </cell>
        </row>
        <row r="7549">
          <cell r="K7549" t="str">
            <v>00111116P.2</v>
          </cell>
        </row>
        <row r="7550">
          <cell r="K7550" t="str">
            <v>00111116P.2</v>
          </cell>
        </row>
        <row r="7551">
          <cell r="K7551" t="str">
            <v>00111116P.2</v>
          </cell>
        </row>
        <row r="7552">
          <cell r="K7552" t="str">
            <v>00111116P.2</v>
          </cell>
        </row>
        <row r="7553">
          <cell r="K7553" t="str">
            <v>00111116P.2</v>
          </cell>
        </row>
        <row r="7554">
          <cell r="K7554" t="str">
            <v>00111116P.2</v>
          </cell>
        </row>
        <row r="7555">
          <cell r="K7555" t="str">
            <v>00111116P.2</v>
          </cell>
        </row>
        <row r="7556">
          <cell r="K7556" t="str">
            <v>00111116P.2</v>
          </cell>
        </row>
        <row r="7557">
          <cell r="K7557" t="str">
            <v>00111116P.2</v>
          </cell>
        </row>
        <row r="7558">
          <cell r="K7558" t="str">
            <v>00111117P.2</v>
          </cell>
        </row>
        <row r="7559">
          <cell r="K7559" t="str">
            <v>00111117P.2</v>
          </cell>
        </row>
        <row r="7560">
          <cell r="K7560" t="str">
            <v>00111117P.2</v>
          </cell>
        </row>
        <row r="7561">
          <cell r="K7561" t="str">
            <v>00111117P.2</v>
          </cell>
        </row>
        <row r="7562">
          <cell r="K7562" t="str">
            <v>00111117P.2</v>
          </cell>
        </row>
        <row r="7563">
          <cell r="K7563" t="str">
            <v>00111117P.2</v>
          </cell>
        </row>
        <row r="7564">
          <cell r="K7564" t="str">
            <v>00111117P.2</v>
          </cell>
        </row>
        <row r="7565">
          <cell r="K7565" t="str">
            <v>00111117P.2</v>
          </cell>
        </row>
        <row r="7566">
          <cell r="K7566" t="str">
            <v>00111117P.2</v>
          </cell>
        </row>
        <row r="7567">
          <cell r="K7567" t="str">
            <v>00111117P.2</v>
          </cell>
        </row>
        <row r="7568">
          <cell r="K7568" t="str">
            <v>00111117P.2</v>
          </cell>
        </row>
        <row r="7569">
          <cell r="K7569" t="str">
            <v>00111117P.2</v>
          </cell>
        </row>
        <row r="7570">
          <cell r="K7570" t="str">
            <v>00111117P.2</v>
          </cell>
        </row>
        <row r="7571">
          <cell r="K7571" t="str">
            <v>00111117P.2</v>
          </cell>
        </row>
        <row r="7572">
          <cell r="K7572" t="str">
            <v>00111117P.2</v>
          </cell>
        </row>
        <row r="7573">
          <cell r="K7573" t="str">
            <v>00111117P.2</v>
          </cell>
        </row>
        <row r="7574">
          <cell r="K7574" t="str">
            <v>00111117P.2</v>
          </cell>
        </row>
        <row r="7575">
          <cell r="K7575" t="str">
            <v>00111117P.2</v>
          </cell>
        </row>
        <row r="7576">
          <cell r="K7576" t="str">
            <v>00111117P.2</v>
          </cell>
        </row>
        <row r="7577">
          <cell r="K7577" t="str">
            <v>00111117P.2</v>
          </cell>
        </row>
        <row r="7578">
          <cell r="K7578" t="str">
            <v>00111118P.2</v>
          </cell>
        </row>
        <row r="7579">
          <cell r="K7579" t="str">
            <v>00111118P.2</v>
          </cell>
        </row>
        <row r="7580">
          <cell r="K7580" t="str">
            <v>00111118P.2</v>
          </cell>
        </row>
        <row r="7581">
          <cell r="K7581" t="str">
            <v>00111118P.2</v>
          </cell>
        </row>
        <row r="7582">
          <cell r="K7582" t="str">
            <v>00111118P.2</v>
          </cell>
        </row>
        <row r="7583">
          <cell r="K7583" t="str">
            <v>00111118P.2</v>
          </cell>
        </row>
        <row r="7584">
          <cell r="K7584" t="str">
            <v>00111118P.2</v>
          </cell>
        </row>
        <row r="7585">
          <cell r="K7585" t="str">
            <v>00111119P.2</v>
          </cell>
        </row>
        <row r="7586">
          <cell r="K7586" t="str">
            <v>00111119P.2</v>
          </cell>
        </row>
        <row r="7587">
          <cell r="K7587" t="str">
            <v>00111119P.2</v>
          </cell>
        </row>
        <row r="7588">
          <cell r="K7588" t="str">
            <v>00111119P.2</v>
          </cell>
        </row>
        <row r="7589">
          <cell r="K7589" t="str">
            <v>00111119P.2</v>
          </cell>
        </row>
        <row r="7590">
          <cell r="K7590" t="str">
            <v>00111119P.2</v>
          </cell>
        </row>
        <row r="7591">
          <cell r="K7591" t="str">
            <v>00111120P.2</v>
          </cell>
        </row>
        <row r="7592">
          <cell r="K7592" t="str">
            <v>00111120P.2</v>
          </cell>
        </row>
        <row r="7593">
          <cell r="K7593" t="str">
            <v>00111120P.2</v>
          </cell>
        </row>
        <row r="7594">
          <cell r="K7594" t="str">
            <v>00111120P.2</v>
          </cell>
        </row>
        <row r="7595">
          <cell r="K7595" t="str">
            <v>00111120P.2</v>
          </cell>
        </row>
        <row r="7596">
          <cell r="K7596" t="str">
            <v>00111120P.2</v>
          </cell>
        </row>
        <row r="7597">
          <cell r="K7597" t="str">
            <v>00111120P.2</v>
          </cell>
        </row>
        <row r="7598">
          <cell r="K7598" t="str">
            <v>00111121P.2</v>
          </cell>
        </row>
        <row r="7599">
          <cell r="K7599" t="str">
            <v>00111121P.2</v>
          </cell>
        </row>
        <row r="7600">
          <cell r="K7600" t="str">
            <v>00111121P.2</v>
          </cell>
        </row>
        <row r="7601">
          <cell r="K7601" t="str">
            <v>00111121P.2</v>
          </cell>
        </row>
        <row r="7602">
          <cell r="K7602" t="str">
            <v>00111121P.2</v>
          </cell>
        </row>
        <row r="7603">
          <cell r="K7603" t="str">
            <v>00111121P.2</v>
          </cell>
        </row>
        <row r="7604">
          <cell r="K7604" t="str">
            <v>00111121P.2</v>
          </cell>
        </row>
        <row r="7605">
          <cell r="K7605" t="str">
            <v>00111121P.2</v>
          </cell>
        </row>
        <row r="7606">
          <cell r="K7606" t="str">
            <v>00111121P.2</v>
          </cell>
        </row>
        <row r="7607">
          <cell r="K7607" t="str">
            <v>00111121P.2</v>
          </cell>
        </row>
        <row r="7608">
          <cell r="K7608" t="str">
            <v>00111121P.2</v>
          </cell>
        </row>
        <row r="7609">
          <cell r="K7609" t="str">
            <v>00111122P.2</v>
          </cell>
        </row>
        <row r="7610">
          <cell r="K7610" t="str">
            <v>00111122P.2</v>
          </cell>
        </row>
        <row r="7611">
          <cell r="K7611" t="str">
            <v>00111122P.2</v>
          </cell>
        </row>
        <row r="7612">
          <cell r="K7612" t="str">
            <v>00111122P.2</v>
          </cell>
        </row>
        <row r="7613">
          <cell r="K7613" t="str">
            <v>00111122P.2</v>
          </cell>
        </row>
        <row r="7614">
          <cell r="K7614" t="str">
            <v>00111122P.2</v>
          </cell>
        </row>
        <row r="7615">
          <cell r="K7615" t="str">
            <v>00111122P.2</v>
          </cell>
        </row>
        <row r="7616">
          <cell r="K7616" t="str">
            <v>00111122P.2</v>
          </cell>
        </row>
        <row r="7617">
          <cell r="K7617" t="str">
            <v>00111122P.2</v>
          </cell>
        </row>
        <row r="7618">
          <cell r="K7618" t="str">
            <v>00111122P.2</v>
          </cell>
        </row>
        <row r="7619">
          <cell r="K7619" t="str">
            <v>00111122P.2</v>
          </cell>
        </row>
        <row r="7620">
          <cell r="K7620" t="str">
            <v>00111122P.2</v>
          </cell>
        </row>
        <row r="7621">
          <cell r="K7621" t="str">
            <v>00111123P.2</v>
          </cell>
        </row>
        <row r="7622">
          <cell r="K7622" t="str">
            <v>00111123P.2</v>
          </cell>
        </row>
        <row r="7623">
          <cell r="K7623" t="str">
            <v>00111123P.2</v>
          </cell>
        </row>
        <row r="7624">
          <cell r="K7624" t="str">
            <v>00111123P.2</v>
          </cell>
        </row>
        <row r="7625">
          <cell r="K7625" t="str">
            <v>00111123P.2</v>
          </cell>
        </row>
        <row r="7626">
          <cell r="K7626" t="str">
            <v>00111123P.2</v>
          </cell>
        </row>
        <row r="7627">
          <cell r="K7627" t="str">
            <v>00111123P.2</v>
          </cell>
        </row>
        <row r="7628">
          <cell r="K7628" t="str">
            <v>00111123P.2</v>
          </cell>
        </row>
        <row r="7629">
          <cell r="K7629" t="str">
            <v>00111124P.2</v>
          </cell>
        </row>
        <row r="7630">
          <cell r="K7630" t="str">
            <v>00111124P.2</v>
          </cell>
        </row>
        <row r="7631">
          <cell r="K7631" t="str">
            <v>00111124P.2</v>
          </cell>
        </row>
        <row r="7632">
          <cell r="K7632" t="str">
            <v>00111124P.2</v>
          </cell>
        </row>
        <row r="7633">
          <cell r="K7633" t="str">
            <v>00111124P.2</v>
          </cell>
        </row>
        <row r="7634">
          <cell r="K7634" t="str">
            <v>00111124P.2</v>
          </cell>
        </row>
        <row r="7635">
          <cell r="K7635" t="str">
            <v>00111124P.2</v>
          </cell>
        </row>
        <row r="7636">
          <cell r="K7636" t="str">
            <v>00111124P.2</v>
          </cell>
        </row>
        <row r="7637">
          <cell r="K7637" t="str">
            <v>00111124P.2</v>
          </cell>
        </row>
        <row r="7638">
          <cell r="K7638" t="str">
            <v>00111124P.2</v>
          </cell>
        </row>
        <row r="7639">
          <cell r="K7639" t="str">
            <v>00111124P.2</v>
          </cell>
        </row>
        <row r="7640">
          <cell r="K7640" t="str">
            <v>00111125P.2</v>
          </cell>
        </row>
        <row r="7641">
          <cell r="K7641" t="str">
            <v>00111125P.2</v>
          </cell>
        </row>
        <row r="7642">
          <cell r="K7642" t="str">
            <v>00111125P.2</v>
          </cell>
        </row>
        <row r="7643">
          <cell r="K7643" t="str">
            <v>00111125P.2</v>
          </cell>
        </row>
        <row r="7644">
          <cell r="K7644" t="str">
            <v>00111125P.2</v>
          </cell>
        </row>
        <row r="7645">
          <cell r="K7645" t="str">
            <v>00111125P.2</v>
          </cell>
        </row>
        <row r="7646">
          <cell r="K7646" t="str">
            <v>00111125P.2</v>
          </cell>
        </row>
        <row r="7647">
          <cell r="K7647" t="str">
            <v>00111125P.2</v>
          </cell>
        </row>
        <row r="7648">
          <cell r="K7648" t="str">
            <v>00111125P.2</v>
          </cell>
        </row>
        <row r="7649">
          <cell r="K7649" t="str">
            <v>00111125P.2</v>
          </cell>
        </row>
        <row r="7650">
          <cell r="K7650" t="str">
            <v>00111125P.2</v>
          </cell>
        </row>
        <row r="7651">
          <cell r="K7651" t="str">
            <v>00111125P.2</v>
          </cell>
        </row>
        <row r="7652">
          <cell r="K7652" t="str">
            <v>00111125P.2</v>
          </cell>
        </row>
        <row r="7653">
          <cell r="K7653" t="str">
            <v>00111126P.2</v>
          </cell>
        </row>
        <row r="7654">
          <cell r="K7654" t="str">
            <v>00111126P.2</v>
          </cell>
        </row>
        <row r="7655">
          <cell r="K7655" t="str">
            <v>00111126P.2</v>
          </cell>
        </row>
        <row r="7656">
          <cell r="K7656" t="str">
            <v>00111126P.2</v>
          </cell>
        </row>
        <row r="7657">
          <cell r="K7657" t="str">
            <v>00111126P.2</v>
          </cell>
        </row>
        <row r="7658">
          <cell r="K7658" t="str">
            <v>00111126P.2</v>
          </cell>
        </row>
        <row r="7659">
          <cell r="K7659" t="str">
            <v>00111126P.2</v>
          </cell>
        </row>
        <row r="7660">
          <cell r="K7660" t="str">
            <v>00111127P.2</v>
          </cell>
        </row>
        <row r="7661">
          <cell r="K7661" t="str">
            <v>00111127P.2</v>
          </cell>
        </row>
        <row r="7662">
          <cell r="K7662" t="str">
            <v>00111127P.2</v>
          </cell>
        </row>
        <row r="7663">
          <cell r="K7663" t="str">
            <v>00111127P.2</v>
          </cell>
        </row>
        <row r="7664">
          <cell r="K7664" t="str">
            <v>00111127P.2</v>
          </cell>
        </row>
        <row r="7665">
          <cell r="K7665" t="str">
            <v>00111127P.2</v>
          </cell>
        </row>
        <row r="7666">
          <cell r="K7666" t="str">
            <v>00111127P.2</v>
          </cell>
        </row>
        <row r="7667">
          <cell r="K7667" t="str">
            <v>00111127P.2</v>
          </cell>
        </row>
        <row r="7668">
          <cell r="K7668" t="str">
            <v>00111128P.2</v>
          </cell>
        </row>
        <row r="7669">
          <cell r="K7669" t="str">
            <v>00111128P.2</v>
          </cell>
        </row>
        <row r="7670">
          <cell r="K7670" t="str">
            <v>00111128P.2</v>
          </cell>
        </row>
        <row r="7671">
          <cell r="K7671" t="str">
            <v>00111128P.2</v>
          </cell>
        </row>
        <row r="7672">
          <cell r="K7672" t="str">
            <v>00111128P.2</v>
          </cell>
        </row>
        <row r="7673">
          <cell r="K7673" t="str">
            <v>00111128P.2</v>
          </cell>
        </row>
        <row r="7674">
          <cell r="K7674" t="str">
            <v>00111128P.2</v>
          </cell>
        </row>
        <row r="7675">
          <cell r="K7675" t="str">
            <v>00111128P.2</v>
          </cell>
        </row>
        <row r="7676">
          <cell r="K7676" t="str">
            <v>00111128P.2</v>
          </cell>
        </row>
        <row r="7677">
          <cell r="K7677" t="str">
            <v>00111128P.2</v>
          </cell>
        </row>
        <row r="7678">
          <cell r="K7678" t="str">
            <v>00111128P.2</v>
          </cell>
        </row>
        <row r="7679">
          <cell r="K7679" t="str">
            <v>00111128P.2</v>
          </cell>
        </row>
        <row r="7680">
          <cell r="K7680" t="str">
            <v>00111128P.2</v>
          </cell>
        </row>
        <row r="7681">
          <cell r="K7681" t="str">
            <v>00111128P.2</v>
          </cell>
        </row>
        <row r="7682">
          <cell r="K7682" t="str">
            <v>00111128P.2</v>
          </cell>
        </row>
        <row r="7683">
          <cell r="K7683" t="str">
            <v>00111128P.2</v>
          </cell>
        </row>
        <row r="7684">
          <cell r="K7684" t="str">
            <v>00111128P.2</v>
          </cell>
        </row>
        <row r="7685">
          <cell r="K7685" t="str">
            <v>00111129P.2</v>
          </cell>
        </row>
        <row r="7686">
          <cell r="K7686" t="str">
            <v>00111129P.2</v>
          </cell>
        </row>
        <row r="7687">
          <cell r="K7687" t="str">
            <v>00111129P.2</v>
          </cell>
        </row>
        <row r="7688">
          <cell r="K7688" t="str">
            <v>00111129P.2</v>
          </cell>
        </row>
        <row r="7689">
          <cell r="K7689" t="str">
            <v>00111129P.2</v>
          </cell>
        </row>
        <row r="7690">
          <cell r="K7690" t="str">
            <v>00111129P.2</v>
          </cell>
        </row>
        <row r="7691">
          <cell r="K7691" t="str">
            <v>00111129P.2</v>
          </cell>
        </row>
        <row r="7692">
          <cell r="K7692" t="str">
            <v>00111129P.2</v>
          </cell>
        </row>
        <row r="7693">
          <cell r="K7693" t="str">
            <v>00111129P.2</v>
          </cell>
        </row>
        <row r="7694">
          <cell r="K7694" t="str">
            <v>00111129P.2</v>
          </cell>
        </row>
        <row r="7695">
          <cell r="K7695" t="str">
            <v>00111129P.2</v>
          </cell>
        </row>
        <row r="7696">
          <cell r="K7696" t="str">
            <v>00111129P.2</v>
          </cell>
        </row>
        <row r="7697">
          <cell r="K7697" t="str">
            <v>00111129P.2</v>
          </cell>
        </row>
        <row r="7698">
          <cell r="K7698" t="str">
            <v>00111129P.2</v>
          </cell>
        </row>
        <row r="7699">
          <cell r="K7699" t="str">
            <v>00111129P.2</v>
          </cell>
        </row>
        <row r="7700">
          <cell r="K7700" t="str">
            <v>00111129P.2</v>
          </cell>
        </row>
        <row r="7701">
          <cell r="K7701" t="str">
            <v>00111129P.2</v>
          </cell>
        </row>
        <row r="7702">
          <cell r="K7702" t="str">
            <v>00111130P.2</v>
          </cell>
        </row>
        <row r="7703">
          <cell r="K7703" t="str">
            <v>00111130P.2</v>
          </cell>
        </row>
        <row r="7704">
          <cell r="K7704" t="str">
            <v>00111130P.2</v>
          </cell>
        </row>
        <row r="7705">
          <cell r="K7705" t="str">
            <v>00111130P.2</v>
          </cell>
        </row>
        <row r="7706">
          <cell r="K7706" t="str">
            <v>00111130P.2</v>
          </cell>
        </row>
        <row r="7707">
          <cell r="K7707" t="str">
            <v>00111130P.2</v>
          </cell>
        </row>
        <row r="7708">
          <cell r="K7708" t="str">
            <v>00111130P.2</v>
          </cell>
        </row>
        <row r="7709">
          <cell r="K7709" t="str">
            <v>00111131P.2</v>
          </cell>
        </row>
        <row r="7710">
          <cell r="K7710" t="str">
            <v>00111131P.2</v>
          </cell>
        </row>
        <row r="7711">
          <cell r="K7711" t="str">
            <v>00111131P.2</v>
          </cell>
        </row>
        <row r="7712">
          <cell r="K7712" t="str">
            <v>00111131P.2</v>
          </cell>
        </row>
        <row r="7713">
          <cell r="K7713" t="str">
            <v>00111131P.2</v>
          </cell>
        </row>
        <row r="7714">
          <cell r="K7714" t="str">
            <v>00111131P.2</v>
          </cell>
        </row>
        <row r="7715">
          <cell r="K7715" t="str">
            <v>00111131P.2</v>
          </cell>
        </row>
        <row r="7716">
          <cell r="K7716" t="str">
            <v>00111132P.2</v>
          </cell>
        </row>
        <row r="7717">
          <cell r="K7717" t="str">
            <v>00111132P.2</v>
          </cell>
        </row>
        <row r="7718">
          <cell r="K7718" t="str">
            <v>00111132P.2</v>
          </cell>
        </row>
        <row r="7719">
          <cell r="K7719" t="str">
            <v>00111132P.2</v>
          </cell>
        </row>
        <row r="7720">
          <cell r="K7720" t="str">
            <v>00111132P.2</v>
          </cell>
        </row>
        <row r="7721">
          <cell r="K7721" t="str">
            <v>00111132P.2</v>
          </cell>
        </row>
        <row r="7722">
          <cell r="K7722" t="str">
            <v>00111132P.2</v>
          </cell>
        </row>
        <row r="7723">
          <cell r="K7723" t="str">
            <v>00111132P.2</v>
          </cell>
        </row>
        <row r="7724">
          <cell r="K7724" t="str">
            <v>00111132P.2</v>
          </cell>
        </row>
        <row r="7725">
          <cell r="K7725" t="str">
            <v>00111132P.2</v>
          </cell>
        </row>
        <row r="7726">
          <cell r="K7726" t="str">
            <v>00111132P.2</v>
          </cell>
        </row>
        <row r="7727">
          <cell r="K7727" t="str">
            <v>00111132P.2</v>
          </cell>
        </row>
        <row r="7728">
          <cell r="K7728" t="str">
            <v>00111133P.2</v>
          </cell>
        </row>
        <row r="7729">
          <cell r="K7729" t="str">
            <v>00111133P.2</v>
          </cell>
        </row>
        <row r="7730">
          <cell r="K7730" t="str">
            <v>00111133P.2</v>
          </cell>
        </row>
        <row r="7731">
          <cell r="K7731" t="str">
            <v>00111133P.2</v>
          </cell>
        </row>
        <row r="7732">
          <cell r="K7732" t="str">
            <v>00111133P.2</v>
          </cell>
        </row>
        <row r="7733">
          <cell r="K7733" t="str">
            <v>00111133P.2</v>
          </cell>
        </row>
        <row r="7734">
          <cell r="K7734" t="str">
            <v>00111133P.2</v>
          </cell>
        </row>
        <row r="7735">
          <cell r="K7735" t="str">
            <v>00111133P.2</v>
          </cell>
        </row>
        <row r="7736">
          <cell r="K7736" t="str">
            <v>00111133P.2</v>
          </cell>
        </row>
        <row r="7737">
          <cell r="K7737" t="str">
            <v>00111133P.2</v>
          </cell>
        </row>
        <row r="7738">
          <cell r="K7738" t="str">
            <v>00111133P.2</v>
          </cell>
        </row>
        <row r="7739">
          <cell r="K7739" t="str">
            <v>00111133P.2</v>
          </cell>
        </row>
        <row r="7740">
          <cell r="K7740" t="str">
            <v>00111133P.2</v>
          </cell>
        </row>
        <row r="7741">
          <cell r="K7741" t="str">
            <v>00111133P.2</v>
          </cell>
        </row>
        <row r="7742">
          <cell r="K7742" t="str">
            <v>00111133P.2</v>
          </cell>
        </row>
        <row r="7743">
          <cell r="K7743" t="str">
            <v>00111133P.2</v>
          </cell>
        </row>
        <row r="7744">
          <cell r="K7744" t="str">
            <v>00111133P.2</v>
          </cell>
        </row>
        <row r="7745">
          <cell r="K7745" t="str">
            <v>00111133P.2</v>
          </cell>
        </row>
        <row r="7746">
          <cell r="K7746" t="str">
            <v>00111133P.2</v>
          </cell>
        </row>
        <row r="7747">
          <cell r="K7747" t="str">
            <v>00111134P.2</v>
          </cell>
        </row>
        <row r="7748">
          <cell r="K7748" t="str">
            <v>00111134P.2</v>
          </cell>
        </row>
        <row r="7749">
          <cell r="K7749" t="str">
            <v>00111134P.2</v>
          </cell>
        </row>
        <row r="7750">
          <cell r="K7750" t="str">
            <v>00111134P.2</v>
          </cell>
        </row>
        <row r="7751">
          <cell r="K7751" t="str">
            <v>00111134P.2</v>
          </cell>
        </row>
        <row r="7752">
          <cell r="K7752" t="str">
            <v>00111134P.2</v>
          </cell>
        </row>
        <row r="7753">
          <cell r="K7753" t="str">
            <v>00111134P.2</v>
          </cell>
        </row>
        <row r="7754">
          <cell r="K7754" t="str">
            <v>00111134P.2</v>
          </cell>
        </row>
        <row r="7755">
          <cell r="K7755" t="str">
            <v>00111134P.2</v>
          </cell>
        </row>
        <row r="7756">
          <cell r="K7756" t="str">
            <v>00111134P.2</v>
          </cell>
        </row>
        <row r="7757">
          <cell r="K7757" t="str">
            <v>00111134P.2</v>
          </cell>
        </row>
        <row r="7758">
          <cell r="K7758" t="str">
            <v>00111135P.2</v>
          </cell>
        </row>
        <row r="7759">
          <cell r="K7759" t="str">
            <v>00111135P.2</v>
          </cell>
        </row>
        <row r="7760">
          <cell r="K7760" t="str">
            <v>00111135P.2</v>
          </cell>
        </row>
        <row r="7761">
          <cell r="K7761" t="str">
            <v>00111135P.2</v>
          </cell>
        </row>
        <row r="7762">
          <cell r="K7762" t="str">
            <v>00111135P.2</v>
          </cell>
        </row>
        <row r="7763">
          <cell r="K7763" t="str">
            <v>00111135P.2</v>
          </cell>
        </row>
        <row r="7764">
          <cell r="K7764" t="str">
            <v>00111135P.2</v>
          </cell>
        </row>
        <row r="7765">
          <cell r="K7765" t="str">
            <v>00111135P.2</v>
          </cell>
        </row>
        <row r="7766">
          <cell r="K7766" t="str">
            <v>00111135P.2</v>
          </cell>
        </row>
        <row r="7767">
          <cell r="K7767" t="str">
            <v>00111135P.2</v>
          </cell>
        </row>
        <row r="7768">
          <cell r="K7768" t="str">
            <v>00111136P.2</v>
          </cell>
        </row>
        <row r="7769">
          <cell r="K7769" t="str">
            <v>00111136P.2</v>
          </cell>
        </row>
        <row r="7770">
          <cell r="K7770" t="str">
            <v>00111136P.2</v>
          </cell>
        </row>
        <row r="7771">
          <cell r="K7771" t="str">
            <v>00111136P.2</v>
          </cell>
        </row>
        <row r="7772">
          <cell r="K7772" t="str">
            <v>00111136P.2</v>
          </cell>
        </row>
        <row r="7773">
          <cell r="K7773" t="str">
            <v>00111136P.2</v>
          </cell>
        </row>
        <row r="7774">
          <cell r="K7774" t="str">
            <v>00111136P.2</v>
          </cell>
        </row>
        <row r="7775">
          <cell r="K7775" t="str">
            <v>00111136P.2</v>
          </cell>
        </row>
        <row r="7776">
          <cell r="K7776" t="str">
            <v>00111136P.2</v>
          </cell>
        </row>
        <row r="7777">
          <cell r="K7777" t="str">
            <v>00111136P.2</v>
          </cell>
        </row>
        <row r="7778">
          <cell r="K7778" t="str">
            <v>00111136P.2</v>
          </cell>
        </row>
        <row r="7779">
          <cell r="K7779" t="str">
            <v>00111136P.2</v>
          </cell>
        </row>
        <row r="7780">
          <cell r="K7780" t="str">
            <v>00111136P.2</v>
          </cell>
        </row>
        <row r="7781">
          <cell r="K7781" t="str">
            <v>00111136P.2</v>
          </cell>
        </row>
        <row r="7782">
          <cell r="K7782" t="str">
            <v>00111136P.2</v>
          </cell>
        </row>
        <row r="7783">
          <cell r="K7783" t="str">
            <v>00111153P.2</v>
          </cell>
        </row>
        <row r="7784">
          <cell r="K7784" t="str">
            <v>00111153P.2</v>
          </cell>
        </row>
        <row r="7785">
          <cell r="K7785" t="str">
            <v>00111153P.2</v>
          </cell>
        </row>
        <row r="7786">
          <cell r="K7786" t="str">
            <v>00111152P.2</v>
          </cell>
        </row>
        <row r="7787">
          <cell r="K7787" t="str">
            <v>00111138P.2</v>
          </cell>
        </row>
        <row r="7788">
          <cell r="K7788" t="str">
            <v>00111142P.2</v>
          </cell>
        </row>
        <row r="7789">
          <cell r="K7789" t="str">
            <v>00111142P.2</v>
          </cell>
        </row>
        <row r="7790">
          <cell r="K7790" t="str">
            <v>00111142P.2</v>
          </cell>
        </row>
        <row r="7791">
          <cell r="K7791" t="str">
            <v>00111142P.2</v>
          </cell>
        </row>
        <row r="7792">
          <cell r="K7792" t="str">
            <v>00111142P.2</v>
          </cell>
        </row>
        <row r="7793">
          <cell r="K7793" t="str">
            <v>00111142P.2</v>
          </cell>
        </row>
        <row r="7794">
          <cell r="K7794" t="str">
            <v>00111142P.2</v>
          </cell>
        </row>
        <row r="7795">
          <cell r="K7795" t="str">
            <v>00111141P.2</v>
          </cell>
        </row>
        <row r="7796">
          <cell r="K7796" t="str">
            <v>00111141P.2</v>
          </cell>
        </row>
        <row r="7797">
          <cell r="K7797" t="str">
            <v>00111141P.2</v>
          </cell>
        </row>
        <row r="7798">
          <cell r="K7798" t="str">
            <v>00111141P.2</v>
          </cell>
        </row>
        <row r="7799">
          <cell r="K7799" t="str">
            <v>00111141P.2</v>
          </cell>
        </row>
        <row r="7800">
          <cell r="K7800" t="str">
            <v>00111141P.2</v>
          </cell>
        </row>
        <row r="7801">
          <cell r="K7801" t="str">
            <v>00111141P.2</v>
          </cell>
        </row>
        <row r="7802">
          <cell r="K7802" t="str">
            <v>00111141P.2</v>
          </cell>
        </row>
        <row r="7803">
          <cell r="K7803" t="str">
            <v>00111141P.2</v>
          </cell>
        </row>
        <row r="7804">
          <cell r="K7804" t="str">
            <v>00111106P.2</v>
          </cell>
        </row>
        <row r="7805">
          <cell r="K7805" t="str">
            <v>00111106P.2</v>
          </cell>
        </row>
        <row r="7806">
          <cell r="K7806" t="str">
            <v>00111106P.2</v>
          </cell>
        </row>
        <row r="7807">
          <cell r="K7807" t="str">
            <v>00111107P.2</v>
          </cell>
        </row>
        <row r="7808">
          <cell r="K7808" t="str">
            <v>00111107P.2</v>
          </cell>
        </row>
        <row r="7809">
          <cell r="K7809" t="str">
            <v>00111114P.2</v>
          </cell>
        </row>
        <row r="7810">
          <cell r="K7810" t="str">
            <v>00111114P.2</v>
          </cell>
        </row>
        <row r="7811">
          <cell r="K7811" t="str">
            <v>00111114P.2</v>
          </cell>
        </row>
        <row r="7812">
          <cell r="K7812" t="str">
            <v>00111114P.2</v>
          </cell>
        </row>
        <row r="7813">
          <cell r="K7813" t="str">
            <v>00111114P.2</v>
          </cell>
        </row>
        <row r="7814">
          <cell r="K7814" t="str">
            <v>00111128P.2</v>
          </cell>
        </row>
        <row r="7815">
          <cell r="K7815" t="str">
            <v>00111128P.2</v>
          </cell>
        </row>
        <row r="7816">
          <cell r="K7816" t="str">
            <v>00111128P.2</v>
          </cell>
        </row>
        <row r="7817">
          <cell r="K7817" t="str">
            <v>00111128P.2</v>
          </cell>
        </row>
        <row r="7818">
          <cell r="K7818" t="str">
            <v>00111128P.2</v>
          </cell>
        </row>
        <row r="7819">
          <cell r="K7819" t="str">
            <v>00111128P.2</v>
          </cell>
        </row>
        <row r="7820">
          <cell r="K7820" t="str">
            <v>00111128P.2</v>
          </cell>
        </row>
        <row r="7821">
          <cell r="K7821" t="str">
            <v>00111128P.2</v>
          </cell>
        </row>
        <row r="7822">
          <cell r="K7822" t="str">
            <v>00111128P.2</v>
          </cell>
        </row>
        <row r="7823">
          <cell r="K7823" t="str">
            <v>00111128P.2</v>
          </cell>
        </row>
        <row r="7824">
          <cell r="K7824" t="str">
            <v>00111128P.2</v>
          </cell>
        </row>
        <row r="7825">
          <cell r="K7825" t="str">
            <v>00111128P.2</v>
          </cell>
        </row>
        <row r="7826">
          <cell r="K7826" t="str">
            <v>00111128P.2</v>
          </cell>
        </row>
        <row r="7827">
          <cell r="K7827" t="str">
            <v>00111128P.2</v>
          </cell>
        </row>
        <row r="7828">
          <cell r="K7828" t="str">
            <v>00111128P.2</v>
          </cell>
        </row>
        <row r="7829">
          <cell r="K7829" t="str">
            <v>00111128P.2</v>
          </cell>
        </row>
        <row r="7830">
          <cell r="K7830" t="str">
            <v>00111128P.2</v>
          </cell>
        </row>
        <row r="7831">
          <cell r="K7831" t="str">
            <v>00111128P.2</v>
          </cell>
        </row>
        <row r="7832">
          <cell r="K7832" t="str">
            <v>00111128P.2</v>
          </cell>
        </row>
        <row r="7833">
          <cell r="K7833" t="str">
            <v>00111128P.2</v>
          </cell>
        </row>
        <row r="7834">
          <cell r="K7834" t="str">
            <v>00111128P.2</v>
          </cell>
        </row>
        <row r="7835">
          <cell r="K7835" t="str">
            <v>00111130P.2</v>
          </cell>
        </row>
        <row r="7836">
          <cell r="K7836" t="str">
            <v>00111130P.2</v>
          </cell>
        </row>
        <row r="7837">
          <cell r="K7837" t="str">
            <v>00111130P.2</v>
          </cell>
        </row>
        <row r="7838">
          <cell r="K7838" t="str">
            <v>00111130P.2</v>
          </cell>
        </row>
        <row r="7839">
          <cell r="K7839" t="str">
            <v>00111130P.2</v>
          </cell>
        </row>
        <row r="7840">
          <cell r="K7840" t="str">
            <v>00111130P.2</v>
          </cell>
        </row>
        <row r="7841">
          <cell r="K7841" t="str">
            <v>00111130P.2</v>
          </cell>
        </row>
        <row r="7842">
          <cell r="K7842" t="str">
            <v>00111130P.2</v>
          </cell>
        </row>
        <row r="7843">
          <cell r="K7843" t="str">
            <v>00111130P.2</v>
          </cell>
        </row>
        <row r="7844">
          <cell r="K7844" t="str">
            <v>00111149P.2</v>
          </cell>
        </row>
        <row r="7845">
          <cell r="K7845" t="str">
            <v>00111153P.2</v>
          </cell>
        </row>
        <row r="7846">
          <cell r="K7846" t="str">
            <v>00111153P.2</v>
          </cell>
        </row>
        <row r="7847">
          <cell r="K7847" t="str">
            <v>00111153P.2</v>
          </cell>
        </row>
        <row r="7848">
          <cell r="K7848" t="str">
            <v>00111153P.2</v>
          </cell>
        </row>
        <row r="7849">
          <cell r="K7849" t="str">
            <v>00111157P.2</v>
          </cell>
        </row>
        <row r="7850">
          <cell r="K7850" t="str">
            <v>00111157P.2</v>
          </cell>
        </row>
        <row r="7851">
          <cell r="K7851" t="str">
            <v>00111157P.2</v>
          </cell>
        </row>
        <row r="7852">
          <cell r="K7852" t="str">
            <v>00111157P.2</v>
          </cell>
        </row>
        <row r="7853">
          <cell r="K7853" t="str">
            <v>00111157P.2</v>
          </cell>
        </row>
        <row r="7854">
          <cell r="K7854" t="str">
            <v>00111157P.2</v>
          </cell>
        </row>
        <row r="7855">
          <cell r="K7855" t="str">
            <v>00111157P.2</v>
          </cell>
        </row>
        <row r="7856">
          <cell r="K7856" t="str">
            <v>00111157P.2</v>
          </cell>
        </row>
        <row r="7857">
          <cell r="K7857" t="str">
            <v>00111157P.2</v>
          </cell>
        </row>
        <row r="7858">
          <cell r="K7858" t="str">
            <v>00111157P.2</v>
          </cell>
        </row>
        <row r="7859">
          <cell r="K7859" t="str">
            <v>00111157P.2</v>
          </cell>
        </row>
        <row r="7860">
          <cell r="K7860" t="str">
            <v>00111159P.2</v>
          </cell>
        </row>
        <row r="7861">
          <cell r="K7861" t="str">
            <v>00111159P.2</v>
          </cell>
        </row>
        <row r="7862">
          <cell r="K7862" t="str">
            <v>00111159P.2</v>
          </cell>
        </row>
        <row r="7863">
          <cell r="K7863" t="str">
            <v>00111159P.2</v>
          </cell>
        </row>
        <row r="7864">
          <cell r="K7864" t="str">
            <v>00111159P.2</v>
          </cell>
        </row>
        <row r="7865">
          <cell r="K7865" t="str">
            <v>00111149P.2</v>
          </cell>
        </row>
        <row r="7866">
          <cell r="K7866" t="str">
            <v>00111149P.2</v>
          </cell>
        </row>
        <row r="7867">
          <cell r="K7867" t="str">
            <v>00111149P.2</v>
          </cell>
        </row>
        <row r="7868">
          <cell r="K7868" t="str">
            <v>00111149P.2</v>
          </cell>
        </row>
        <row r="7869">
          <cell r="K7869" t="str">
            <v>00111149P.2</v>
          </cell>
        </row>
        <row r="7870">
          <cell r="K7870" t="str">
            <v>00111149P.2</v>
          </cell>
        </row>
        <row r="7871">
          <cell r="K7871" t="str">
            <v>00111149P.2</v>
          </cell>
        </row>
        <row r="7872">
          <cell r="K7872" t="str">
            <v>00111149P.2</v>
          </cell>
        </row>
        <row r="7873">
          <cell r="K7873" t="str">
            <v>00111149P.2</v>
          </cell>
        </row>
        <row r="7874">
          <cell r="K7874" t="str">
            <v>00111149P.2</v>
          </cell>
        </row>
        <row r="7875">
          <cell r="K7875" t="str">
            <v>00111149P.2</v>
          </cell>
        </row>
        <row r="7876">
          <cell r="K7876" t="str">
            <v>00111149P.2</v>
          </cell>
        </row>
        <row r="7877">
          <cell r="K7877" t="str">
            <v>00111149P.2</v>
          </cell>
        </row>
        <row r="7878">
          <cell r="K7878" t="str">
            <v>00111149P.2</v>
          </cell>
        </row>
        <row r="7879">
          <cell r="K7879" t="str">
            <v>00111149P.2</v>
          </cell>
        </row>
        <row r="7880">
          <cell r="K7880" t="str">
            <v>00111149P.2</v>
          </cell>
        </row>
        <row r="7881">
          <cell r="K7881" t="str">
            <v>00111149P.2</v>
          </cell>
        </row>
        <row r="7882">
          <cell r="K7882" t="str">
            <v>00111149P.2</v>
          </cell>
        </row>
        <row r="7883">
          <cell r="K7883" t="str">
            <v>00111113P.2</v>
          </cell>
        </row>
        <row r="7884">
          <cell r="K7884" t="str">
            <v>00111113P.2</v>
          </cell>
        </row>
        <row r="7885">
          <cell r="K7885" t="str">
            <v>00111113P.2</v>
          </cell>
        </row>
        <row r="7886">
          <cell r="K7886" t="str">
            <v>00111113P.2</v>
          </cell>
        </row>
        <row r="7887">
          <cell r="K7887" t="str">
            <v>00111113P.2</v>
          </cell>
        </row>
        <row r="7888">
          <cell r="K7888" t="str">
            <v>00111122P.2</v>
          </cell>
        </row>
        <row r="7889">
          <cell r="K7889" t="str">
            <v>00111125P.2</v>
          </cell>
        </row>
        <row r="7890">
          <cell r="K7890" t="str">
            <v>00111126P.2</v>
          </cell>
        </row>
        <row r="7891">
          <cell r="K7891" t="str">
            <v>00111126P.2</v>
          </cell>
        </row>
        <row r="7892">
          <cell r="K7892" t="str">
            <v>00111128P.2</v>
          </cell>
        </row>
        <row r="7893">
          <cell r="K7893" t="str">
            <v>00111128P.2</v>
          </cell>
        </row>
        <row r="7894">
          <cell r="K7894" t="str">
            <v>00111128P.2</v>
          </cell>
        </row>
        <row r="7895">
          <cell r="K7895" t="str">
            <v>00111129P.2</v>
          </cell>
        </row>
        <row r="7896">
          <cell r="K7896" t="str">
            <v>00111131P.2</v>
          </cell>
        </row>
        <row r="7897">
          <cell r="K7897" t="str">
            <v>00111131P.2</v>
          </cell>
        </row>
        <row r="7898">
          <cell r="K7898" t="str">
            <v>00111132P.2</v>
          </cell>
        </row>
        <row r="7899">
          <cell r="K7899" t="str">
            <v>00111132P.2</v>
          </cell>
        </row>
        <row r="7900">
          <cell r="K7900" t="str">
            <v>00111132P.2</v>
          </cell>
        </row>
        <row r="7901">
          <cell r="K7901" t="str">
            <v>00111132P.2</v>
          </cell>
        </row>
        <row r="7902">
          <cell r="K7902" t="str">
            <v>00111132P.2</v>
          </cell>
        </row>
        <row r="7903">
          <cell r="K7903" t="str">
            <v>00111135P.2</v>
          </cell>
        </row>
        <row r="7904">
          <cell r="K7904" t="str">
            <v>00111135P.2</v>
          </cell>
        </row>
        <row r="7905">
          <cell r="K7905" t="str">
            <v>00111136P.2</v>
          </cell>
        </row>
        <row r="7906">
          <cell r="K7906" t="str">
            <v>00111136P.2</v>
          </cell>
        </row>
        <row r="7907">
          <cell r="K7907" t="str">
            <v>00111136P.2</v>
          </cell>
        </row>
        <row r="7908">
          <cell r="K7908" t="str">
            <v>00111136P.2</v>
          </cell>
        </row>
        <row r="7909">
          <cell r="K7909" t="str">
            <v>00111136P.2</v>
          </cell>
        </row>
        <row r="7910">
          <cell r="K7910" t="str">
            <v>00111145P.2</v>
          </cell>
        </row>
        <row r="7911">
          <cell r="K7911" t="str">
            <v>00111145P.2</v>
          </cell>
        </row>
        <row r="7912">
          <cell r="K7912" t="str">
            <v>00111145P.2</v>
          </cell>
        </row>
        <row r="7913">
          <cell r="K7913" t="str">
            <v>00111145P.2</v>
          </cell>
        </row>
        <row r="7914">
          <cell r="K7914" t="str">
            <v>00111145P.2</v>
          </cell>
        </row>
        <row r="7915">
          <cell r="K7915" t="str">
            <v>00111145P.2</v>
          </cell>
        </row>
        <row r="7916">
          <cell r="K7916" t="str">
            <v>00111145P.2</v>
          </cell>
        </row>
        <row r="7917">
          <cell r="K7917" t="str">
            <v>00111145P.2</v>
          </cell>
        </row>
        <row r="7918">
          <cell r="K7918" t="str">
            <v>00111145P.2</v>
          </cell>
        </row>
        <row r="7919">
          <cell r="K7919" t="str">
            <v>00111145P.2</v>
          </cell>
        </row>
        <row r="7920">
          <cell r="K7920" t="str">
            <v>00111145P.2</v>
          </cell>
        </row>
        <row r="7921">
          <cell r="K7921" t="str">
            <v>00111145P.2</v>
          </cell>
        </row>
        <row r="7922">
          <cell r="K7922" t="str">
            <v>00111145P.2</v>
          </cell>
        </row>
        <row r="7923">
          <cell r="K7923" t="str">
            <v>00111145P.2</v>
          </cell>
        </row>
        <row r="7924">
          <cell r="K7924" t="str">
            <v>00111145P.2</v>
          </cell>
        </row>
        <row r="7925">
          <cell r="K7925" t="str">
            <v>00111145P.2</v>
          </cell>
        </row>
        <row r="7926">
          <cell r="K7926" t="str">
            <v>00111149P.2</v>
          </cell>
        </row>
        <row r="7927">
          <cell r="K7927" t="str">
            <v>00111150P.2</v>
          </cell>
        </row>
        <row r="7928">
          <cell r="K7928" t="str">
            <v>00111150P.2</v>
          </cell>
        </row>
        <row r="7929">
          <cell r="K7929" t="str">
            <v>00111151P.2</v>
          </cell>
        </row>
        <row r="7930">
          <cell r="K7930" t="str">
            <v>00111153P.2</v>
          </cell>
        </row>
        <row r="7931">
          <cell r="K7931" t="str">
            <v>00111153P.2</v>
          </cell>
        </row>
        <row r="7932">
          <cell r="K7932" t="str">
            <v>00111153P.2</v>
          </cell>
        </row>
        <row r="7933">
          <cell r="K7933" t="str">
            <v>00111153P.2</v>
          </cell>
        </row>
        <row r="7934">
          <cell r="K7934" t="str">
            <v>00111153P.2</v>
          </cell>
        </row>
        <row r="7935">
          <cell r="K7935" t="str">
            <v>00111153P.2</v>
          </cell>
        </row>
        <row r="7936">
          <cell r="K7936" t="str">
            <v>00111153P.2</v>
          </cell>
        </row>
        <row r="7937">
          <cell r="K7937" t="str">
            <v>00111153P.2</v>
          </cell>
        </row>
        <row r="7938">
          <cell r="K7938" t="str">
            <v>00111158P.2</v>
          </cell>
        </row>
        <row r="7939">
          <cell r="K7939" t="str">
            <v>00111158P.2</v>
          </cell>
        </row>
        <row r="7940">
          <cell r="K7940" t="str">
            <v>00111159P.2</v>
          </cell>
        </row>
        <row r="7941">
          <cell r="K7941" t="str">
            <v>00111159P.2</v>
          </cell>
        </row>
        <row r="7942">
          <cell r="K7942" t="str">
            <v>00111110P.2</v>
          </cell>
        </row>
        <row r="7943">
          <cell r="K7943" t="str">
            <v>00111110P.2</v>
          </cell>
        </row>
        <row r="7944">
          <cell r="K7944" t="str">
            <v>00111110P.2</v>
          </cell>
        </row>
        <row r="7945">
          <cell r="K7945" t="str">
            <v>00111111P.2</v>
          </cell>
        </row>
        <row r="7946">
          <cell r="K7946" t="str">
            <v>00111113P.2</v>
          </cell>
        </row>
        <row r="7947">
          <cell r="K7947" t="str">
            <v>00111113P.2</v>
          </cell>
        </row>
        <row r="7948">
          <cell r="K7948" t="str">
            <v>00111113P.2</v>
          </cell>
        </row>
        <row r="7949">
          <cell r="K7949" t="str">
            <v>00111113P.2</v>
          </cell>
        </row>
        <row r="7950">
          <cell r="K7950" t="str">
            <v>00111113P.2</v>
          </cell>
        </row>
        <row r="7951">
          <cell r="K7951" t="str">
            <v>00111113P.2</v>
          </cell>
        </row>
        <row r="7952">
          <cell r="K7952" t="str">
            <v>00111113P.2</v>
          </cell>
        </row>
        <row r="7953">
          <cell r="K7953" t="str">
            <v>00111113P.2</v>
          </cell>
        </row>
        <row r="7954">
          <cell r="K7954" t="str">
            <v>00111122P.2</v>
          </cell>
        </row>
        <row r="7955">
          <cell r="K7955" t="str">
            <v>00111122P.2</v>
          </cell>
        </row>
        <row r="7956">
          <cell r="K7956" t="str">
            <v>00111122P.2</v>
          </cell>
        </row>
        <row r="7957">
          <cell r="K7957" t="str">
            <v>00111122P.2</v>
          </cell>
        </row>
        <row r="7958">
          <cell r="K7958" t="str">
            <v>00111122P.2</v>
          </cell>
        </row>
        <row r="7959">
          <cell r="K7959" t="str">
            <v>00111123P.2</v>
          </cell>
        </row>
        <row r="7960">
          <cell r="K7960" t="str">
            <v>00111124P.2</v>
          </cell>
        </row>
        <row r="7961">
          <cell r="K7961" t="str">
            <v>00111124P.2</v>
          </cell>
        </row>
        <row r="7962">
          <cell r="K7962" t="str">
            <v>00111124P.2</v>
          </cell>
        </row>
        <row r="7963">
          <cell r="K7963" t="str">
            <v>00111124P.2</v>
          </cell>
        </row>
        <row r="7964">
          <cell r="K7964" t="str">
            <v>00111124P.2</v>
          </cell>
        </row>
        <row r="7965">
          <cell r="K7965" t="str">
            <v>00111124P.2</v>
          </cell>
        </row>
        <row r="7966">
          <cell r="K7966" t="str">
            <v>00111126P.2</v>
          </cell>
        </row>
        <row r="7967">
          <cell r="K7967" t="str">
            <v>00111128P.2</v>
          </cell>
        </row>
        <row r="7968">
          <cell r="K7968" t="str">
            <v>00111129P.2</v>
          </cell>
        </row>
        <row r="7969">
          <cell r="K7969" t="str">
            <v>00111129P.2</v>
          </cell>
        </row>
        <row r="7970">
          <cell r="K7970" t="str">
            <v>00111129P.2</v>
          </cell>
        </row>
        <row r="7971">
          <cell r="K7971" t="str">
            <v>00111129P.2</v>
          </cell>
        </row>
        <row r="7972">
          <cell r="K7972" t="str">
            <v>00111129P.2</v>
          </cell>
        </row>
        <row r="7973">
          <cell r="K7973" t="str">
            <v>00111131P.2</v>
          </cell>
        </row>
        <row r="7974">
          <cell r="K7974" t="str">
            <v>00111132P.2</v>
          </cell>
        </row>
        <row r="7975">
          <cell r="K7975" t="str">
            <v>00111132P.2</v>
          </cell>
        </row>
        <row r="7976">
          <cell r="K7976" t="str">
            <v>00111132P.2</v>
          </cell>
        </row>
        <row r="7977">
          <cell r="K7977" t="str">
            <v>00111132P.2</v>
          </cell>
        </row>
        <row r="7978">
          <cell r="K7978" t="str">
            <v>00111132P.2</v>
          </cell>
        </row>
        <row r="7979">
          <cell r="K7979" t="str">
            <v>00111132P.2</v>
          </cell>
        </row>
        <row r="7980">
          <cell r="K7980" t="str">
            <v>00111132P.2</v>
          </cell>
        </row>
        <row r="7981">
          <cell r="K7981" t="str">
            <v>00111135P.2</v>
          </cell>
        </row>
        <row r="7982">
          <cell r="K7982" t="str">
            <v>00111135P.2</v>
          </cell>
        </row>
        <row r="7983">
          <cell r="K7983" t="str">
            <v>00111135P.2</v>
          </cell>
        </row>
        <row r="7984">
          <cell r="K7984" t="str">
            <v>00111135P.2</v>
          </cell>
        </row>
        <row r="7985">
          <cell r="K7985" t="str">
            <v>00111135P.2</v>
          </cell>
        </row>
        <row r="7986">
          <cell r="K7986" t="str">
            <v>00111158P.2</v>
          </cell>
        </row>
        <row r="7987">
          <cell r="K7987" t="str">
            <v>00111145P.2</v>
          </cell>
        </row>
        <row r="7988">
          <cell r="K7988" t="str">
            <v>00111145P.2</v>
          </cell>
        </row>
        <row r="7989">
          <cell r="K7989" t="str">
            <v>00111145P.2</v>
          </cell>
        </row>
        <row r="7990">
          <cell r="K7990" t="str">
            <v>00111145P.2</v>
          </cell>
        </row>
        <row r="7991">
          <cell r="K7991" t="str">
            <v>00111145P.2</v>
          </cell>
        </row>
        <row r="7992">
          <cell r="K7992" t="str">
            <v>00111145P.2</v>
          </cell>
        </row>
        <row r="7993">
          <cell r="K7993" t="str">
            <v>00111145P.2</v>
          </cell>
        </row>
        <row r="7994">
          <cell r="K7994" t="str">
            <v>00111145P.2</v>
          </cell>
        </row>
        <row r="7995">
          <cell r="K7995" t="str">
            <v>00111145P.2</v>
          </cell>
        </row>
        <row r="7996">
          <cell r="K7996" t="str">
            <v>00111145P.2</v>
          </cell>
        </row>
        <row r="7997">
          <cell r="K7997" t="str">
            <v>00111145P.2</v>
          </cell>
        </row>
        <row r="7998">
          <cell r="K7998" t="str">
            <v>00111145P.2</v>
          </cell>
        </row>
        <row r="7999">
          <cell r="K7999" t="str">
            <v>00111145P.2</v>
          </cell>
        </row>
        <row r="8000">
          <cell r="K8000" t="str">
            <v>00111149P.2</v>
          </cell>
        </row>
        <row r="8001">
          <cell r="K8001" t="str">
            <v>00111150P.2</v>
          </cell>
        </row>
        <row r="8002">
          <cell r="K8002" t="str">
            <v>00111151P.2</v>
          </cell>
        </row>
        <row r="8003">
          <cell r="K8003" t="str">
            <v>00111153P.2</v>
          </cell>
        </row>
        <row r="8004">
          <cell r="K8004" t="str">
            <v>00111153P.2</v>
          </cell>
        </row>
        <row r="8005">
          <cell r="K8005" t="str">
            <v>00111153P.2</v>
          </cell>
        </row>
        <row r="8006">
          <cell r="K8006" t="str">
            <v>00111159P.2</v>
          </cell>
        </row>
        <row r="8007">
          <cell r="K8007" t="str">
            <v>00111159P.2</v>
          </cell>
        </row>
        <row r="8008">
          <cell r="K8008" t="str">
            <v>00111159P.2</v>
          </cell>
        </row>
        <row r="8009">
          <cell r="K8009" t="str">
            <v>00111159P.2</v>
          </cell>
        </row>
        <row r="8010">
          <cell r="K8010" t="str">
            <v>00111159P.2</v>
          </cell>
        </row>
        <row r="8011">
          <cell r="K8011" t="str">
            <v>00111159P.2</v>
          </cell>
        </row>
        <row r="8012">
          <cell r="K8012" t="str">
            <v>00111159P.2</v>
          </cell>
        </row>
        <row r="8013">
          <cell r="K8013" t="str">
            <v>00111159P.2</v>
          </cell>
        </row>
        <row r="8014">
          <cell r="K8014" t="str">
            <v>00111159P.2</v>
          </cell>
        </row>
        <row r="8015">
          <cell r="K8015" t="str">
            <v>00111143P.2</v>
          </cell>
        </row>
        <row r="8016">
          <cell r="K8016" t="str">
            <v>00111143P.2</v>
          </cell>
        </row>
        <row r="8017">
          <cell r="K8017" t="str">
            <v>00111143P.2</v>
          </cell>
        </row>
        <row r="8018">
          <cell r="K8018" t="str">
            <v>00111143P.2</v>
          </cell>
        </row>
        <row r="8019">
          <cell r="K8019" t="str">
            <v>00111143P.2</v>
          </cell>
        </row>
        <row r="8020">
          <cell r="K8020" t="str">
            <v>00111143P.2</v>
          </cell>
        </row>
        <row r="8021">
          <cell r="K8021" t="str">
            <v>00111143P.2</v>
          </cell>
        </row>
        <row r="8022">
          <cell r="K8022" t="str">
            <v>00111143P.2</v>
          </cell>
        </row>
        <row r="8023">
          <cell r="K8023" t="str">
            <v>00111143P.2</v>
          </cell>
        </row>
        <row r="8024">
          <cell r="K8024" t="str">
            <v>00111143P.2</v>
          </cell>
        </row>
        <row r="8025">
          <cell r="K8025" t="str">
            <v>00111143P.2</v>
          </cell>
        </row>
        <row r="8026">
          <cell r="K8026" t="str">
            <v>00111143P.2</v>
          </cell>
        </row>
        <row r="8027">
          <cell r="K8027" t="str">
            <v>00111110P.2</v>
          </cell>
        </row>
        <row r="8028">
          <cell r="K8028" t="str">
            <v>00111110P.2</v>
          </cell>
        </row>
        <row r="8029">
          <cell r="K8029" t="str">
            <v>00111113P.2</v>
          </cell>
        </row>
        <row r="8030">
          <cell r="K8030" t="str">
            <v>00111113P.2</v>
          </cell>
        </row>
        <row r="8031">
          <cell r="K8031" t="str">
            <v>00111113P.2</v>
          </cell>
        </row>
        <row r="8032">
          <cell r="K8032" t="str">
            <v>00111115P.2</v>
          </cell>
        </row>
        <row r="8033">
          <cell r="K8033" t="str">
            <v>00111115P.2</v>
          </cell>
        </row>
        <row r="8034">
          <cell r="K8034" t="str">
            <v>00111115P.2</v>
          </cell>
        </row>
        <row r="8035">
          <cell r="K8035" t="str">
            <v>00111121P.2</v>
          </cell>
        </row>
        <row r="8036">
          <cell r="K8036" t="str">
            <v>00111122P.2</v>
          </cell>
        </row>
        <row r="8037">
          <cell r="K8037" t="str">
            <v>00111123P.2</v>
          </cell>
        </row>
        <row r="8038">
          <cell r="K8038" t="str">
            <v>00111123P.2</v>
          </cell>
        </row>
        <row r="8039">
          <cell r="K8039" t="str">
            <v>00111124P.2</v>
          </cell>
        </row>
        <row r="8040">
          <cell r="K8040" t="str">
            <v>00111126P.2</v>
          </cell>
        </row>
        <row r="8041">
          <cell r="K8041" t="str">
            <v>00111126P.2</v>
          </cell>
        </row>
        <row r="8042">
          <cell r="K8042" t="str">
            <v>00111128P.2</v>
          </cell>
        </row>
        <row r="8043">
          <cell r="K8043" t="str">
            <v>00111128P.2</v>
          </cell>
        </row>
        <row r="8044">
          <cell r="K8044" t="str">
            <v>00111128P.2</v>
          </cell>
        </row>
        <row r="8045">
          <cell r="K8045" t="str">
            <v>00111129P.2</v>
          </cell>
        </row>
        <row r="8046">
          <cell r="K8046" t="str">
            <v>00111131P.2</v>
          </cell>
        </row>
        <row r="8047">
          <cell r="K8047" t="str">
            <v>00111132P.2</v>
          </cell>
        </row>
        <row r="8048">
          <cell r="K8048" t="str">
            <v>00111132P.2</v>
          </cell>
        </row>
        <row r="8049">
          <cell r="K8049" t="str">
            <v>00111132P.2</v>
          </cell>
        </row>
        <row r="8050">
          <cell r="K8050" t="str">
            <v>00111133P.2</v>
          </cell>
        </row>
        <row r="8051">
          <cell r="K8051" t="str">
            <v>00111133P.2</v>
          </cell>
        </row>
        <row r="8052">
          <cell r="K8052" t="str">
            <v>00111133P.2</v>
          </cell>
        </row>
        <row r="8053">
          <cell r="K8053" t="str">
            <v>00111134P.2</v>
          </cell>
        </row>
        <row r="8054">
          <cell r="K8054" t="str">
            <v>00111134P.2</v>
          </cell>
        </row>
        <row r="8055">
          <cell r="K8055" t="str">
            <v>00111134P.2</v>
          </cell>
        </row>
        <row r="8056">
          <cell r="K8056" t="str">
            <v>00111135P.2</v>
          </cell>
        </row>
        <row r="8057">
          <cell r="K8057" t="str">
            <v>00111135P.2</v>
          </cell>
        </row>
        <row r="8058">
          <cell r="K8058" t="str">
            <v>00111135P.2</v>
          </cell>
        </row>
        <row r="8059">
          <cell r="K8059" t="str">
            <v>00111135P.2</v>
          </cell>
        </row>
        <row r="8060">
          <cell r="K8060" t="str">
            <v>00111135P.2</v>
          </cell>
        </row>
        <row r="8061">
          <cell r="K8061" t="str">
            <v>00111136P.2</v>
          </cell>
        </row>
        <row r="8062">
          <cell r="K8062" t="str">
            <v>00111145P.2</v>
          </cell>
        </row>
        <row r="8063">
          <cell r="K8063" t="str">
            <v>00111145P.2</v>
          </cell>
        </row>
        <row r="8064">
          <cell r="K8064" t="str">
            <v>00111149P.2</v>
          </cell>
        </row>
        <row r="8065">
          <cell r="K8065" t="str">
            <v>00111151P.2</v>
          </cell>
        </row>
        <row r="8066">
          <cell r="K8066" t="str">
            <v>00111151P.2</v>
          </cell>
        </row>
        <row r="8067">
          <cell r="K8067" t="str">
            <v>00111153P.2</v>
          </cell>
        </row>
        <row r="8068">
          <cell r="K8068" t="str">
            <v>00111153P.2</v>
          </cell>
        </row>
        <row r="8069">
          <cell r="K8069" t="str">
            <v>00111158P.2</v>
          </cell>
        </row>
        <row r="8070">
          <cell r="K8070" t="str">
            <v>00111159P.2</v>
          </cell>
        </row>
        <row r="8071">
          <cell r="K8071" t="str">
            <v>00111159P.2</v>
          </cell>
        </row>
        <row r="8072">
          <cell r="K8072" t="str">
            <v>00111159P.2</v>
          </cell>
        </row>
        <row r="8073">
          <cell r="K8073" t="str">
            <v>00111159P.2</v>
          </cell>
        </row>
        <row r="8074">
          <cell r="K8074" t="str">
            <v>00111110P.2</v>
          </cell>
        </row>
        <row r="8075">
          <cell r="K8075" t="str">
            <v>00111110P.2</v>
          </cell>
        </row>
        <row r="8076">
          <cell r="K8076" t="str">
            <v>00111111P.2</v>
          </cell>
        </row>
        <row r="8077">
          <cell r="K8077" t="str">
            <v>00111111P.2</v>
          </cell>
        </row>
        <row r="8078">
          <cell r="K8078" t="str">
            <v>00111112P.2</v>
          </cell>
        </row>
        <row r="8079">
          <cell r="K8079" t="str">
            <v>00111112P.2</v>
          </cell>
        </row>
        <row r="8080">
          <cell r="K8080" t="str">
            <v>00111113P.2</v>
          </cell>
        </row>
        <row r="8081">
          <cell r="K8081" t="str">
            <v>00111113P.2</v>
          </cell>
        </row>
        <row r="8082">
          <cell r="K8082" t="str">
            <v>00111113P.2</v>
          </cell>
        </row>
        <row r="8083">
          <cell r="K8083" t="str">
            <v>00111114P.2</v>
          </cell>
        </row>
        <row r="8084">
          <cell r="K8084" t="str">
            <v>00111114P.2</v>
          </cell>
        </row>
        <row r="8085">
          <cell r="K8085" t="str">
            <v>00111114P.2</v>
          </cell>
        </row>
        <row r="8086">
          <cell r="K8086" t="str">
            <v>00111117P.2</v>
          </cell>
        </row>
        <row r="8087">
          <cell r="K8087" t="str">
            <v>00111117P.2</v>
          </cell>
        </row>
        <row r="8088">
          <cell r="K8088" t="str">
            <v>00111117P.2</v>
          </cell>
        </row>
        <row r="8089">
          <cell r="K8089" t="str">
            <v>00111118P.2</v>
          </cell>
        </row>
        <row r="8090">
          <cell r="K8090" t="str">
            <v>00111120P.2</v>
          </cell>
        </row>
        <row r="8091">
          <cell r="K8091" t="str">
            <v>00111120P.2</v>
          </cell>
        </row>
        <row r="8092">
          <cell r="K8092" t="str">
            <v>00111120P.2</v>
          </cell>
        </row>
        <row r="8093">
          <cell r="K8093" t="str">
            <v>00111121P.2</v>
          </cell>
        </row>
        <row r="8094">
          <cell r="K8094" t="str">
            <v>00111121P.2</v>
          </cell>
        </row>
        <row r="8095">
          <cell r="K8095" t="str">
            <v>00111121P.2</v>
          </cell>
        </row>
        <row r="8096">
          <cell r="K8096" t="str">
            <v>00111122P.2</v>
          </cell>
        </row>
        <row r="8097">
          <cell r="K8097" t="str">
            <v>00111122P.2</v>
          </cell>
        </row>
        <row r="8098">
          <cell r="K8098" t="str">
            <v>00111122P.2</v>
          </cell>
        </row>
        <row r="8099">
          <cell r="K8099" t="str">
            <v>00111122P.2</v>
          </cell>
        </row>
        <row r="8100">
          <cell r="K8100" t="str">
            <v>00111123P.2</v>
          </cell>
        </row>
        <row r="8101">
          <cell r="K8101" t="str">
            <v>00111124P.2</v>
          </cell>
        </row>
        <row r="8102">
          <cell r="K8102" t="str">
            <v>00111124P.2</v>
          </cell>
        </row>
        <row r="8103">
          <cell r="K8103" t="str">
            <v>00111124P.2</v>
          </cell>
        </row>
        <row r="8104">
          <cell r="K8104" t="str">
            <v>00111124P.2</v>
          </cell>
        </row>
        <row r="8105">
          <cell r="K8105" t="str">
            <v>00111126P.2</v>
          </cell>
        </row>
        <row r="8106">
          <cell r="K8106" t="str">
            <v>00111126P.2</v>
          </cell>
        </row>
        <row r="8107">
          <cell r="K8107" t="str">
            <v>00111126P.2</v>
          </cell>
        </row>
        <row r="8108">
          <cell r="K8108" t="str">
            <v>00111127P.2</v>
          </cell>
        </row>
        <row r="8109">
          <cell r="K8109" t="str">
            <v>00111128P.2</v>
          </cell>
        </row>
        <row r="8110">
          <cell r="K8110" t="str">
            <v>00111128P.2</v>
          </cell>
        </row>
        <row r="8111">
          <cell r="K8111" t="str">
            <v>00111128P.2</v>
          </cell>
        </row>
        <row r="8112">
          <cell r="K8112" t="str">
            <v>00111129P.2</v>
          </cell>
        </row>
        <row r="8113">
          <cell r="K8113" t="str">
            <v>00111129P.2</v>
          </cell>
        </row>
        <row r="8114">
          <cell r="K8114" t="str">
            <v>00111129P.2</v>
          </cell>
        </row>
        <row r="8115">
          <cell r="K8115" t="str">
            <v>00111129P.2</v>
          </cell>
        </row>
        <row r="8116">
          <cell r="K8116" t="str">
            <v>00111131P.2</v>
          </cell>
        </row>
        <row r="8117">
          <cell r="K8117" t="str">
            <v>00111131P.2</v>
          </cell>
        </row>
        <row r="8118">
          <cell r="K8118" t="str">
            <v>00111132P.2</v>
          </cell>
        </row>
        <row r="8119">
          <cell r="K8119" t="str">
            <v>00111132P.2</v>
          </cell>
        </row>
        <row r="8120">
          <cell r="K8120" t="str">
            <v>00111132P.2</v>
          </cell>
        </row>
        <row r="8121">
          <cell r="K8121" t="str">
            <v>00111132P.2</v>
          </cell>
        </row>
        <row r="8122">
          <cell r="K8122" t="str">
            <v>00111133P.2</v>
          </cell>
        </row>
        <row r="8123">
          <cell r="K8123" t="str">
            <v>00111133P.2</v>
          </cell>
        </row>
        <row r="8124">
          <cell r="K8124" t="str">
            <v>00111133P.2</v>
          </cell>
        </row>
        <row r="8125">
          <cell r="K8125" t="str">
            <v>00111135P.2</v>
          </cell>
        </row>
        <row r="8126">
          <cell r="K8126" t="str">
            <v>00111136P.2</v>
          </cell>
        </row>
        <row r="8127">
          <cell r="K8127" t="str">
            <v>00111158P.2</v>
          </cell>
        </row>
        <row r="8128">
          <cell r="K8128" t="str">
            <v>00111158P.2</v>
          </cell>
        </row>
        <row r="8129">
          <cell r="K8129" t="str">
            <v>00111145P.2</v>
          </cell>
        </row>
        <row r="8130">
          <cell r="K8130" t="str">
            <v>00111145P.2</v>
          </cell>
        </row>
        <row r="8131">
          <cell r="K8131" t="str">
            <v>00111145P.2</v>
          </cell>
        </row>
        <row r="8132">
          <cell r="K8132" t="str">
            <v>00111145P.2</v>
          </cell>
        </row>
        <row r="8133">
          <cell r="K8133" t="str">
            <v>00111149P.2</v>
          </cell>
        </row>
        <row r="8134">
          <cell r="K8134" t="str">
            <v>00111150P.2</v>
          </cell>
        </row>
        <row r="8135">
          <cell r="K8135" t="str">
            <v>00111153P.2</v>
          </cell>
        </row>
        <row r="8136">
          <cell r="K8136" t="str">
            <v>00111153P.2</v>
          </cell>
        </row>
        <row r="8137">
          <cell r="K8137" t="str">
            <v>00111153P.2</v>
          </cell>
        </row>
        <row r="8138">
          <cell r="K8138" t="str">
            <v>00111158P.2</v>
          </cell>
        </row>
        <row r="8139">
          <cell r="K8139" t="str">
            <v>00111158P.2</v>
          </cell>
        </row>
        <row r="8140">
          <cell r="K8140" t="str">
            <v>00111158P.2</v>
          </cell>
        </row>
        <row r="8141">
          <cell r="K8141" t="str">
            <v>00111159P.2</v>
          </cell>
        </row>
        <row r="8142">
          <cell r="K8142" t="str">
            <v>00111159P.2</v>
          </cell>
        </row>
        <row r="8143">
          <cell r="K8143" t="str">
            <v>00111159P.2</v>
          </cell>
        </row>
        <row r="8144">
          <cell r="K8144" t="str">
            <v>00111110P.2</v>
          </cell>
        </row>
        <row r="8145">
          <cell r="K8145" t="str">
            <v>00111110P.2</v>
          </cell>
        </row>
        <row r="8146">
          <cell r="K8146" t="str">
            <v>00111110P.2</v>
          </cell>
        </row>
        <row r="8147">
          <cell r="K8147" t="str">
            <v>00111110P.2</v>
          </cell>
        </row>
        <row r="8148">
          <cell r="K8148" t="str">
            <v>00111110P.2</v>
          </cell>
        </row>
        <row r="8149">
          <cell r="K8149" t="str">
            <v>00111110P.2</v>
          </cell>
        </row>
        <row r="8150">
          <cell r="K8150" t="str">
            <v>00111110P.2</v>
          </cell>
        </row>
        <row r="8151">
          <cell r="K8151" t="str">
            <v>00111110P.2</v>
          </cell>
        </row>
        <row r="8152">
          <cell r="K8152" t="str">
            <v>00111112P.2</v>
          </cell>
        </row>
        <row r="8153">
          <cell r="K8153" t="str">
            <v>00111112P.2</v>
          </cell>
        </row>
        <row r="8154">
          <cell r="K8154" t="str">
            <v>00111112P.2</v>
          </cell>
        </row>
        <row r="8155">
          <cell r="K8155" t="str">
            <v>00111112P.2</v>
          </cell>
        </row>
        <row r="8156">
          <cell r="K8156" t="str">
            <v>00111112P.2</v>
          </cell>
        </row>
        <row r="8157">
          <cell r="K8157" t="str">
            <v>00111112P.2</v>
          </cell>
        </row>
        <row r="8158">
          <cell r="K8158" t="str">
            <v>00111112P.2</v>
          </cell>
        </row>
        <row r="8159">
          <cell r="K8159" t="str">
            <v>00111112P.2</v>
          </cell>
        </row>
        <row r="8160">
          <cell r="K8160" t="str">
            <v>00111112P.2</v>
          </cell>
        </row>
        <row r="8161">
          <cell r="K8161" t="str">
            <v>00111112P.2</v>
          </cell>
        </row>
        <row r="8162">
          <cell r="K8162" t="str">
            <v>00111112P.2</v>
          </cell>
        </row>
        <row r="8163">
          <cell r="K8163" t="str">
            <v>00111112P.2</v>
          </cell>
        </row>
        <row r="8164">
          <cell r="K8164" t="str">
            <v>00111112P.2</v>
          </cell>
        </row>
        <row r="8165">
          <cell r="K8165" t="str">
            <v>00111112P.2</v>
          </cell>
        </row>
        <row r="8166">
          <cell r="K8166" t="str">
            <v>00111112P.2</v>
          </cell>
        </row>
        <row r="8167">
          <cell r="K8167" t="str">
            <v>00111112P.2</v>
          </cell>
        </row>
        <row r="8168">
          <cell r="K8168" t="str">
            <v>00111113P.2</v>
          </cell>
        </row>
        <row r="8169">
          <cell r="K8169" t="str">
            <v>00111113P.2</v>
          </cell>
        </row>
        <row r="8170">
          <cell r="K8170" t="str">
            <v>00111113P.2</v>
          </cell>
        </row>
        <row r="8171">
          <cell r="K8171" t="str">
            <v>00111113P.2</v>
          </cell>
        </row>
        <row r="8172">
          <cell r="K8172" t="str">
            <v>00111113P.2</v>
          </cell>
        </row>
        <row r="8173">
          <cell r="K8173" t="str">
            <v>00111113P.2</v>
          </cell>
        </row>
        <row r="8174">
          <cell r="K8174" t="str">
            <v>00111113P.2</v>
          </cell>
        </row>
        <row r="8175">
          <cell r="K8175" t="str">
            <v>00111113P.2</v>
          </cell>
        </row>
        <row r="8176">
          <cell r="K8176" t="str">
            <v>00111113P.2</v>
          </cell>
        </row>
        <row r="8177">
          <cell r="K8177" t="str">
            <v>00111113P.2</v>
          </cell>
        </row>
        <row r="8178">
          <cell r="K8178" t="str">
            <v>00111113P.2</v>
          </cell>
        </row>
        <row r="8179">
          <cell r="K8179" t="str">
            <v>00111113P.2</v>
          </cell>
        </row>
        <row r="8180">
          <cell r="K8180" t="str">
            <v>00111113P.2</v>
          </cell>
        </row>
        <row r="8181">
          <cell r="K8181" t="str">
            <v>00111113P.2</v>
          </cell>
        </row>
        <row r="8182">
          <cell r="K8182" t="str">
            <v>00111113P.2</v>
          </cell>
        </row>
        <row r="8183">
          <cell r="K8183" t="str">
            <v>00111113P.2</v>
          </cell>
        </row>
        <row r="8184">
          <cell r="K8184" t="str">
            <v>00111113P.2</v>
          </cell>
        </row>
        <row r="8185">
          <cell r="K8185" t="str">
            <v>00111117P.2</v>
          </cell>
        </row>
        <row r="8186">
          <cell r="K8186" t="str">
            <v>00111117P.2</v>
          </cell>
        </row>
        <row r="8187">
          <cell r="K8187" t="str">
            <v>00111117P.2</v>
          </cell>
        </row>
        <row r="8188">
          <cell r="K8188" t="str">
            <v>00111117P.2</v>
          </cell>
        </row>
        <row r="8189">
          <cell r="K8189" t="str">
            <v>00111117P.2</v>
          </cell>
        </row>
        <row r="8190">
          <cell r="K8190" t="str">
            <v>00111117P.2</v>
          </cell>
        </row>
        <row r="8191">
          <cell r="K8191" t="str">
            <v>00111117P.2</v>
          </cell>
        </row>
        <row r="8192">
          <cell r="K8192" t="str">
            <v>00111117P.2</v>
          </cell>
        </row>
        <row r="8193">
          <cell r="K8193" t="str">
            <v>00111117P.2</v>
          </cell>
        </row>
        <row r="8194">
          <cell r="K8194" t="str">
            <v>00111117P.2</v>
          </cell>
        </row>
        <row r="8195">
          <cell r="K8195" t="str">
            <v>00111118P.2</v>
          </cell>
        </row>
        <row r="8196">
          <cell r="K8196" t="str">
            <v>00111118P.2</v>
          </cell>
        </row>
        <row r="8197">
          <cell r="K8197" t="str">
            <v>00111120P.2</v>
          </cell>
        </row>
        <row r="8198">
          <cell r="K8198" t="str">
            <v>00111120P.2</v>
          </cell>
        </row>
        <row r="8199">
          <cell r="K8199" t="str">
            <v>00111120P.2</v>
          </cell>
        </row>
        <row r="8200">
          <cell r="K8200" t="str">
            <v>00111120P.2</v>
          </cell>
        </row>
        <row r="8201">
          <cell r="K8201" t="str">
            <v>00111120P.2</v>
          </cell>
        </row>
        <row r="8202">
          <cell r="K8202" t="str">
            <v>00111120P.2</v>
          </cell>
        </row>
        <row r="8203">
          <cell r="K8203" t="str">
            <v>00111120P.2</v>
          </cell>
        </row>
        <row r="8204">
          <cell r="K8204" t="str">
            <v>00111120P.2</v>
          </cell>
        </row>
        <row r="8205">
          <cell r="K8205" t="str">
            <v>00111122P.2</v>
          </cell>
        </row>
        <row r="8206">
          <cell r="K8206" t="str">
            <v>00111122P.2</v>
          </cell>
        </row>
        <row r="8207">
          <cell r="K8207" t="str">
            <v>00111122P.2</v>
          </cell>
        </row>
        <row r="8208">
          <cell r="K8208" t="str">
            <v>00111122P.2</v>
          </cell>
        </row>
        <row r="8209">
          <cell r="K8209" t="str">
            <v>00111122P.2</v>
          </cell>
        </row>
        <row r="8210">
          <cell r="K8210" t="str">
            <v>00111122P.2</v>
          </cell>
        </row>
        <row r="8211">
          <cell r="K8211" t="str">
            <v>00111122P.2</v>
          </cell>
        </row>
        <row r="8212">
          <cell r="K8212" t="str">
            <v>00111122P.2</v>
          </cell>
        </row>
        <row r="8213">
          <cell r="K8213" t="str">
            <v>00111122P.2</v>
          </cell>
        </row>
        <row r="8214">
          <cell r="K8214" t="str">
            <v>00111122P.2</v>
          </cell>
        </row>
        <row r="8215">
          <cell r="K8215" t="str">
            <v>00111124P.2</v>
          </cell>
        </row>
        <row r="8216">
          <cell r="K8216" t="str">
            <v>00111124P.2</v>
          </cell>
        </row>
        <row r="8217">
          <cell r="K8217" t="str">
            <v>00111126P.2</v>
          </cell>
        </row>
        <row r="8218">
          <cell r="K8218" t="str">
            <v>00111126P.2</v>
          </cell>
        </row>
        <row r="8219">
          <cell r="K8219" t="str">
            <v>00111126P.2</v>
          </cell>
        </row>
        <row r="8220">
          <cell r="K8220" t="str">
            <v>00111126P.2</v>
          </cell>
        </row>
        <row r="8221">
          <cell r="K8221" t="str">
            <v>00111126P.2</v>
          </cell>
        </row>
        <row r="8222">
          <cell r="K8222" t="str">
            <v>00111126P.2</v>
          </cell>
        </row>
        <row r="8223">
          <cell r="K8223" t="str">
            <v>00111126P.2</v>
          </cell>
        </row>
        <row r="8224">
          <cell r="K8224" t="str">
            <v>00111126P.2</v>
          </cell>
        </row>
        <row r="8225">
          <cell r="K8225" t="str">
            <v>00111126P.2</v>
          </cell>
        </row>
        <row r="8226">
          <cell r="K8226" t="str">
            <v>00111126P.2</v>
          </cell>
        </row>
        <row r="8227">
          <cell r="K8227" t="str">
            <v>00111126P.2</v>
          </cell>
        </row>
        <row r="8228">
          <cell r="K8228" t="str">
            <v>00111128P.2</v>
          </cell>
        </row>
        <row r="8229">
          <cell r="K8229" t="str">
            <v>00111128P.2</v>
          </cell>
        </row>
        <row r="8230">
          <cell r="K8230" t="str">
            <v>00111128P.2</v>
          </cell>
        </row>
        <row r="8231">
          <cell r="K8231" t="str">
            <v>00111128P.2</v>
          </cell>
        </row>
        <row r="8232">
          <cell r="K8232" t="str">
            <v>00111128P.2</v>
          </cell>
        </row>
        <row r="8233">
          <cell r="K8233" t="str">
            <v>00111128P.2</v>
          </cell>
        </row>
        <row r="8234">
          <cell r="K8234" t="str">
            <v>00111128P.2</v>
          </cell>
        </row>
        <row r="8235">
          <cell r="K8235" t="str">
            <v>00111128P.2</v>
          </cell>
        </row>
        <row r="8236">
          <cell r="K8236" t="str">
            <v>00111128P.2</v>
          </cell>
        </row>
        <row r="8237">
          <cell r="K8237" t="str">
            <v>00111128P.2</v>
          </cell>
        </row>
        <row r="8238">
          <cell r="K8238" t="str">
            <v>00111130P.2</v>
          </cell>
        </row>
        <row r="8239">
          <cell r="K8239" t="str">
            <v>00111130P.2</v>
          </cell>
        </row>
        <row r="8240">
          <cell r="K8240" t="str">
            <v>00111130P.2</v>
          </cell>
        </row>
        <row r="8241">
          <cell r="K8241" t="str">
            <v>00111130P.2</v>
          </cell>
        </row>
        <row r="8242">
          <cell r="K8242" t="str">
            <v>00111130P.2</v>
          </cell>
        </row>
        <row r="8243">
          <cell r="K8243" t="str">
            <v>00111130P.2</v>
          </cell>
        </row>
        <row r="8244">
          <cell r="K8244" t="str">
            <v>00111131P.2</v>
          </cell>
        </row>
        <row r="8245">
          <cell r="K8245" t="str">
            <v>00111131P.2</v>
          </cell>
        </row>
        <row r="8246">
          <cell r="K8246" t="str">
            <v>00111131P.2</v>
          </cell>
        </row>
        <row r="8247">
          <cell r="K8247" t="str">
            <v>00111131P.2</v>
          </cell>
        </row>
        <row r="8248">
          <cell r="K8248" t="str">
            <v>00111131P.2</v>
          </cell>
        </row>
        <row r="8249">
          <cell r="K8249" t="str">
            <v>00111131P.2</v>
          </cell>
        </row>
        <row r="8250">
          <cell r="K8250" t="str">
            <v>00111131P.2</v>
          </cell>
        </row>
        <row r="8251">
          <cell r="K8251" t="str">
            <v>00111131P.2</v>
          </cell>
        </row>
        <row r="8252">
          <cell r="K8252" t="str">
            <v>00111131P.2</v>
          </cell>
        </row>
        <row r="8253">
          <cell r="K8253" t="str">
            <v>00111134P.2</v>
          </cell>
        </row>
        <row r="8254">
          <cell r="K8254" t="str">
            <v>00111134P.2</v>
          </cell>
        </row>
        <row r="8255">
          <cell r="K8255" t="str">
            <v>00111134P.2</v>
          </cell>
        </row>
        <row r="8256">
          <cell r="K8256" t="str">
            <v>00111155P.2</v>
          </cell>
        </row>
        <row r="8257">
          <cell r="K8257" t="str">
            <v>00111155P.2</v>
          </cell>
        </row>
        <row r="8258">
          <cell r="K8258" t="str">
            <v>00111155P.2</v>
          </cell>
        </row>
        <row r="8259">
          <cell r="K8259" t="str">
            <v>00111134P.2</v>
          </cell>
        </row>
        <row r="8260">
          <cell r="K8260" t="str">
            <v>00111134P.2</v>
          </cell>
        </row>
        <row r="8261">
          <cell r="K8261" t="str">
            <v>00111134P.2</v>
          </cell>
        </row>
        <row r="8262">
          <cell r="K8262" t="str">
            <v>00111134P.2</v>
          </cell>
        </row>
        <row r="8263">
          <cell r="K8263" t="str">
            <v>00111134P.2</v>
          </cell>
        </row>
        <row r="8264">
          <cell r="K8264" t="str">
            <v>00111136P.2</v>
          </cell>
        </row>
        <row r="8265">
          <cell r="K8265" t="str">
            <v>00111136P.2</v>
          </cell>
        </row>
        <row r="8266">
          <cell r="K8266" t="str">
            <v>00111136P.2</v>
          </cell>
        </row>
        <row r="8267">
          <cell r="K8267" t="str">
            <v>00111136P.2</v>
          </cell>
        </row>
        <row r="8268">
          <cell r="K8268" t="str">
            <v>00111136P.2</v>
          </cell>
        </row>
        <row r="8269">
          <cell r="K8269" t="str">
            <v>00111136P.2</v>
          </cell>
        </row>
        <row r="8270">
          <cell r="K8270" t="str">
            <v>00111136P.2</v>
          </cell>
        </row>
        <row r="8271">
          <cell r="K8271" t="str">
            <v>00111136P.2</v>
          </cell>
        </row>
        <row r="8272">
          <cell r="K8272" t="str">
            <v>00111136P.2</v>
          </cell>
        </row>
        <row r="8273">
          <cell r="K8273" t="str">
            <v>00111136P.2</v>
          </cell>
        </row>
        <row r="8274">
          <cell r="K8274" t="str">
            <v>00111136P.2</v>
          </cell>
        </row>
        <row r="8275">
          <cell r="K8275" t="str">
            <v>00111136P.2</v>
          </cell>
        </row>
        <row r="8276">
          <cell r="K8276" t="str">
            <v>00111136P.2</v>
          </cell>
        </row>
        <row r="8277">
          <cell r="K8277" t="str">
            <v>00111158P.2</v>
          </cell>
        </row>
        <row r="8278">
          <cell r="K8278" t="str">
            <v>00111158P.2</v>
          </cell>
        </row>
        <row r="8279">
          <cell r="K8279" t="str">
            <v>00111158P.2</v>
          </cell>
        </row>
        <row r="8280">
          <cell r="K8280" t="str">
            <v>00111158P.2</v>
          </cell>
        </row>
        <row r="8281">
          <cell r="K8281" t="str">
            <v>00111158P.2</v>
          </cell>
        </row>
        <row r="8282">
          <cell r="K8282" t="str">
            <v>00111153P.2</v>
          </cell>
        </row>
        <row r="8283">
          <cell r="K8283" t="str">
            <v>00111153P.2</v>
          </cell>
        </row>
        <row r="8284">
          <cell r="K8284" t="str">
            <v>00111153P.2</v>
          </cell>
        </row>
        <row r="8285">
          <cell r="K8285" t="str">
            <v>00111153P.2</v>
          </cell>
        </row>
        <row r="8286">
          <cell r="K8286" t="str">
            <v>00111159P.2</v>
          </cell>
        </row>
        <row r="8287">
          <cell r="K8287" t="str">
            <v>00111159P.2</v>
          </cell>
        </row>
        <row r="8288">
          <cell r="K8288" t="str">
            <v>00111159P.2</v>
          </cell>
        </row>
        <row r="8289">
          <cell r="K8289" t="str">
            <v>00111159P.2</v>
          </cell>
        </row>
        <row r="8290">
          <cell r="K8290" t="str">
            <v>00111159P.2</v>
          </cell>
        </row>
        <row r="8291">
          <cell r="K8291" t="str">
            <v>00111159P.2</v>
          </cell>
        </row>
        <row r="8292">
          <cell r="K8292" t="str">
            <v>00111159P.2</v>
          </cell>
        </row>
        <row r="8293">
          <cell r="K8293" t="str">
            <v>00111159P.2</v>
          </cell>
        </row>
        <row r="8294">
          <cell r="K8294" t="str">
            <v>00111159P.2</v>
          </cell>
        </row>
        <row r="8295">
          <cell r="K8295" t="str">
            <v>00111159P.2</v>
          </cell>
        </row>
        <row r="8296">
          <cell r="K8296" t="str">
            <v>00111159P.2</v>
          </cell>
        </row>
        <row r="8297">
          <cell r="K8297" t="str">
            <v>00111158P.2</v>
          </cell>
        </row>
        <row r="8298">
          <cell r="K8298" t="str">
            <v>00111158P.2</v>
          </cell>
        </row>
        <row r="8299">
          <cell r="K8299" t="str">
            <v>00111158P.2</v>
          </cell>
        </row>
        <row r="8300">
          <cell r="K8300" t="str">
            <v>00111140P.2</v>
          </cell>
        </row>
        <row r="8301">
          <cell r="K8301" t="str">
            <v>00111140P.2</v>
          </cell>
        </row>
        <row r="8302">
          <cell r="K8302" t="str">
            <v>00111140P.2</v>
          </cell>
        </row>
        <row r="8303">
          <cell r="K8303" t="str">
            <v>00111140P.2</v>
          </cell>
        </row>
        <row r="8304">
          <cell r="K8304" t="str">
            <v>00111140P.2</v>
          </cell>
        </row>
        <row r="8305">
          <cell r="K8305" t="str">
            <v>00111140P.2</v>
          </cell>
        </row>
        <row r="8306">
          <cell r="K8306" t="str">
            <v>00111145P.2</v>
          </cell>
        </row>
        <row r="8307">
          <cell r="K8307" t="str">
            <v>00111145P.2</v>
          </cell>
        </row>
        <row r="8308">
          <cell r="K8308" t="str">
            <v>00111145P.2</v>
          </cell>
        </row>
        <row r="8309">
          <cell r="K8309" t="str">
            <v>00111145P.2</v>
          </cell>
        </row>
        <row r="8310">
          <cell r="K8310" t="str">
            <v>00111145P.2</v>
          </cell>
        </row>
        <row r="8311">
          <cell r="K8311" t="str">
            <v>00111145P.2</v>
          </cell>
        </row>
        <row r="8312">
          <cell r="K8312" t="str">
            <v>00111145P.2</v>
          </cell>
        </row>
        <row r="8313">
          <cell r="K8313" t="str">
            <v>00111145P.2</v>
          </cell>
        </row>
        <row r="8314">
          <cell r="K8314" t="str">
            <v>00111145P.2</v>
          </cell>
        </row>
        <row r="8315">
          <cell r="K8315" t="str">
            <v>00111145P.2</v>
          </cell>
        </row>
        <row r="8316">
          <cell r="K8316" t="str">
            <v>00111145P.2</v>
          </cell>
        </row>
        <row r="8317">
          <cell r="K8317" t="str">
            <v>00111145P.2</v>
          </cell>
        </row>
        <row r="8318">
          <cell r="K8318" t="str">
            <v>00111145P.2</v>
          </cell>
        </row>
        <row r="8319">
          <cell r="K8319" t="str">
            <v>00111145P.2</v>
          </cell>
        </row>
        <row r="8320">
          <cell r="K8320" t="str">
            <v>00111145P.2</v>
          </cell>
        </row>
        <row r="8321">
          <cell r="K8321" t="str">
            <v>00111145P.2</v>
          </cell>
        </row>
        <row r="8322">
          <cell r="K8322" t="str">
            <v>00111149P.2</v>
          </cell>
        </row>
        <row r="8323">
          <cell r="K8323" t="str">
            <v>00111149P.2</v>
          </cell>
        </row>
        <row r="8324">
          <cell r="K8324" t="str">
            <v>00111149P.2</v>
          </cell>
        </row>
        <row r="8325">
          <cell r="K8325" t="str">
            <v>00111149P.2</v>
          </cell>
        </row>
        <row r="8326">
          <cell r="K8326" t="str">
            <v>00111149P.2</v>
          </cell>
        </row>
        <row r="8327">
          <cell r="K8327" t="str">
            <v>00111149P.2</v>
          </cell>
        </row>
        <row r="8328">
          <cell r="K8328" t="str">
            <v>00111149P.2</v>
          </cell>
        </row>
        <row r="8329">
          <cell r="K8329" t="str">
            <v>00111149P.2</v>
          </cell>
        </row>
        <row r="8330">
          <cell r="K8330" t="str">
            <v>00111149P.2</v>
          </cell>
        </row>
        <row r="8331">
          <cell r="K8331" t="str">
            <v>00111149P.2</v>
          </cell>
        </row>
        <row r="8332">
          <cell r="K8332" t="str">
            <v>00111143P.2</v>
          </cell>
        </row>
        <row r="8333">
          <cell r="K8333" t="str">
            <v>00111143P.2</v>
          </cell>
        </row>
        <row r="8334">
          <cell r="K8334" t="str">
            <v>00111143P.2</v>
          </cell>
        </row>
        <row r="8335">
          <cell r="K8335" t="str">
            <v>00111143P.2</v>
          </cell>
        </row>
        <row r="8336">
          <cell r="K8336" t="str">
            <v>00111143P.2</v>
          </cell>
        </row>
        <row r="8337">
          <cell r="K8337" t="str">
            <v>00111150P.2</v>
          </cell>
        </row>
        <row r="8338">
          <cell r="K8338" t="str">
            <v>00111150P.2</v>
          </cell>
        </row>
        <row r="8339">
          <cell r="K8339" t="str">
            <v>00111150P.2</v>
          </cell>
        </row>
        <row r="8340">
          <cell r="K8340" t="str">
            <v>00111150P.2</v>
          </cell>
        </row>
        <row r="8341">
          <cell r="K8341" t="str">
            <v>00111150P.2</v>
          </cell>
        </row>
        <row r="8342">
          <cell r="K8342" t="str">
            <v>00111150P.2</v>
          </cell>
        </row>
        <row r="8343">
          <cell r="K8343" t="str">
            <v>00111148P.2</v>
          </cell>
        </row>
        <row r="8344">
          <cell r="K8344" t="str">
            <v>00111148P.2</v>
          </cell>
        </row>
        <row r="8345">
          <cell r="K8345" t="str">
            <v>00111148P.2</v>
          </cell>
        </row>
        <row r="8346">
          <cell r="K8346" t="str">
            <v>00111148P.2</v>
          </cell>
        </row>
        <row r="8347">
          <cell r="K8347" t="str">
            <v>00111148P.2</v>
          </cell>
        </row>
        <row r="8348">
          <cell r="K8348" t="str">
            <v>00111148P.2</v>
          </cell>
        </row>
        <row r="8349">
          <cell r="K8349" t="str">
            <v>00111148P.2</v>
          </cell>
        </row>
        <row r="8350">
          <cell r="K8350" t="str">
            <v>00111157P.2</v>
          </cell>
        </row>
        <row r="8351">
          <cell r="K8351" t="str">
            <v>00111157P.2</v>
          </cell>
        </row>
        <row r="8352">
          <cell r="K8352" t="str">
            <v>00111157P.2</v>
          </cell>
        </row>
        <row r="8353">
          <cell r="K8353" t="str">
            <v>00111157P.2</v>
          </cell>
        </row>
        <row r="8354">
          <cell r="K8354" t="str">
            <v>00111157P.2</v>
          </cell>
        </row>
        <row r="8355">
          <cell r="K8355" t="str">
            <v>00111157P.2</v>
          </cell>
        </row>
        <row r="8356">
          <cell r="K8356" t="str">
            <v>00111157P.2</v>
          </cell>
        </row>
        <row r="8357">
          <cell r="K8357" t="str">
            <v>00111109P.2</v>
          </cell>
        </row>
        <row r="8358">
          <cell r="K8358" t="str">
            <v>00111109P.2</v>
          </cell>
        </row>
        <row r="8359">
          <cell r="K8359" t="str">
            <v>00111109P.2</v>
          </cell>
        </row>
        <row r="8360">
          <cell r="K8360" t="str">
            <v>00111109P.2</v>
          </cell>
        </row>
        <row r="8361">
          <cell r="K8361" t="str">
            <v>00111109P.2</v>
          </cell>
        </row>
        <row r="8362">
          <cell r="K8362" t="str">
            <v>00111109P.2</v>
          </cell>
        </row>
        <row r="8363">
          <cell r="K8363" t="str">
            <v>00111109P.2</v>
          </cell>
        </row>
        <row r="8364">
          <cell r="K8364" t="str">
            <v>00111109P.2</v>
          </cell>
        </row>
        <row r="8365">
          <cell r="K8365" t="str">
            <v>00111109P.2</v>
          </cell>
        </row>
        <row r="8366">
          <cell r="K8366" t="str">
            <v>00111109P.2</v>
          </cell>
        </row>
        <row r="8367">
          <cell r="K8367" t="str">
            <v>00111109P.2</v>
          </cell>
        </row>
        <row r="8368">
          <cell r="K8368" t="str">
            <v>00111109P.2</v>
          </cell>
        </row>
        <row r="8369">
          <cell r="K8369" t="str">
            <v>00111109P.2</v>
          </cell>
        </row>
        <row r="8370">
          <cell r="K8370" t="str">
            <v>00111109P.2</v>
          </cell>
        </row>
        <row r="8371">
          <cell r="K8371" t="str">
            <v>00111109P.2</v>
          </cell>
        </row>
        <row r="8372">
          <cell r="K8372" t="str">
            <v>00111109P.2</v>
          </cell>
        </row>
        <row r="8373">
          <cell r="K8373" t="str">
            <v>00111106P.2</v>
          </cell>
        </row>
        <row r="8374">
          <cell r="K8374" t="str">
            <v>00111106P.2</v>
          </cell>
        </row>
        <row r="8375">
          <cell r="K8375" t="str">
            <v>00111106P.2</v>
          </cell>
        </row>
        <row r="8376">
          <cell r="K8376" t="str">
            <v>00111106P.2</v>
          </cell>
        </row>
        <row r="8377">
          <cell r="K8377" t="str">
            <v>00111106P.2</v>
          </cell>
        </row>
        <row r="8378">
          <cell r="K8378" t="str">
            <v>00111106P.2</v>
          </cell>
        </row>
        <row r="8379">
          <cell r="K8379" t="str">
            <v>00111106P.2</v>
          </cell>
        </row>
        <row r="8380">
          <cell r="K8380" t="str">
            <v>00111106P.2</v>
          </cell>
        </row>
        <row r="8381">
          <cell r="K8381" t="str">
            <v>00111106P.2</v>
          </cell>
        </row>
        <row r="8382">
          <cell r="K8382" t="str">
            <v>00111106P.2</v>
          </cell>
        </row>
        <row r="8383">
          <cell r="K8383" t="str">
            <v>00111107P.2</v>
          </cell>
        </row>
        <row r="8384">
          <cell r="K8384" t="str">
            <v>00111107P.2</v>
          </cell>
        </row>
        <row r="8385">
          <cell r="K8385" t="str">
            <v>00111107P.2</v>
          </cell>
        </row>
        <row r="8386">
          <cell r="K8386" t="str">
            <v>00111110P.2</v>
          </cell>
        </row>
        <row r="8387">
          <cell r="K8387" t="str">
            <v>00111110P.2</v>
          </cell>
        </row>
        <row r="8388">
          <cell r="K8388" t="str">
            <v>00111110P.2</v>
          </cell>
        </row>
        <row r="8389">
          <cell r="K8389" t="str">
            <v>00111110P.2</v>
          </cell>
        </row>
        <row r="8390">
          <cell r="K8390" t="str">
            <v>00111110P.2</v>
          </cell>
        </row>
        <row r="8391">
          <cell r="K8391" t="str">
            <v>00111110P.2</v>
          </cell>
        </row>
        <row r="8392">
          <cell r="K8392" t="str">
            <v>00111110P.2</v>
          </cell>
        </row>
        <row r="8393">
          <cell r="K8393" t="str">
            <v>00111110P.2</v>
          </cell>
        </row>
        <row r="8394">
          <cell r="K8394" t="str">
            <v>00111111P.2</v>
          </cell>
        </row>
        <row r="8395">
          <cell r="K8395" t="str">
            <v>00111111P.2</v>
          </cell>
        </row>
        <row r="8396">
          <cell r="K8396" t="str">
            <v>00111111P.2</v>
          </cell>
        </row>
        <row r="8397">
          <cell r="K8397" t="str">
            <v>00111111P.2</v>
          </cell>
        </row>
        <row r="8398">
          <cell r="K8398" t="str">
            <v>00111111P.2</v>
          </cell>
        </row>
        <row r="8399">
          <cell r="K8399" t="str">
            <v>00111111P.2</v>
          </cell>
        </row>
        <row r="8400">
          <cell r="K8400" t="str">
            <v>00111111P.2</v>
          </cell>
        </row>
        <row r="8401">
          <cell r="K8401" t="str">
            <v>00111111P.2</v>
          </cell>
        </row>
        <row r="8402">
          <cell r="K8402" t="str">
            <v>00111111P.2</v>
          </cell>
        </row>
        <row r="8403">
          <cell r="K8403" t="str">
            <v>00111111P.2</v>
          </cell>
        </row>
        <row r="8404">
          <cell r="K8404" t="str">
            <v>00111111P.2</v>
          </cell>
        </row>
        <row r="8405">
          <cell r="K8405" t="str">
            <v>00111113P.2</v>
          </cell>
        </row>
        <row r="8406">
          <cell r="K8406" t="str">
            <v>00111113P.2</v>
          </cell>
        </row>
        <row r="8407">
          <cell r="K8407" t="str">
            <v>00111113P.2</v>
          </cell>
        </row>
        <row r="8408">
          <cell r="K8408" t="str">
            <v>00111113P.2</v>
          </cell>
        </row>
        <row r="8409">
          <cell r="K8409" t="str">
            <v>00111113P.2</v>
          </cell>
        </row>
        <row r="8410">
          <cell r="K8410" t="str">
            <v>00111113P.2</v>
          </cell>
        </row>
        <row r="8411">
          <cell r="K8411" t="str">
            <v>00111113P.2</v>
          </cell>
        </row>
        <row r="8412">
          <cell r="K8412" t="str">
            <v>00111113P.2</v>
          </cell>
        </row>
        <row r="8413">
          <cell r="K8413" t="str">
            <v>00111113P.2</v>
          </cell>
        </row>
        <row r="8414">
          <cell r="K8414" t="str">
            <v>00111113P.2</v>
          </cell>
        </row>
        <row r="8415">
          <cell r="K8415" t="str">
            <v>00111114P.2</v>
          </cell>
        </row>
        <row r="8416">
          <cell r="K8416" t="str">
            <v>00111114P.2</v>
          </cell>
        </row>
        <row r="8417">
          <cell r="K8417" t="str">
            <v>00111114P.2</v>
          </cell>
        </row>
        <row r="8418">
          <cell r="K8418" t="str">
            <v>00111114P.2</v>
          </cell>
        </row>
        <row r="8419">
          <cell r="K8419" t="str">
            <v>00111115P.2</v>
          </cell>
        </row>
        <row r="8420">
          <cell r="K8420" t="str">
            <v>00111115P.2</v>
          </cell>
        </row>
        <row r="8421">
          <cell r="K8421" t="str">
            <v>00111116P.2</v>
          </cell>
        </row>
        <row r="8422">
          <cell r="K8422" t="str">
            <v>00111116P.2</v>
          </cell>
        </row>
        <row r="8423">
          <cell r="K8423" t="str">
            <v>00111116P.2</v>
          </cell>
        </row>
        <row r="8424">
          <cell r="K8424" t="str">
            <v>00111116P.2</v>
          </cell>
        </row>
        <row r="8425">
          <cell r="K8425" t="str">
            <v>00111116P.2</v>
          </cell>
        </row>
        <row r="8426">
          <cell r="K8426" t="str">
            <v>00111117P.2</v>
          </cell>
        </row>
        <row r="8427">
          <cell r="K8427" t="str">
            <v>00111117P.2</v>
          </cell>
        </row>
        <row r="8428">
          <cell r="K8428" t="str">
            <v>00111117P.2</v>
          </cell>
        </row>
        <row r="8429">
          <cell r="K8429" t="str">
            <v>00111117P.2</v>
          </cell>
        </row>
        <row r="8430">
          <cell r="K8430" t="str">
            <v>00111117P.2</v>
          </cell>
        </row>
        <row r="8431">
          <cell r="K8431" t="str">
            <v>00111117P.2</v>
          </cell>
        </row>
        <row r="8432">
          <cell r="K8432" t="str">
            <v>00111117P.2</v>
          </cell>
        </row>
        <row r="8433">
          <cell r="K8433" t="str">
            <v>00111117P.2</v>
          </cell>
        </row>
        <row r="8434">
          <cell r="K8434" t="str">
            <v>00111117P.2</v>
          </cell>
        </row>
        <row r="8435">
          <cell r="K8435" t="str">
            <v>00111117P.2</v>
          </cell>
        </row>
        <row r="8436">
          <cell r="K8436" t="str">
            <v>00111117P.2</v>
          </cell>
        </row>
        <row r="8437">
          <cell r="K8437" t="str">
            <v>00111117P.2</v>
          </cell>
        </row>
        <row r="8438">
          <cell r="K8438" t="str">
            <v>00111117P.2</v>
          </cell>
        </row>
        <row r="8439">
          <cell r="K8439" t="str">
            <v>00111118P.2</v>
          </cell>
        </row>
        <row r="8440">
          <cell r="K8440" t="str">
            <v>00111118P.2</v>
          </cell>
        </row>
        <row r="8441">
          <cell r="K8441" t="str">
            <v>00111118P.2</v>
          </cell>
        </row>
        <row r="8442">
          <cell r="K8442" t="str">
            <v>00111118P.2</v>
          </cell>
        </row>
        <row r="8443">
          <cell r="K8443" t="str">
            <v>00111118P.2</v>
          </cell>
        </row>
        <row r="8444">
          <cell r="K8444" t="str">
            <v>00111118P.2</v>
          </cell>
        </row>
        <row r="8445">
          <cell r="K8445" t="str">
            <v>00111118P.2</v>
          </cell>
        </row>
        <row r="8446">
          <cell r="K8446" t="str">
            <v>00111118P.2</v>
          </cell>
        </row>
        <row r="8447">
          <cell r="K8447" t="str">
            <v>00111118P.2</v>
          </cell>
        </row>
        <row r="8448">
          <cell r="K8448" t="str">
            <v>00111118P.2</v>
          </cell>
        </row>
        <row r="8449">
          <cell r="K8449" t="str">
            <v>00111118P.2</v>
          </cell>
        </row>
        <row r="8450">
          <cell r="K8450" t="str">
            <v>00111118P.2</v>
          </cell>
        </row>
        <row r="8451">
          <cell r="K8451" t="str">
            <v>00111118P.2</v>
          </cell>
        </row>
        <row r="8452">
          <cell r="K8452" t="str">
            <v>00111120P.2</v>
          </cell>
        </row>
        <row r="8453">
          <cell r="K8453" t="str">
            <v>00111120P.2</v>
          </cell>
        </row>
        <row r="8454">
          <cell r="K8454" t="str">
            <v>00111120P.2</v>
          </cell>
        </row>
        <row r="8455">
          <cell r="K8455" t="str">
            <v>00111120P.2</v>
          </cell>
        </row>
        <row r="8456">
          <cell r="K8456" t="str">
            <v>00111120P.2</v>
          </cell>
        </row>
        <row r="8457">
          <cell r="K8457" t="str">
            <v>00111120P.2</v>
          </cell>
        </row>
        <row r="8458">
          <cell r="K8458" t="str">
            <v>00111120P.2</v>
          </cell>
        </row>
        <row r="8459">
          <cell r="K8459" t="str">
            <v>00111120P.2</v>
          </cell>
        </row>
        <row r="8460">
          <cell r="K8460" t="str">
            <v>00111120P.2</v>
          </cell>
        </row>
        <row r="8461">
          <cell r="K8461" t="str">
            <v>00111120P.2</v>
          </cell>
        </row>
        <row r="8462">
          <cell r="K8462" t="str">
            <v>00111120P.2</v>
          </cell>
        </row>
        <row r="8463">
          <cell r="K8463" t="str">
            <v>00111121P.2</v>
          </cell>
        </row>
        <row r="8464">
          <cell r="K8464" t="str">
            <v>00111121P.2</v>
          </cell>
        </row>
        <row r="8465">
          <cell r="K8465" t="str">
            <v>00111121P.2</v>
          </cell>
        </row>
        <row r="8466">
          <cell r="K8466" t="str">
            <v>00111121P.2</v>
          </cell>
        </row>
        <row r="8467">
          <cell r="K8467" t="str">
            <v>00111121P.2</v>
          </cell>
        </row>
        <row r="8468">
          <cell r="K8468" t="str">
            <v>00111122P.2</v>
          </cell>
        </row>
        <row r="8469">
          <cell r="K8469" t="str">
            <v>00111122P.2</v>
          </cell>
        </row>
        <row r="8470">
          <cell r="K8470" t="str">
            <v>00111122P.2</v>
          </cell>
        </row>
        <row r="8471">
          <cell r="K8471" t="str">
            <v>00111122P.2</v>
          </cell>
        </row>
        <row r="8472">
          <cell r="K8472" t="str">
            <v>00111122P.2</v>
          </cell>
        </row>
        <row r="8473">
          <cell r="K8473" t="str">
            <v>00111122P.2</v>
          </cell>
        </row>
        <row r="8474">
          <cell r="K8474" t="str">
            <v>00111123P.2</v>
          </cell>
        </row>
        <row r="8475">
          <cell r="K8475" t="str">
            <v>00111123P.2</v>
          </cell>
        </row>
        <row r="8476">
          <cell r="K8476" t="str">
            <v>00111123P.2</v>
          </cell>
        </row>
        <row r="8477">
          <cell r="K8477" t="str">
            <v>00111123P.2</v>
          </cell>
        </row>
        <row r="8478">
          <cell r="K8478" t="str">
            <v>00111123P.2</v>
          </cell>
        </row>
        <row r="8479">
          <cell r="K8479" t="str">
            <v>00111123P.2</v>
          </cell>
        </row>
        <row r="8480">
          <cell r="K8480" t="str">
            <v>00111124P.2</v>
          </cell>
        </row>
        <row r="8481">
          <cell r="K8481" t="str">
            <v>00111124P.2</v>
          </cell>
        </row>
        <row r="8482">
          <cell r="K8482" t="str">
            <v>00111124P.2</v>
          </cell>
        </row>
        <row r="8483">
          <cell r="K8483" t="str">
            <v>00111124P.2</v>
          </cell>
        </row>
        <row r="8484">
          <cell r="K8484" t="str">
            <v>00111125P.2</v>
          </cell>
        </row>
        <row r="8485">
          <cell r="K8485" t="str">
            <v>00111125P.2</v>
          </cell>
        </row>
        <row r="8486">
          <cell r="K8486" t="str">
            <v>00111125P.2</v>
          </cell>
        </row>
        <row r="8487">
          <cell r="K8487" t="str">
            <v>00111125P.2</v>
          </cell>
        </row>
        <row r="8488">
          <cell r="K8488" t="str">
            <v>00111125P.2</v>
          </cell>
        </row>
        <row r="8489">
          <cell r="K8489" t="str">
            <v>00111125P.2</v>
          </cell>
        </row>
        <row r="8490">
          <cell r="K8490" t="str">
            <v>00111125P.2</v>
          </cell>
        </row>
        <row r="8491">
          <cell r="K8491" t="str">
            <v>00111125P.2</v>
          </cell>
        </row>
        <row r="8492">
          <cell r="K8492" t="str">
            <v>00111125P.2</v>
          </cell>
        </row>
        <row r="8493">
          <cell r="K8493" t="str">
            <v>00111125P.2</v>
          </cell>
        </row>
        <row r="8494">
          <cell r="K8494" t="str">
            <v>00111125P.2</v>
          </cell>
        </row>
        <row r="8495">
          <cell r="K8495" t="str">
            <v>00111125P.2</v>
          </cell>
        </row>
        <row r="8496">
          <cell r="K8496" t="str">
            <v>00111125P.2</v>
          </cell>
        </row>
        <row r="8497">
          <cell r="K8497" t="str">
            <v>00111126P.2</v>
          </cell>
        </row>
        <row r="8498">
          <cell r="K8498" t="str">
            <v>00111126P.2</v>
          </cell>
        </row>
        <row r="8499">
          <cell r="K8499" t="str">
            <v>00111126P.2</v>
          </cell>
        </row>
        <row r="8500">
          <cell r="K8500" t="str">
            <v>00111126P.2</v>
          </cell>
        </row>
        <row r="8501">
          <cell r="K8501" t="str">
            <v>00111126P.2</v>
          </cell>
        </row>
        <row r="8502">
          <cell r="K8502" t="str">
            <v>00111126P.2</v>
          </cell>
        </row>
        <row r="8503">
          <cell r="K8503" t="str">
            <v>00111126P.2</v>
          </cell>
        </row>
        <row r="8504">
          <cell r="K8504" t="str">
            <v>00111126P.2</v>
          </cell>
        </row>
        <row r="8505">
          <cell r="K8505" t="str">
            <v>00111126P.2</v>
          </cell>
        </row>
        <row r="8506">
          <cell r="K8506" t="str">
            <v>00111126P.2</v>
          </cell>
        </row>
        <row r="8507">
          <cell r="K8507" t="str">
            <v>00111127P.2</v>
          </cell>
        </row>
        <row r="8508">
          <cell r="K8508" t="str">
            <v>00111127P.2</v>
          </cell>
        </row>
        <row r="8509">
          <cell r="K8509" t="str">
            <v>00111127P.2</v>
          </cell>
        </row>
        <row r="8510">
          <cell r="K8510" t="str">
            <v>00111127P.2</v>
          </cell>
        </row>
        <row r="8511">
          <cell r="K8511" t="str">
            <v>00111127P.2</v>
          </cell>
        </row>
        <row r="8512">
          <cell r="K8512" t="str">
            <v>00111127P.2</v>
          </cell>
        </row>
        <row r="8513">
          <cell r="K8513" t="str">
            <v>00111127P.2</v>
          </cell>
        </row>
        <row r="8514">
          <cell r="K8514" t="str">
            <v>00111127P.2</v>
          </cell>
        </row>
        <row r="8515">
          <cell r="K8515" t="str">
            <v>00111127P.2</v>
          </cell>
        </row>
        <row r="8516">
          <cell r="K8516" t="str">
            <v>00111127P.2</v>
          </cell>
        </row>
        <row r="8517">
          <cell r="K8517" t="str">
            <v>00111128P.2</v>
          </cell>
        </row>
        <row r="8518">
          <cell r="K8518" t="str">
            <v>00111128P.2</v>
          </cell>
        </row>
        <row r="8519">
          <cell r="K8519" t="str">
            <v>00111128P.2</v>
          </cell>
        </row>
        <row r="8520">
          <cell r="K8520" t="str">
            <v>00111128P.2</v>
          </cell>
        </row>
        <row r="8521">
          <cell r="K8521" t="str">
            <v>00111128P.2</v>
          </cell>
        </row>
        <row r="8522">
          <cell r="K8522" t="str">
            <v>00111128P.2</v>
          </cell>
        </row>
        <row r="8523">
          <cell r="K8523" t="str">
            <v>00111128P.2</v>
          </cell>
        </row>
        <row r="8524">
          <cell r="K8524" t="str">
            <v>00111128P.2</v>
          </cell>
        </row>
        <row r="8525">
          <cell r="K8525" t="str">
            <v>00111128P.2</v>
          </cell>
        </row>
        <row r="8526">
          <cell r="K8526" t="str">
            <v>00111128P.2</v>
          </cell>
        </row>
        <row r="8527">
          <cell r="K8527" t="str">
            <v>00111128P.2</v>
          </cell>
        </row>
        <row r="8528">
          <cell r="K8528" t="str">
            <v>00111128P.2</v>
          </cell>
        </row>
        <row r="8529">
          <cell r="K8529" t="str">
            <v>00111129P.2</v>
          </cell>
        </row>
        <row r="8530">
          <cell r="K8530" t="str">
            <v>00111129P.2</v>
          </cell>
        </row>
        <row r="8531">
          <cell r="K8531" t="str">
            <v>00111129P.2</v>
          </cell>
        </row>
        <row r="8532">
          <cell r="K8532" t="str">
            <v>00111129P.2</v>
          </cell>
        </row>
        <row r="8533">
          <cell r="K8533" t="str">
            <v>00111129P.2</v>
          </cell>
        </row>
        <row r="8534">
          <cell r="K8534" t="str">
            <v>00111129P.2</v>
          </cell>
        </row>
        <row r="8535">
          <cell r="K8535" t="str">
            <v>00111129P.2</v>
          </cell>
        </row>
        <row r="8536">
          <cell r="K8536" t="str">
            <v>00111129P.2</v>
          </cell>
        </row>
        <row r="8537">
          <cell r="K8537" t="str">
            <v>00111130P.2</v>
          </cell>
        </row>
        <row r="8538">
          <cell r="K8538" t="str">
            <v>00111130P.2</v>
          </cell>
        </row>
        <row r="8539">
          <cell r="K8539" t="str">
            <v>00111130P.2</v>
          </cell>
        </row>
        <row r="8540">
          <cell r="K8540" t="str">
            <v>00111130P.2</v>
          </cell>
        </row>
        <row r="8541">
          <cell r="K8541" t="str">
            <v>00111130P.2</v>
          </cell>
        </row>
        <row r="8542">
          <cell r="K8542" t="str">
            <v>00111130P.2</v>
          </cell>
        </row>
        <row r="8543">
          <cell r="K8543" t="str">
            <v>00111130P.2</v>
          </cell>
        </row>
        <row r="8544">
          <cell r="K8544" t="str">
            <v>00111130P.2</v>
          </cell>
        </row>
        <row r="8545">
          <cell r="K8545" t="str">
            <v>00111130P.2</v>
          </cell>
        </row>
        <row r="8546">
          <cell r="K8546" t="str">
            <v>00111131P.2</v>
          </cell>
        </row>
        <row r="8547">
          <cell r="K8547" t="str">
            <v>00111131P.2</v>
          </cell>
        </row>
        <row r="8548">
          <cell r="K8548" t="str">
            <v>00111131P.2</v>
          </cell>
        </row>
        <row r="8549">
          <cell r="K8549" t="str">
            <v>00111131P.2</v>
          </cell>
        </row>
        <row r="8550">
          <cell r="K8550" t="str">
            <v>00111131P.2</v>
          </cell>
        </row>
        <row r="8551">
          <cell r="K8551" t="str">
            <v>00111131P.2</v>
          </cell>
        </row>
        <row r="8552">
          <cell r="K8552" t="str">
            <v>00111131P.2</v>
          </cell>
        </row>
        <row r="8553">
          <cell r="K8553" t="str">
            <v>00111131P.2</v>
          </cell>
        </row>
        <row r="8554">
          <cell r="K8554" t="str">
            <v>00111131P.2</v>
          </cell>
        </row>
        <row r="8555">
          <cell r="K8555" t="str">
            <v>00111131P.2</v>
          </cell>
        </row>
        <row r="8556">
          <cell r="K8556" t="str">
            <v>00111132P.2</v>
          </cell>
        </row>
        <row r="8557">
          <cell r="K8557" t="str">
            <v>00111132P.2</v>
          </cell>
        </row>
        <row r="8558">
          <cell r="K8558" t="str">
            <v>00111132P.2</v>
          </cell>
        </row>
        <row r="8559">
          <cell r="K8559" t="str">
            <v>00111132P.2</v>
          </cell>
        </row>
        <row r="8560">
          <cell r="K8560" t="str">
            <v>00111132P.2</v>
          </cell>
        </row>
        <row r="8561">
          <cell r="K8561" t="str">
            <v>00111132P.2</v>
          </cell>
        </row>
        <row r="8562">
          <cell r="K8562" t="str">
            <v>00111132P.2</v>
          </cell>
        </row>
        <row r="8563">
          <cell r="K8563" t="str">
            <v>00111132P.2</v>
          </cell>
        </row>
        <row r="8564">
          <cell r="K8564" t="str">
            <v>00111132P.2</v>
          </cell>
        </row>
        <row r="8565">
          <cell r="K8565" t="str">
            <v>00111132P.2</v>
          </cell>
        </row>
        <row r="8566">
          <cell r="K8566" t="str">
            <v>00111132P.2</v>
          </cell>
        </row>
        <row r="8567">
          <cell r="K8567" t="str">
            <v>00111132P.2</v>
          </cell>
        </row>
        <row r="8568">
          <cell r="K8568" t="str">
            <v>00111132P.2</v>
          </cell>
        </row>
        <row r="8569">
          <cell r="K8569" t="str">
            <v>00111133P.2</v>
          </cell>
        </row>
        <row r="8570">
          <cell r="K8570" t="str">
            <v>00111133P.2</v>
          </cell>
        </row>
        <row r="8571">
          <cell r="K8571" t="str">
            <v>00111133P.2</v>
          </cell>
        </row>
        <row r="8572">
          <cell r="K8572" t="str">
            <v>00111133P.2</v>
          </cell>
        </row>
        <row r="8573">
          <cell r="K8573" t="str">
            <v>00111133P.2</v>
          </cell>
        </row>
        <row r="8574">
          <cell r="K8574" t="str">
            <v>00111134P.2</v>
          </cell>
        </row>
        <row r="8575">
          <cell r="K8575" t="str">
            <v>00111134P.2</v>
          </cell>
        </row>
        <row r="8576">
          <cell r="K8576" t="str">
            <v>00111134P.2</v>
          </cell>
        </row>
        <row r="8577">
          <cell r="K8577" t="str">
            <v>00111134P.2</v>
          </cell>
        </row>
        <row r="8578">
          <cell r="K8578" t="str">
            <v>00111134P.2</v>
          </cell>
        </row>
        <row r="8579">
          <cell r="K8579" t="str">
            <v>00111134P.2</v>
          </cell>
        </row>
        <row r="8580">
          <cell r="K8580" t="str">
            <v>00111134P.2</v>
          </cell>
        </row>
        <row r="8581">
          <cell r="K8581" t="str">
            <v>00111134P.2</v>
          </cell>
        </row>
        <row r="8582">
          <cell r="K8582" t="str">
            <v>00111135P.2</v>
          </cell>
        </row>
        <row r="8583">
          <cell r="K8583" t="str">
            <v>00111135P.2</v>
          </cell>
        </row>
        <row r="8584">
          <cell r="K8584" t="str">
            <v>00111135P.2</v>
          </cell>
        </row>
        <row r="8585">
          <cell r="K8585" t="str">
            <v>00111135P.2</v>
          </cell>
        </row>
        <row r="8586">
          <cell r="K8586" t="str">
            <v>00111135P.2</v>
          </cell>
        </row>
        <row r="8587">
          <cell r="K8587" t="str">
            <v>00111135P.2</v>
          </cell>
        </row>
        <row r="8588">
          <cell r="K8588" t="str">
            <v>00111135P.2</v>
          </cell>
        </row>
        <row r="8589">
          <cell r="K8589" t="str">
            <v>00111135P.2</v>
          </cell>
        </row>
        <row r="8590">
          <cell r="K8590" t="str">
            <v>00111135P.2</v>
          </cell>
        </row>
        <row r="8591">
          <cell r="K8591" t="str">
            <v>00111135P.2</v>
          </cell>
        </row>
        <row r="8592">
          <cell r="K8592" t="str">
            <v>00111136P.2</v>
          </cell>
        </row>
        <row r="8593">
          <cell r="K8593" t="str">
            <v>00111136P.2</v>
          </cell>
        </row>
        <row r="8594">
          <cell r="K8594" t="str">
            <v>00111136P.2</v>
          </cell>
        </row>
        <row r="8595">
          <cell r="K8595" t="str">
            <v>00111136P.2</v>
          </cell>
        </row>
        <row r="8596">
          <cell r="K8596" t="str">
            <v>00111136P.2</v>
          </cell>
        </row>
        <row r="8597">
          <cell r="K8597" t="str">
            <v>00111136P.2</v>
          </cell>
        </row>
        <row r="8598">
          <cell r="K8598" t="str">
            <v>00111136P.2</v>
          </cell>
        </row>
        <row r="8599">
          <cell r="K8599" t="str">
            <v>00111158P.2</v>
          </cell>
        </row>
        <row r="8600">
          <cell r="K8600" t="str">
            <v>00111158P.2</v>
          </cell>
        </row>
        <row r="8601">
          <cell r="K8601" t="str">
            <v>00111158P.2</v>
          </cell>
        </row>
        <row r="8602">
          <cell r="K8602" t="str">
            <v>00111138P.2</v>
          </cell>
        </row>
        <row r="8603">
          <cell r="K8603" t="str">
            <v>00111138P.2</v>
          </cell>
        </row>
        <row r="8604">
          <cell r="K8604" t="str">
            <v>00111138P.2</v>
          </cell>
        </row>
        <row r="8605">
          <cell r="K8605" t="str">
            <v>00111138P.2</v>
          </cell>
        </row>
        <row r="8606">
          <cell r="K8606" t="str">
            <v>00111138P.2</v>
          </cell>
        </row>
        <row r="8607">
          <cell r="K8607" t="str">
            <v>00111138P.2</v>
          </cell>
        </row>
        <row r="8608">
          <cell r="K8608" t="str">
            <v>00111139P.2</v>
          </cell>
        </row>
        <row r="8609">
          <cell r="K8609" t="str">
            <v>00111139P.2</v>
          </cell>
        </row>
        <row r="8610">
          <cell r="K8610" t="str">
            <v>00111139P.2</v>
          </cell>
        </row>
        <row r="8611">
          <cell r="K8611" t="str">
            <v>00111140P.2</v>
          </cell>
        </row>
        <row r="8612">
          <cell r="K8612" t="str">
            <v>00111140P.2</v>
          </cell>
        </row>
        <row r="8613">
          <cell r="K8613" t="str">
            <v>00111140P.2</v>
          </cell>
        </row>
        <row r="8614">
          <cell r="K8614" t="str">
            <v>00111140P.2</v>
          </cell>
        </row>
        <row r="8615">
          <cell r="K8615" t="str">
            <v>00111140P.2</v>
          </cell>
        </row>
        <row r="8616">
          <cell r="K8616" t="str">
            <v>00111145P.2</v>
          </cell>
        </row>
        <row r="8617">
          <cell r="K8617" t="str">
            <v>00111145P.2</v>
          </cell>
        </row>
        <row r="8618">
          <cell r="K8618" t="str">
            <v>00111145P.2</v>
          </cell>
        </row>
        <row r="8619">
          <cell r="K8619" t="str">
            <v>00111145P.2</v>
          </cell>
        </row>
        <row r="8620">
          <cell r="K8620" t="str">
            <v>00111145P.2</v>
          </cell>
        </row>
        <row r="8621">
          <cell r="K8621" t="str">
            <v>00111145P.2</v>
          </cell>
        </row>
        <row r="8622">
          <cell r="K8622" t="str">
            <v>00111145P.2</v>
          </cell>
        </row>
        <row r="8623">
          <cell r="K8623" t="str">
            <v>00111145P.2</v>
          </cell>
        </row>
        <row r="8624">
          <cell r="K8624" t="str">
            <v>00111145P.2</v>
          </cell>
        </row>
        <row r="8625">
          <cell r="K8625" t="str">
            <v>00111145P.2</v>
          </cell>
        </row>
        <row r="8626">
          <cell r="K8626" t="str">
            <v>00111145P.2</v>
          </cell>
        </row>
        <row r="8627">
          <cell r="K8627" t="str">
            <v>00111145P.2</v>
          </cell>
        </row>
        <row r="8628">
          <cell r="K8628" t="str">
            <v>00111145P.2</v>
          </cell>
        </row>
        <row r="8629">
          <cell r="K8629" t="str">
            <v>00111145P.2</v>
          </cell>
        </row>
        <row r="8630">
          <cell r="K8630" t="str">
            <v>00111145P.2</v>
          </cell>
        </row>
        <row r="8631">
          <cell r="K8631" t="str">
            <v>00111145P.2</v>
          </cell>
        </row>
        <row r="8632">
          <cell r="K8632" t="str">
            <v>00111145P.2</v>
          </cell>
        </row>
        <row r="8633">
          <cell r="K8633" t="str">
            <v>00111145P.2</v>
          </cell>
        </row>
        <row r="8634">
          <cell r="K8634" t="str">
            <v>00111145P.2</v>
          </cell>
        </row>
        <row r="8635">
          <cell r="K8635" t="str">
            <v>00111148P.2</v>
          </cell>
        </row>
        <row r="8636">
          <cell r="K8636" t="str">
            <v>00111148P.2</v>
          </cell>
        </row>
        <row r="8637">
          <cell r="K8637" t="str">
            <v>00111148P.2</v>
          </cell>
        </row>
        <row r="8638">
          <cell r="K8638" t="str">
            <v>00111148P.2</v>
          </cell>
        </row>
        <row r="8639">
          <cell r="K8639" t="str">
            <v>00111149P.2</v>
          </cell>
        </row>
        <row r="8640">
          <cell r="K8640" t="str">
            <v>00111149P.2</v>
          </cell>
        </row>
        <row r="8641">
          <cell r="K8641" t="str">
            <v>00111149P.2</v>
          </cell>
        </row>
        <row r="8642">
          <cell r="K8642" t="str">
            <v>00111149P.2</v>
          </cell>
        </row>
        <row r="8643">
          <cell r="K8643" t="str">
            <v>00111149P.2</v>
          </cell>
        </row>
        <row r="8644">
          <cell r="K8644" t="str">
            <v>00111149P.2</v>
          </cell>
        </row>
        <row r="8645">
          <cell r="K8645" t="str">
            <v>00111149P.2</v>
          </cell>
        </row>
        <row r="8646">
          <cell r="K8646" t="str">
            <v>00111149P.2</v>
          </cell>
        </row>
        <row r="8647">
          <cell r="K8647" t="str">
            <v>00111149P.2</v>
          </cell>
        </row>
        <row r="8648">
          <cell r="K8648" t="str">
            <v>00111149P.2</v>
          </cell>
        </row>
        <row r="8649">
          <cell r="K8649" t="str">
            <v>00111149P.2</v>
          </cell>
        </row>
        <row r="8650">
          <cell r="K8650" t="str">
            <v>00111149P.2</v>
          </cell>
        </row>
        <row r="8651">
          <cell r="K8651" t="str">
            <v>00111149P.2</v>
          </cell>
        </row>
        <row r="8652">
          <cell r="K8652" t="str">
            <v>00111149P.2</v>
          </cell>
        </row>
        <row r="8653">
          <cell r="K8653" t="str">
            <v>00111153P.2</v>
          </cell>
        </row>
        <row r="8654">
          <cell r="K8654" t="str">
            <v>00111153P.2</v>
          </cell>
        </row>
        <row r="8655">
          <cell r="K8655" t="str">
            <v>00111153P.2</v>
          </cell>
        </row>
        <row r="8656">
          <cell r="K8656" t="str">
            <v>00111153P.2</v>
          </cell>
        </row>
        <row r="8657">
          <cell r="K8657" t="str">
            <v>00111157P.2</v>
          </cell>
        </row>
        <row r="8658">
          <cell r="K8658" t="str">
            <v>00111157P.2</v>
          </cell>
        </row>
        <row r="8659">
          <cell r="K8659" t="str">
            <v>00111157P.2</v>
          </cell>
        </row>
        <row r="8660">
          <cell r="K8660" t="str">
            <v>00111157P.2</v>
          </cell>
        </row>
        <row r="8661">
          <cell r="K8661" t="str">
            <v>00111157P.2</v>
          </cell>
        </row>
        <row r="8662">
          <cell r="K8662" t="str">
            <v>00111157P.2</v>
          </cell>
        </row>
        <row r="8663">
          <cell r="K8663" t="str">
            <v>00111158P.2</v>
          </cell>
        </row>
        <row r="8664">
          <cell r="K8664" t="str">
            <v>00111158P.2</v>
          </cell>
        </row>
        <row r="8665">
          <cell r="K8665" t="str">
            <v>00111159P.2</v>
          </cell>
        </row>
        <row r="8666">
          <cell r="K8666" t="str">
            <v>00111159P.2</v>
          </cell>
        </row>
        <row r="8667">
          <cell r="K8667" t="str">
            <v>00111159P.2</v>
          </cell>
        </row>
        <row r="8668">
          <cell r="K8668" t="str">
            <v>00111159P.2</v>
          </cell>
        </row>
        <row r="8669">
          <cell r="K8669" t="str">
            <v>00111159P.2</v>
          </cell>
        </row>
        <row r="8670">
          <cell r="K8670" t="str">
            <v>00111159P.2</v>
          </cell>
        </row>
        <row r="8671">
          <cell r="K8671" t="str">
            <v>00111159P.2</v>
          </cell>
        </row>
        <row r="8672">
          <cell r="K8672" t="str">
            <v>00111159P.2</v>
          </cell>
        </row>
        <row r="8673">
          <cell r="K8673" t="str">
            <v>00111159P.2</v>
          </cell>
        </row>
        <row r="8674">
          <cell r="K8674" t="str">
            <v>00111143P.2</v>
          </cell>
        </row>
        <row r="8675">
          <cell r="K8675" t="str">
            <v>00111143P.2</v>
          </cell>
        </row>
        <row r="8676">
          <cell r="K8676" t="str">
            <v>00111143P.2</v>
          </cell>
        </row>
        <row r="8677">
          <cell r="K8677" t="str">
            <v>00111143P.2</v>
          </cell>
        </row>
        <row r="8678">
          <cell r="K8678" t="str">
            <v>00111143P.2</v>
          </cell>
        </row>
        <row r="8679">
          <cell r="K8679" t="str">
            <v>00111128P.2</v>
          </cell>
        </row>
        <row r="8680">
          <cell r="K8680" t="str">
            <v>00111128P.2</v>
          </cell>
        </row>
        <row r="8681">
          <cell r="K8681" t="str">
            <v>00111128P.2</v>
          </cell>
        </row>
        <row r="8682">
          <cell r="K8682" t="str">
            <v>00111128P.2</v>
          </cell>
        </row>
        <row r="8683">
          <cell r="K8683" t="str">
            <v>00111128P.2</v>
          </cell>
        </row>
        <row r="8684">
          <cell r="K8684" t="str">
            <v>00111128P.2</v>
          </cell>
        </row>
        <row r="8685">
          <cell r="K8685" t="str">
            <v>00111128P.2</v>
          </cell>
        </row>
        <row r="8686">
          <cell r="K8686" t="str">
            <v>00111122P.2</v>
          </cell>
        </row>
        <row r="8687">
          <cell r="K8687" t="str">
            <v>00111122P.2</v>
          </cell>
        </row>
        <row r="8688">
          <cell r="K8688" t="str">
            <v>00111122P.2</v>
          </cell>
        </row>
        <row r="8689">
          <cell r="K8689" t="str">
            <v>00111122P.2</v>
          </cell>
        </row>
        <row r="8690">
          <cell r="K8690" t="str">
            <v>00111122P.2</v>
          </cell>
        </row>
        <row r="8691">
          <cell r="K8691" t="str">
            <v>00111122P.2</v>
          </cell>
        </row>
        <row r="8692">
          <cell r="K8692" t="str">
            <v>00111122P.2</v>
          </cell>
        </row>
        <row r="8693">
          <cell r="K8693" t="str">
            <v>00111122P.2</v>
          </cell>
        </row>
        <row r="8694">
          <cell r="K8694" t="str">
            <v>00111122P.2</v>
          </cell>
        </row>
        <row r="8695">
          <cell r="K8695" t="str">
            <v>00111122P.2</v>
          </cell>
        </row>
        <row r="8696">
          <cell r="K8696" t="str">
            <v>00111122P.2</v>
          </cell>
        </row>
        <row r="8697">
          <cell r="K8697" t="str">
            <v>00111122P.2</v>
          </cell>
        </row>
        <row r="8698">
          <cell r="K8698" t="str">
            <v>00111122P.2</v>
          </cell>
        </row>
        <row r="8699">
          <cell r="K8699" t="str">
            <v>00111132P.2</v>
          </cell>
        </row>
        <row r="8700">
          <cell r="K8700" t="str">
            <v>00111132P.2</v>
          </cell>
        </row>
        <row r="8701">
          <cell r="K8701" t="str">
            <v>00111132P.2</v>
          </cell>
        </row>
        <row r="8702">
          <cell r="K8702" t="str">
            <v>00111132P.2</v>
          </cell>
        </row>
        <row r="8703">
          <cell r="K8703" t="str">
            <v>00111154P.2</v>
          </cell>
        </row>
        <row r="8704">
          <cell r="K8704" t="str">
            <v>00111154P.2</v>
          </cell>
        </row>
        <row r="8705">
          <cell r="K8705" t="str">
            <v>00111154P.2</v>
          </cell>
        </row>
        <row r="8706">
          <cell r="K8706" t="str">
            <v>00111154P.2</v>
          </cell>
        </row>
        <row r="8707">
          <cell r="K8707" t="str">
            <v>00111154P.2</v>
          </cell>
        </row>
        <row r="8708">
          <cell r="K8708" t="str">
            <v>00111154P.2</v>
          </cell>
        </row>
        <row r="8709">
          <cell r="K8709" t="str">
            <v>00111143P.2</v>
          </cell>
        </row>
        <row r="8710">
          <cell r="K8710" t="str">
            <v>00111143P.2</v>
          </cell>
        </row>
        <row r="8711">
          <cell r="K8711" t="str">
            <v>00111143P.2</v>
          </cell>
        </row>
        <row r="8712">
          <cell r="K8712" t="str">
            <v>00111143P.2</v>
          </cell>
        </row>
        <row r="8713">
          <cell r="K8713" t="str">
            <v>00111157P.2</v>
          </cell>
        </row>
        <row r="8714">
          <cell r="K8714" t="str">
            <v>00111157P.2</v>
          </cell>
        </row>
        <row r="8715">
          <cell r="K8715" t="str">
            <v>00111157P.2</v>
          </cell>
        </row>
        <row r="8716">
          <cell r="K8716" t="str">
            <v>00111157P.2</v>
          </cell>
        </row>
        <row r="8717">
          <cell r="K8717" t="str">
            <v>00111157P.2</v>
          </cell>
        </row>
        <row r="8718">
          <cell r="K8718" t="str">
            <v>00111157P.2</v>
          </cell>
        </row>
        <row r="8719">
          <cell r="K8719" t="str">
            <v>00111156P.2</v>
          </cell>
        </row>
        <row r="8720">
          <cell r="K8720" t="str">
            <v>00111156P.2</v>
          </cell>
        </row>
        <row r="8721">
          <cell r="K8721" t="str">
            <v>00111160P.2</v>
          </cell>
        </row>
        <row r="8722">
          <cell r="K8722" t="str">
            <v>00111160P.2</v>
          </cell>
        </row>
        <row r="8723">
          <cell r="K8723" t="str">
            <v>00111160P.2</v>
          </cell>
        </row>
        <row r="8724">
          <cell r="K8724" t="str">
            <v>00111160P.2</v>
          </cell>
        </row>
        <row r="8725">
          <cell r="K8725" t="str">
            <v>00111160P.2</v>
          </cell>
        </row>
        <row r="8726">
          <cell r="K8726" t="str">
            <v>00111133P.2</v>
          </cell>
        </row>
        <row r="8727">
          <cell r="K8727" t="str">
            <v>00111147P.2</v>
          </cell>
        </row>
        <row r="8728">
          <cell r="K8728" t="str">
            <v>00111147P.2</v>
          </cell>
        </row>
        <row r="8729">
          <cell r="K8729" t="str">
            <v>00111147P.2</v>
          </cell>
        </row>
        <row r="8730">
          <cell r="K8730" t="str">
            <v>00111154P.2</v>
          </cell>
        </row>
        <row r="8731">
          <cell r="K8731" t="str">
            <v>00111154P.2</v>
          </cell>
        </row>
        <row r="8732">
          <cell r="K8732" t="str">
            <v>00111154P.2</v>
          </cell>
        </row>
        <row r="8733">
          <cell r="K8733" t="str">
            <v>00111154P.2</v>
          </cell>
        </row>
        <row r="8734">
          <cell r="K8734" t="str">
            <v>00111154P.2</v>
          </cell>
        </row>
        <row r="8735">
          <cell r="K8735" t="str">
            <v>00111154P.2</v>
          </cell>
        </row>
        <row r="8736">
          <cell r="K8736" t="str">
            <v>00111154P.2</v>
          </cell>
        </row>
        <row r="8737">
          <cell r="K8737" t="str">
            <v>00111154P.2</v>
          </cell>
        </row>
        <row r="8738">
          <cell r="K8738" t="str">
            <v>00111154P.2</v>
          </cell>
        </row>
        <row r="8739">
          <cell r="K8739" t="str">
            <v>00111154P.2</v>
          </cell>
        </row>
        <row r="8740">
          <cell r="K8740" t="str">
            <v>00111104P.2</v>
          </cell>
        </row>
        <row r="8741">
          <cell r="K8741" t="str">
            <v>00111104P.2</v>
          </cell>
        </row>
        <row r="8742">
          <cell r="K8742" t="str">
            <v>00111105P.2</v>
          </cell>
        </row>
        <row r="8743">
          <cell r="K8743" t="str">
            <v>00111105P.2</v>
          </cell>
        </row>
        <row r="8744">
          <cell r="K8744" t="str">
            <v>00111105P.2</v>
          </cell>
        </row>
        <row r="8745">
          <cell r="K8745" t="str">
            <v>00111105P.2</v>
          </cell>
        </row>
        <row r="8746">
          <cell r="K8746" t="str">
            <v>00111103P.2</v>
          </cell>
        </row>
        <row r="8747">
          <cell r="K8747" t="str">
            <v>00111103P.2</v>
          </cell>
        </row>
        <row r="8748">
          <cell r="K8748" t="str">
            <v>00111104P.2</v>
          </cell>
        </row>
        <row r="8749">
          <cell r="K8749" t="str">
            <v>00111110P.2</v>
          </cell>
        </row>
        <row r="8750">
          <cell r="K8750" t="str">
            <v>00111110P.2</v>
          </cell>
        </row>
        <row r="8751">
          <cell r="K8751" t="str">
            <v>00111141P.2</v>
          </cell>
        </row>
        <row r="8752">
          <cell r="K8752" t="str">
            <v>00111141P.2</v>
          </cell>
        </row>
        <row r="8753">
          <cell r="K8753" t="str">
            <v>00111142P.2</v>
          </cell>
        </row>
        <row r="8754">
          <cell r="K8754" t="str">
            <v>00111141P.2</v>
          </cell>
        </row>
        <row r="8755">
          <cell r="K8755" t="str">
            <v>00111141P.2</v>
          </cell>
        </row>
        <row r="8756">
          <cell r="K8756" t="str">
            <v>00111142P.2</v>
          </cell>
        </row>
        <row r="8757">
          <cell r="K8757" t="str">
            <v>00111142P.2</v>
          </cell>
        </row>
        <row r="8758">
          <cell r="K8758" t="str">
            <v>00111142P.2</v>
          </cell>
        </row>
        <row r="8759">
          <cell r="K8759" t="str">
            <v>00111141P.2</v>
          </cell>
        </row>
        <row r="8760">
          <cell r="K8760" t="str">
            <v>00111142P.2</v>
          </cell>
        </row>
        <row r="8761">
          <cell r="K8761" t="str">
            <v>00111142P.2</v>
          </cell>
        </row>
        <row r="8762">
          <cell r="K8762" t="str">
            <v>00111142P.2</v>
          </cell>
        </row>
        <row r="8763">
          <cell r="K8763" t="str">
            <v>00111144P.2</v>
          </cell>
        </row>
        <row r="8764">
          <cell r="K8764" t="str">
            <v>00111144P.2</v>
          </cell>
        </row>
        <row r="8765">
          <cell r="K8765" t="str">
            <v>00111144P.2</v>
          </cell>
        </row>
        <row r="8766">
          <cell r="K8766" t="str">
            <v>00111144P.2</v>
          </cell>
        </row>
        <row r="8767">
          <cell r="K8767" t="str">
            <v>00111142P.2</v>
          </cell>
        </row>
        <row r="8768">
          <cell r="K8768" t="str">
            <v>00111142P.2</v>
          </cell>
        </row>
        <row r="8769">
          <cell r="K8769" t="str">
            <v>00111141P.2</v>
          </cell>
        </row>
        <row r="8770">
          <cell r="K8770" t="str">
            <v>00111141P.2</v>
          </cell>
        </row>
        <row r="8771">
          <cell r="K8771" t="str">
            <v>00111141P.2</v>
          </cell>
        </row>
        <row r="8772">
          <cell r="K8772" t="str">
            <v>00111141P.2</v>
          </cell>
        </row>
        <row r="8773">
          <cell r="K8773" t="str">
            <v>00111141P.2</v>
          </cell>
        </row>
        <row r="8774">
          <cell r="K8774" t="str">
            <v>00111141P.2</v>
          </cell>
        </row>
        <row r="8775">
          <cell r="K8775" t="str">
            <v>00111142P.2</v>
          </cell>
        </row>
        <row r="8776">
          <cell r="K8776" t="str">
            <v>00111160P.2</v>
          </cell>
        </row>
        <row r="8777">
          <cell r="K8777" t="str">
            <v>00111142P.2</v>
          </cell>
        </row>
        <row r="8778">
          <cell r="K8778" t="str">
            <v>00111102P.2</v>
          </cell>
        </row>
        <row r="8779">
          <cell r="K8779" t="str">
            <v>00111102P.2</v>
          </cell>
        </row>
        <row r="8780">
          <cell r="K8780" t="str">
            <v>00111102P.2</v>
          </cell>
        </row>
        <row r="8781">
          <cell r="K8781" t="str">
            <v>00111101P.2</v>
          </cell>
        </row>
        <row r="8782">
          <cell r="K8782" t="str">
            <v>00111102P.2</v>
          </cell>
        </row>
        <row r="8783">
          <cell r="K8783" t="str">
            <v>00111102P.2</v>
          </cell>
        </row>
        <row r="8784">
          <cell r="K8784" t="str">
            <v>00111102P.2</v>
          </cell>
        </row>
        <row r="8785">
          <cell r="K8785" t="str">
            <v>00111102P.2</v>
          </cell>
        </row>
        <row r="8786">
          <cell r="K8786" t="str">
            <v>00111102P.2</v>
          </cell>
        </row>
        <row r="8787">
          <cell r="K8787" t="str">
            <v>00111102P.2</v>
          </cell>
        </row>
        <row r="8788">
          <cell r="K8788" t="str">
            <v>00111102P.2</v>
          </cell>
        </row>
        <row r="8789">
          <cell r="K8789" t="str">
            <v>00111102P.2</v>
          </cell>
        </row>
        <row r="8790">
          <cell r="K8790" t="str">
            <v>00111102P.2</v>
          </cell>
        </row>
        <row r="8791">
          <cell r="K8791" t="str">
            <v>00111102P.2</v>
          </cell>
        </row>
        <row r="8792">
          <cell r="K8792" t="str">
            <v>00111102P.2</v>
          </cell>
        </row>
        <row r="8793">
          <cell r="K8793" t="str">
            <v>00111102P.2</v>
          </cell>
        </row>
        <row r="8794">
          <cell r="K8794" t="str">
            <v>00111102P.2</v>
          </cell>
        </row>
        <row r="8795">
          <cell r="K8795" t="str">
            <v>00111102P.2</v>
          </cell>
        </row>
        <row r="8796">
          <cell r="K8796" t="str">
            <v>00111102P.2</v>
          </cell>
        </row>
        <row r="8797">
          <cell r="K8797" t="str">
            <v>00111102P.2</v>
          </cell>
        </row>
        <row r="8798">
          <cell r="K8798" t="str">
            <v>00111102P.2</v>
          </cell>
        </row>
        <row r="8799">
          <cell r="K8799" t="str">
            <v>00111102P.2</v>
          </cell>
        </row>
        <row r="8800">
          <cell r="K8800" t="str">
            <v>00111102P.2</v>
          </cell>
        </row>
        <row r="8801">
          <cell r="K8801" t="str">
            <v>00111102P.2</v>
          </cell>
        </row>
        <row r="8802">
          <cell r="K8802" t="str">
            <v>00111102P.2</v>
          </cell>
        </row>
        <row r="8803">
          <cell r="K8803" t="str">
            <v>00111102P.2</v>
          </cell>
        </row>
        <row r="8804">
          <cell r="K8804" t="str">
            <v>00111102P.2</v>
          </cell>
        </row>
        <row r="8805">
          <cell r="K8805" t="str">
            <v>00111102P.2</v>
          </cell>
        </row>
        <row r="8806">
          <cell r="K8806" t="str">
            <v>00111102P.2</v>
          </cell>
        </row>
        <row r="8807">
          <cell r="K8807" t="str">
            <v>00111102P.2</v>
          </cell>
        </row>
        <row r="8808">
          <cell r="K8808" t="str">
            <v>00111102P.2</v>
          </cell>
        </row>
        <row r="8809">
          <cell r="K8809" t="str">
            <v>00111102P.2</v>
          </cell>
        </row>
        <row r="8810">
          <cell r="K8810" t="str">
            <v>00111102P.2</v>
          </cell>
        </row>
        <row r="8811">
          <cell r="K8811" t="str">
            <v>00111102P.2</v>
          </cell>
        </row>
        <row r="8812">
          <cell r="K8812" t="str">
            <v>00111102P.2</v>
          </cell>
        </row>
        <row r="8813">
          <cell r="K8813" t="str">
            <v>00111102P.2</v>
          </cell>
        </row>
        <row r="8814">
          <cell r="K8814" t="str">
            <v>00111102P.2</v>
          </cell>
        </row>
        <row r="8815">
          <cell r="K8815" t="str">
            <v>00111102P.2</v>
          </cell>
        </row>
        <row r="8816">
          <cell r="K8816" t="str">
            <v>00111102P.2</v>
          </cell>
        </row>
        <row r="8817">
          <cell r="K8817" t="str">
            <v>00111102P.2</v>
          </cell>
        </row>
        <row r="8818">
          <cell r="K8818" t="str">
            <v>00111102P.2</v>
          </cell>
        </row>
        <row r="8819">
          <cell r="K8819" t="str">
            <v>00111102P.2</v>
          </cell>
        </row>
        <row r="8820">
          <cell r="K8820" t="str">
            <v>00111102P.2</v>
          </cell>
        </row>
        <row r="8821">
          <cell r="K8821" t="str">
            <v>00111102P.2</v>
          </cell>
        </row>
        <row r="8822">
          <cell r="K8822" t="str">
            <v>00111102P.2</v>
          </cell>
        </row>
        <row r="8823">
          <cell r="K8823" t="str">
            <v>00111102P.2</v>
          </cell>
        </row>
        <row r="8824">
          <cell r="K8824" t="str">
            <v>00111102P.2</v>
          </cell>
        </row>
        <row r="8825">
          <cell r="K8825" t="str">
            <v>00111102P.2</v>
          </cell>
        </row>
        <row r="8826">
          <cell r="K8826" t="str">
            <v>00111102P.2</v>
          </cell>
        </row>
        <row r="8827">
          <cell r="K8827" t="str">
            <v>00111113P.2</v>
          </cell>
        </row>
        <row r="8828">
          <cell r="K8828" t="str">
            <v>00111113P.2</v>
          </cell>
        </row>
        <row r="8829">
          <cell r="K8829" t="str">
            <v>00111113P.2</v>
          </cell>
        </row>
        <row r="8830">
          <cell r="K8830" t="str">
            <v>00111113P.2</v>
          </cell>
        </row>
        <row r="8831">
          <cell r="K8831" t="str">
            <v>00111113P.2</v>
          </cell>
        </row>
        <row r="8832">
          <cell r="K8832" t="str">
            <v>00111113P.2</v>
          </cell>
        </row>
        <row r="8833">
          <cell r="K8833" t="str">
            <v>00111113P.2</v>
          </cell>
        </row>
        <row r="8834">
          <cell r="K8834" t="str">
            <v>00111113P.2</v>
          </cell>
        </row>
        <row r="8835">
          <cell r="K8835" t="str">
            <v>00111113P.2</v>
          </cell>
        </row>
        <row r="8836">
          <cell r="K8836" t="str">
            <v>00111113P.2</v>
          </cell>
        </row>
        <row r="8837">
          <cell r="K8837" t="str">
            <v>00111113P.2</v>
          </cell>
        </row>
        <row r="8838">
          <cell r="K8838" t="str">
            <v>00111113P.2</v>
          </cell>
        </row>
        <row r="8839">
          <cell r="K8839" t="str">
            <v>00111113P.2</v>
          </cell>
        </row>
        <row r="8840">
          <cell r="K8840" t="str">
            <v>00111113P.2</v>
          </cell>
        </row>
        <row r="8841">
          <cell r="K8841" t="str">
            <v>00111113P.2</v>
          </cell>
        </row>
        <row r="8842">
          <cell r="K8842" t="str">
            <v>00111110P.2</v>
          </cell>
        </row>
        <row r="8843">
          <cell r="K8843" t="str">
            <v>00111110P.2</v>
          </cell>
        </row>
        <row r="8844">
          <cell r="K8844" t="str">
            <v>00111110P.2</v>
          </cell>
        </row>
        <row r="8845">
          <cell r="K8845" t="str">
            <v>00111110P.2</v>
          </cell>
        </row>
        <row r="8846">
          <cell r="K8846" t="str">
            <v>00111110P.2</v>
          </cell>
        </row>
        <row r="8847">
          <cell r="K8847" t="str">
            <v>00111114P.2</v>
          </cell>
        </row>
        <row r="8848">
          <cell r="K8848" t="str">
            <v>00111114P.2</v>
          </cell>
        </row>
        <row r="8849">
          <cell r="K8849" t="str">
            <v>00111131P.2</v>
          </cell>
        </row>
        <row r="8850">
          <cell r="K8850" t="str">
            <v>00111110P.2</v>
          </cell>
        </row>
        <row r="8851">
          <cell r="K8851" t="str">
            <v>00111110P.2</v>
          </cell>
        </row>
        <row r="8852">
          <cell r="K8852" t="str">
            <v>00111110P.2</v>
          </cell>
        </row>
        <row r="8853">
          <cell r="K8853" t="str">
            <v>00111110P.2</v>
          </cell>
        </row>
        <row r="8854">
          <cell r="K8854" t="str">
            <v>00111110P.2</v>
          </cell>
        </row>
        <row r="8855">
          <cell r="K8855" t="str">
            <v>00111151P.2</v>
          </cell>
        </row>
        <row r="8856">
          <cell r="K8856" t="str">
            <v>00111151P.2</v>
          </cell>
        </row>
        <row r="8857">
          <cell r="K8857" t="str">
            <v>00111151P.2</v>
          </cell>
        </row>
        <row r="8858">
          <cell r="K8858" t="str">
            <v>00111151P.2</v>
          </cell>
        </row>
        <row r="8859">
          <cell r="K8859" t="str">
            <v>00111151P.2</v>
          </cell>
        </row>
        <row r="8860">
          <cell r="K8860" t="str">
            <v>00111151P.2</v>
          </cell>
        </row>
        <row r="8861">
          <cell r="K8861" t="str">
            <v>00111151P.2</v>
          </cell>
        </row>
        <row r="8862">
          <cell r="K8862" t="str">
            <v>00111151P.2</v>
          </cell>
        </row>
        <row r="8863">
          <cell r="K8863" t="str">
            <v>00111151P.2</v>
          </cell>
        </row>
        <row r="8864">
          <cell r="K8864" t="str">
            <v>00111151P.2</v>
          </cell>
        </row>
        <row r="8865">
          <cell r="K8865" t="str">
            <v>00111151P.2</v>
          </cell>
        </row>
        <row r="8866">
          <cell r="K8866" t="str">
            <v>00111151P.2</v>
          </cell>
        </row>
        <row r="8867">
          <cell r="K8867" t="str">
            <v>00111151P.2</v>
          </cell>
        </row>
        <row r="8868">
          <cell r="K8868" t="str">
            <v>00111151P.2</v>
          </cell>
        </row>
        <row r="8869">
          <cell r="K8869" t="str">
            <v>00111151P.2</v>
          </cell>
        </row>
        <row r="8870">
          <cell r="K8870" t="str">
            <v>00111151P.2</v>
          </cell>
        </row>
        <row r="8871">
          <cell r="K8871" t="str">
            <v>00111151P.2</v>
          </cell>
        </row>
        <row r="8872">
          <cell r="K8872" t="str">
            <v>00111151P.2</v>
          </cell>
        </row>
        <row r="8873">
          <cell r="K8873" t="str">
            <v>00111151P.2</v>
          </cell>
        </row>
        <row r="8874">
          <cell r="K8874" t="str">
            <v>00111151P.2</v>
          </cell>
        </row>
        <row r="8875">
          <cell r="K8875" t="str">
            <v>00111151P.2</v>
          </cell>
        </row>
        <row r="8876">
          <cell r="K8876" t="str">
            <v>00111151P.2</v>
          </cell>
        </row>
        <row r="8877">
          <cell r="K8877" t="str">
            <v>00111151P.2</v>
          </cell>
        </row>
        <row r="8878">
          <cell r="K8878" t="str">
            <v>00111151P.2</v>
          </cell>
        </row>
        <row r="8879">
          <cell r="K8879" t="str">
            <v>00111151P.2</v>
          </cell>
        </row>
        <row r="8880">
          <cell r="K8880" t="str">
            <v>00111151P.2</v>
          </cell>
        </row>
        <row r="8881">
          <cell r="K8881" t="str">
            <v>00111151P.2</v>
          </cell>
        </row>
        <row r="8882">
          <cell r="K8882" t="str">
            <v>00111151P.2</v>
          </cell>
        </row>
        <row r="8883">
          <cell r="K8883" t="str">
            <v>00111151P.2</v>
          </cell>
        </row>
        <row r="8884">
          <cell r="K8884" t="str">
            <v>00111151P.2</v>
          </cell>
        </row>
        <row r="8885">
          <cell r="K8885" t="str">
            <v>00111151P.2</v>
          </cell>
        </row>
        <row r="8886">
          <cell r="K8886" t="str">
            <v>00111151P.2</v>
          </cell>
        </row>
        <row r="8887">
          <cell r="K8887" t="str">
            <v>00111151P.2</v>
          </cell>
        </row>
        <row r="8888">
          <cell r="K8888" t="str">
            <v>00111151P.2</v>
          </cell>
        </row>
        <row r="8889">
          <cell r="K8889" t="str">
            <v>00111151P.2</v>
          </cell>
        </row>
        <row r="8890">
          <cell r="K8890" t="str">
            <v>00111151P.2</v>
          </cell>
        </row>
        <row r="8891">
          <cell r="K8891" t="str">
            <v>00111151P.2</v>
          </cell>
        </row>
        <row r="8892">
          <cell r="K8892" t="str">
            <v>00111151P.2</v>
          </cell>
        </row>
        <row r="8893">
          <cell r="K8893" t="str">
            <v>00111151P.2</v>
          </cell>
        </row>
        <row r="8894">
          <cell r="K8894" t="str">
            <v>00111154P.2</v>
          </cell>
        </row>
        <row r="8895">
          <cell r="K8895" t="str">
            <v>00111154P.2</v>
          </cell>
        </row>
        <row r="8896">
          <cell r="K8896" t="str">
            <v>00111154P.2</v>
          </cell>
        </row>
        <row r="8897">
          <cell r="K8897" t="str">
            <v>00111154P.2</v>
          </cell>
        </row>
        <row r="8898">
          <cell r="K8898" t="str">
            <v>00111154P.2</v>
          </cell>
        </row>
        <row r="8899">
          <cell r="K8899" t="str">
            <v>00111154P.2</v>
          </cell>
        </row>
        <row r="8900">
          <cell r="K8900" t="str">
            <v>00111154P.2</v>
          </cell>
        </row>
        <row r="8901">
          <cell r="K8901" t="str">
            <v>00111154P.2</v>
          </cell>
        </row>
        <row r="8902">
          <cell r="K8902" t="str">
            <v>00111154P.2</v>
          </cell>
        </row>
        <row r="8903">
          <cell r="K8903" t="str">
            <v>00111154P.2</v>
          </cell>
        </row>
        <row r="8904">
          <cell r="K8904" t="str">
            <v>00111154P.2</v>
          </cell>
        </row>
        <row r="8905">
          <cell r="K8905" t="str">
            <v>00111154P.2</v>
          </cell>
        </row>
        <row r="8906">
          <cell r="K8906" t="str">
            <v>00111154P.2</v>
          </cell>
        </row>
        <row r="8907">
          <cell r="K8907" t="str">
            <v>00111156P.2</v>
          </cell>
        </row>
        <row r="8908">
          <cell r="K8908" t="str">
            <v>00111156P.2</v>
          </cell>
        </row>
        <row r="8909">
          <cell r="K8909" t="str">
            <v>00111156P.2</v>
          </cell>
        </row>
        <row r="8910">
          <cell r="K8910" t="str">
            <v>00111156P.2</v>
          </cell>
        </row>
        <row r="8911">
          <cell r="K8911" t="str">
            <v>00111156P.2</v>
          </cell>
        </row>
        <row r="8912">
          <cell r="K8912" t="str">
            <v>00111156P.2</v>
          </cell>
        </row>
        <row r="8913">
          <cell r="K8913" t="str">
            <v>00111156P.2</v>
          </cell>
        </row>
        <row r="8914">
          <cell r="K8914" t="str">
            <v>00111156P.2</v>
          </cell>
        </row>
        <row r="8915">
          <cell r="K8915" t="str">
            <v>00111160P.2</v>
          </cell>
        </row>
        <row r="8916">
          <cell r="K8916" t="str">
            <v>00111160P.2</v>
          </cell>
        </row>
        <row r="8917">
          <cell r="K8917" t="str">
            <v>00111160P.2</v>
          </cell>
        </row>
        <row r="8918">
          <cell r="K8918" t="str">
            <v>00111143P.2</v>
          </cell>
        </row>
        <row r="8919">
          <cell r="K8919" t="str">
            <v>00111143P.2</v>
          </cell>
        </row>
        <row r="8920">
          <cell r="K8920" t="str">
            <v>00111143P.2</v>
          </cell>
        </row>
        <row r="8921">
          <cell r="K8921" t="str">
            <v>00111143P.2</v>
          </cell>
        </row>
        <row r="8922">
          <cell r="K8922" t="str">
            <v>00111143P.2</v>
          </cell>
        </row>
        <row r="8923">
          <cell r="K8923" t="str">
            <v>00111153P.2</v>
          </cell>
        </row>
        <row r="8924">
          <cell r="K8924" t="str">
            <v>00111153P.2</v>
          </cell>
        </row>
        <row r="8925">
          <cell r="K8925" t="str">
            <v>00111153P.2</v>
          </cell>
        </row>
        <row r="8926">
          <cell r="K8926" t="str">
            <v>00111153P.2</v>
          </cell>
        </row>
        <row r="8927">
          <cell r="K8927" t="str">
            <v>00111153P.2</v>
          </cell>
        </row>
        <row r="8928">
          <cell r="K8928" t="str">
            <v>00111153P.2</v>
          </cell>
        </row>
        <row r="8929">
          <cell r="K8929" t="str">
            <v>00111153P.2</v>
          </cell>
        </row>
        <row r="8930">
          <cell r="K8930" t="str">
            <v>00111157P.2</v>
          </cell>
        </row>
        <row r="8931">
          <cell r="K8931" t="str">
            <v>00111156P.2</v>
          </cell>
        </row>
        <row r="8932">
          <cell r="K8932" t="str">
            <v>00111156P.2</v>
          </cell>
        </row>
        <row r="8933">
          <cell r="K8933" t="str">
            <v>00111156P.2</v>
          </cell>
        </row>
        <row r="8934">
          <cell r="K8934" t="str">
            <v>00111156P.2</v>
          </cell>
        </row>
        <row r="8935">
          <cell r="K8935" t="str">
            <v>00111156P.2</v>
          </cell>
        </row>
        <row r="8936">
          <cell r="K8936" t="str">
            <v>00111156P.2</v>
          </cell>
        </row>
        <row r="8937">
          <cell r="K8937" t="str">
            <v>00111156P.2</v>
          </cell>
        </row>
        <row r="8938">
          <cell r="K8938" t="str">
            <v>00111157P.2</v>
          </cell>
        </row>
        <row r="8939">
          <cell r="K8939" t="str">
            <v>00111157P.2</v>
          </cell>
        </row>
        <row r="8940">
          <cell r="K8940" t="str">
            <v>00111157P.2</v>
          </cell>
        </row>
        <row r="8941">
          <cell r="K8941" t="str">
            <v>00111157P.2</v>
          </cell>
        </row>
        <row r="8942">
          <cell r="K8942" t="str">
            <v>00111154P.2</v>
          </cell>
        </row>
        <row r="8943">
          <cell r="K8943" t="str">
            <v>00111154P.2</v>
          </cell>
        </row>
        <row r="8944">
          <cell r="K8944" t="str">
            <v>00111154P.2</v>
          </cell>
        </row>
        <row r="8945">
          <cell r="K8945" t="str">
            <v>00111154P.2</v>
          </cell>
        </row>
        <row r="8946">
          <cell r="K8946" t="str">
            <v>00111154P.2</v>
          </cell>
        </row>
        <row r="8947">
          <cell r="K8947" t="str">
            <v>00111154P.2</v>
          </cell>
        </row>
        <row r="8948">
          <cell r="K8948" t="str">
            <v>00111154P.2</v>
          </cell>
        </row>
        <row r="8949">
          <cell r="K8949" t="str">
            <v>00111154P.2</v>
          </cell>
        </row>
        <row r="8950">
          <cell r="K8950" t="str">
            <v>00111154P.2</v>
          </cell>
        </row>
        <row r="8951">
          <cell r="K8951" t="str">
            <v>00111154P.2</v>
          </cell>
        </row>
        <row r="8952">
          <cell r="K8952" t="str">
            <v>00111154P.2</v>
          </cell>
        </row>
        <row r="8953">
          <cell r="K8953" t="str">
            <v>00111156P.2</v>
          </cell>
        </row>
        <row r="8954">
          <cell r="K8954" t="str">
            <v>00111156P.2</v>
          </cell>
        </row>
        <row r="8955">
          <cell r="K8955" t="str">
            <v>00111156P.2</v>
          </cell>
        </row>
        <row r="8956">
          <cell r="K8956" t="str">
            <v>00111156P.2</v>
          </cell>
        </row>
        <row r="8957">
          <cell r="K8957" t="str">
            <v>00111156P.2</v>
          </cell>
        </row>
        <row r="8958">
          <cell r="K8958" t="str">
            <v>00111156P.2</v>
          </cell>
        </row>
        <row r="8959">
          <cell r="K8959" t="str">
            <v>00111156P.2</v>
          </cell>
        </row>
        <row r="8960">
          <cell r="K8960" t="str">
            <v>00111156P.2</v>
          </cell>
        </row>
        <row r="8961">
          <cell r="K8961" t="str">
            <v>00111156P.2</v>
          </cell>
        </row>
        <row r="8962">
          <cell r="K8962" t="str">
            <v>00111156P.2</v>
          </cell>
        </row>
        <row r="8963">
          <cell r="K8963" t="str">
            <v>00111156P.2</v>
          </cell>
        </row>
        <row r="8964">
          <cell r="K8964" t="str">
            <v>00111156P.2</v>
          </cell>
        </row>
        <row r="8965">
          <cell r="K8965" t="str">
            <v>00111157P.2</v>
          </cell>
        </row>
        <row r="8966">
          <cell r="K8966" t="str">
            <v>00111157P.2</v>
          </cell>
        </row>
        <row r="8967">
          <cell r="K8967" t="str">
            <v>00111157P.2</v>
          </cell>
        </row>
        <row r="8968">
          <cell r="K8968" t="str">
            <v>00111157P.2</v>
          </cell>
        </row>
        <row r="8969">
          <cell r="K8969" t="str">
            <v>00111157P.2</v>
          </cell>
        </row>
        <row r="8970">
          <cell r="K8970" t="str">
            <v>00111157P.2</v>
          </cell>
        </row>
        <row r="8971">
          <cell r="K8971" t="str">
            <v>00111160P.2</v>
          </cell>
        </row>
        <row r="8972">
          <cell r="K8972" t="str">
            <v>00111160P.2</v>
          </cell>
        </row>
        <row r="8973">
          <cell r="K8973" t="str">
            <v>00111118P.2</v>
          </cell>
        </row>
        <row r="8974">
          <cell r="K8974" t="str">
            <v>00111118P.2</v>
          </cell>
        </row>
        <row r="8975">
          <cell r="K8975" t="str">
            <v>00111118P.2</v>
          </cell>
        </row>
        <row r="8976">
          <cell r="K8976" t="str">
            <v>00111118P.2</v>
          </cell>
        </row>
        <row r="8977">
          <cell r="K8977" t="str">
            <v>00111118P.2</v>
          </cell>
        </row>
        <row r="8978">
          <cell r="K8978" t="str">
            <v>00111118P.2</v>
          </cell>
        </row>
        <row r="8979">
          <cell r="K8979" t="str">
            <v>00111157P.2</v>
          </cell>
        </row>
        <row r="8980">
          <cell r="K8980" t="str">
            <v>00111157P.2</v>
          </cell>
        </row>
        <row r="8981">
          <cell r="K8981" t="str">
            <v>00111157P.2</v>
          </cell>
        </row>
        <row r="8982">
          <cell r="K8982" t="str">
            <v>00111157P.2</v>
          </cell>
        </row>
        <row r="8983">
          <cell r="K8983" t="str">
            <v>00111146P.2</v>
          </cell>
        </row>
        <row r="8984">
          <cell r="K8984" t="str">
            <v>00111146P.2</v>
          </cell>
        </row>
        <row r="8985">
          <cell r="K8985" t="str">
            <v>00111146P.2</v>
          </cell>
        </row>
        <row r="8986">
          <cell r="K8986" t="str">
            <v>00111146P.2</v>
          </cell>
        </row>
        <row r="8987">
          <cell r="K8987" t="str">
            <v>00111146P.2</v>
          </cell>
        </row>
        <row r="8988">
          <cell r="K8988" t="str">
            <v>00111146P.2</v>
          </cell>
        </row>
        <row r="8989">
          <cell r="K8989" t="str">
            <v>00111146P.2</v>
          </cell>
        </row>
        <row r="8990">
          <cell r="K8990" t="str">
            <v>00111146P.2</v>
          </cell>
        </row>
        <row r="8991">
          <cell r="K8991" t="str">
            <v>00111146P.2</v>
          </cell>
        </row>
        <row r="8992">
          <cell r="K8992" t="str">
            <v>00111146P.2</v>
          </cell>
        </row>
        <row r="8993">
          <cell r="K8993" t="str">
            <v>00111146P.2</v>
          </cell>
        </row>
        <row r="8994">
          <cell r="K8994" t="str">
            <v>00111146P.2</v>
          </cell>
        </row>
        <row r="8995">
          <cell r="K8995" t="str">
            <v>00111146P.2</v>
          </cell>
        </row>
        <row r="8996">
          <cell r="K8996" t="str">
            <v>00111146P.2</v>
          </cell>
        </row>
        <row r="8997">
          <cell r="K8997" t="str">
            <v>00111140P.2</v>
          </cell>
        </row>
        <row r="8998">
          <cell r="K8998" t="str">
            <v>00111140P.2</v>
          </cell>
        </row>
        <row r="8999">
          <cell r="K8999" t="str">
            <v>00111140P.2</v>
          </cell>
        </row>
        <row r="9000">
          <cell r="K9000" t="str">
            <v>00111140P.2</v>
          </cell>
        </row>
        <row r="9001">
          <cell r="K9001" t="str">
            <v>00111140P.2</v>
          </cell>
        </row>
        <row r="9002">
          <cell r="K9002" t="str">
            <v>00111140P.2</v>
          </cell>
        </row>
        <row r="9003">
          <cell r="K9003" t="str">
            <v>00111140P.2</v>
          </cell>
        </row>
        <row r="9004">
          <cell r="K9004" t="str">
            <v>00111140P.2</v>
          </cell>
        </row>
        <row r="9005">
          <cell r="K9005" t="str">
            <v>00111140P.2</v>
          </cell>
        </row>
        <row r="9006">
          <cell r="K9006" t="str">
            <v>00111140P.2</v>
          </cell>
        </row>
        <row r="9007">
          <cell r="K9007" t="str">
            <v>00111140P.2</v>
          </cell>
        </row>
        <row r="9008">
          <cell r="K9008" t="str">
            <v>00111140P.2</v>
          </cell>
        </row>
        <row r="9009">
          <cell r="K9009" t="str">
            <v>00111140P.2</v>
          </cell>
        </row>
        <row r="9010">
          <cell r="K9010" t="str">
            <v>00111140P.2</v>
          </cell>
        </row>
        <row r="9011">
          <cell r="K9011" t="str">
            <v>00111158P.2</v>
          </cell>
        </row>
        <row r="9012">
          <cell r="K9012" t="str">
            <v>00111158P.2</v>
          </cell>
        </row>
        <row r="9013">
          <cell r="K9013" t="str">
            <v>00111158P.2</v>
          </cell>
        </row>
        <row r="9014">
          <cell r="K9014" t="str">
            <v>00111158P.2</v>
          </cell>
        </row>
        <row r="9015">
          <cell r="K9015" t="str">
            <v>00111158P.2</v>
          </cell>
        </row>
        <row r="9016">
          <cell r="K9016" t="str">
            <v>00111158P.2</v>
          </cell>
        </row>
        <row r="9017">
          <cell r="K9017" t="str">
            <v>00111158P.2</v>
          </cell>
        </row>
        <row r="9018">
          <cell r="K9018" t="str">
            <v>00111158P.2</v>
          </cell>
        </row>
        <row r="9019">
          <cell r="K9019" t="str">
            <v>00111158P.2</v>
          </cell>
        </row>
        <row r="9020">
          <cell r="K9020" t="str">
            <v>00111158P.2</v>
          </cell>
        </row>
        <row r="9021">
          <cell r="K9021" t="str">
            <v>00111110P.2</v>
          </cell>
        </row>
        <row r="9022">
          <cell r="K9022" t="str">
            <v>00111110P.2</v>
          </cell>
        </row>
        <row r="9023">
          <cell r="K9023" t="str">
            <v>00111110P.2</v>
          </cell>
        </row>
        <row r="9024">
          <cell r="K9024" t="str">
            <v>00111110P.2</v>
          </cell>
        </row>
        <row r="9025">
          <cell r="K9025" t="str">
            <v>00111110P.2</v>
          </cell>
        </row>
        <row r="9026">
          <cell r="K9026" t="str">
            <v>00111110P.2</v>
          </cell>
        </row>
        <row r="9027">
          <cell r="K9027" t="str">
            <v>00111110P.2</v>
          </cell>
        </row>
        <row r="9028">
          <cell r="K9028" t="str">
            <v>00111110P.2</v>
          </cell>
        </row>
        <row r="9029">
          <cell r="K9029" t="str">
            <v>00111110P.2</v>
          </cell>
        </row>
        <row r="9030">
          <cell r="K9030" t="str">
            <v>00111110P.2</v>
          </cell>
        </row>
        <row r="9031">
          <cell r="K9031" t="str">
            <v>00111110P.2</v>
          </cell>
        </row>
        <row r="9032">
          <cell r="K9032" t="str">
            <v>00111110P.2</v>
          </cell>
        </row>
        <row r="9033">
          <cell r="K9033" t="str">
            <v>00111110P.2</v>
          </cell>
        </row>
        <row r="9034">
          <cell r="K9034" t="str">
            <v>00111110P.2</v>
          </cell>
        </row>
        <row r="9035">
          <cell r="K9035" t="str">
            <v>00111110P.2</v>
          </cell>
        </row>
        <row r="9036">
          <cell r="K9036" t="str">
            <v>00111110P.2</v>
          </cell>
        </row>
        <row r="9037">
          <cell r="K9037" t="str">
            <v>00111110P.2</v>
          </cell>
        </row>
        <row r="9038">
          <cell r="K9038" t="str">
            <v>00111110P.2</v>
          </cell>
        </row>
        <row r="9039">
          <cell r="K9039" t="str">
            <v>00111112P.2</v>
          </cell>
        </row>
        <row r="9040">
          <cell r="K9040" t="str">
            <v>00111112P.2</v>
          </cell>
        </row>
        <row r="9041">
          <cell r="K9041" t="str">
            <v>00111112P.2</v>
          </cell>
        </row>
        <row r="9042">
          <cell r="K9042" t="str">
            <v>00111112P.2</v>
          </cell>
        </row>
        <row r="9043">
          <cell r="K9043" t="str">
            <v>00111112P.2</v>
          </cell>
        </row>
        <row r="9044">
          <cell r="K9044" t="str">
            <v>00111112P.2</v>
          </cell>
        </row>
        <row r="9045">
          <cell r="K9045" t="str">
            <v>00111112P.2</v>
          </cell>
        </row>
        <row r="9046">
          <cell r="K9046" t="str">
            <v>00111112P.2</v>
          </cell>
        </row>
        <row r="9047">
          <cell r="K9047" t="str">
            <v>00111112P.2</v>
          </cell>
        </row>
        <row r="9048">
          <cell r="K9048" t="str">
            <v>00111112P.2</v>
          </cell>
        </row>
        <row r="9049">
          <cell r="K9049" t="str">
            <v>00111112P.2</v>
          </cell>
        </row>
        <row r="9050">
          <cell r="K9050" t="str">
            <v>00111112P.2</v>
          </cell>
        </row>
        <row r="9051">
          <cell r="K9051" t="str">
            <v>00111112P.2</v>
          </cell>
        </row>
        <row r="9052">
          <cell r="K9052" t="str">
            <v>00111112P.2</v>
          </cell>
        </row>
        <row r="9053">
          <cell r="K9053" t="str">
            <v>00111113P.2</v>
          </cell>
        </row>
        <row r="9054">
          <cell r="K9054" t="str">
            <v>00111113P.2</v>
          </cell>
        </row>
        <row r="9055">
          <cell r="K9055" t="str">
            <v>00111113P.2</v>
          </cell>
        </row>
        <row r="9056">
          <cell r="K9056" t="str">
            <v>00111113P.2</v>
          </cell>
        </row>
        <row r="9057">
          <cell r="K9057" t="str">
            <v>00111113P.2</v>
          </cell>
        </row>
        <row r="9058">
          <cell r="K9058" t="str">
            <v>00111113P.2</v>
          </cell>
        </row>
        <row r="9059">
          <cell r="K9059" t="str">
            <v>00111113P.2</v>
          </cell>
        </row>
        <row r="9060">
          <cell r="K9060" t="str">
            <v>00111113P.2</v>
          </cell>
        </row>
        <row r="9061">
          <cell r="K9061" t="str">
            <v>00111113P.2</v>
          </cell>
        </row>
        <row r="9062">
          <cell r="K9062" t="str">
            <v>00111113P.2</v>
          </cell>
        </row>
        <row r="9063">
          <cell r="K9063" t="str">
            <v>00111113P.2</v>
          </cell>
        </row>
        <row r="9064">
          <cell r="K9064" t="str">
            <v>00111113P.2</v>
          </cell>
        </row>
        <row r="9065">
          <cell r="K9065" t="str">
            <v>00111113P.2</v>
          </cell>
        </row>
        <row r="9066">
          <cell r="K9066" t="str">
            <v>00111113P.2</v>
          </cell>
        </row>
        <row r="9067">
          <cell r="K9067" t="str">
            <v>00111113P.2</v>
          </cell>
        </row>
        <row r="9068">
          <cell r="K9068" t="str">
            <v>00111113P.2</v>
          </cell>
        </row>
        <row r="9069">
          <cell r="K9069" t="str">
            <v>00111113P.2</v>
          </cell>
        </row>
        <row r="9070">
          <cell r="K9070" t="str">
            <v>00111113P.2</v>
          </cell>
        </row>
        <row r="9071">
          <cell r="K9071" t="str">
            <v>00111114P.2</v>
          </cell>
        </row>
        <row r="9072">
          <cell r="K9072" t="str">
            <v>00111114P.2</v>
          </cell>
        </row>
        <row r="9073">
          <cell r="K9073" t="str">
            <v>00111114P.2</v>
          </cell>
        </row>
        <row r="9074">
          <cell r="K9074" t="str">
            <v>00111114P.2</v>
          </cell>
        </row>
        <row r="9075">
          <cell r="K9075" t="str">
            <v>00111115P.2</v>
          </cell>
        </row>
        <row r="9076">
          <cell r="K9076" t="str">
            <v>00111115P.2</v>
          </cell>
        </row>
        <row r="9077">
          <cell r="K9077" t="str">
            <v>00111115P.2</v>
          </cell>
        </row>
        <row r="9078">
          <cell r="K9078" t="str">
            <v>00111115P.2</v>
          </cell>
        </row>
        <row r="9079">
          <cell r="K9079" t="str">
            <v>00111115P.2</v>
          </cell>
        </row>
        <row r="9080">
          <cell r="K9080" t="str">
            <v>00111115P.2</v>
          </cell>
        </row>
        <row r="9081">
          <cell r="K9081" t="str">
            <v>00111116P.2</v>
          </cell>
        </row>
        <row r="9082">
          <cell r="K9082" t="str">
            <v>00111116P.2</v>
          </cell>
        </row>
        <row r="9083">
          <cell r="K9083" t="str">
            <v>00111116P.2</v>
          </cell>
        </row>
        <row r="9084">
          <cell r="K9084" t="str">
            <v>00111116P.2</v>
          </cell>
        </row>
        <row r="9085">
          <cell r="K9085" t="str">
            <v>00111116P.2</v>
          </cell>
        </row>
        <row r="9086">
          <cell r="K9086" t="str">
            <v>00111116P.2</v>
          </cell>
        </row>
        <row r="9087">
          <cell r="K9087" t="str">
            <v>00111116P.2</v>
          </cell>
        </row>
        <row r="9088">
          <cell r="K9088" t="str">
            <v>00111116P.2</v>
          </cell>
        </row>
        <row r="9089">
          <cell r="K9089" t="str">
            <v>00111116P.2</v>
          </cell>
        </row>
        <row r="9090">
          <cell r="K9090" t="str">
            <v>00111116P.2</v>
          </cell>
        </row>
        <row r="9091">
          <cell r="K9091" t="str">
            <v>00111117P.2</v>
          </cell>
        </row>
        <row r="9092">
          <cell r="K9092" t="str">
            <v>00111117P.2</v>
          </cell>
        </row>
        <row r="9093">
          <cell r="K9093" t="str">
            <v>00111117P.2</v>
          </cell>
        </row>
        <row r="9094">
          <cell r="K9094" t="str">
            <v>00111117P.2</v>
          </cell>
        </row>
        <row r="9095">
          <cell r="K9095" t="str">
            <v>00111117P.2</v>
          </cell>
        </row>
        <row r="9096">
          <cell r="K9096" t="str">
            <v>00111117P.2</v>
          </cell>
        </row>
        <row r="9097">
          <cell r="K9097" t="str">
            <v>00111117P.2</v>
          </cell>
        </row>
        <row r="9098">
          <cell r="K9098" t="str">
            <v>00111117P.2</v>
          </cell>
        </row>
        <row r="9099">
          <cell r="K9099" t="str">
            <v>00111117P.2</v>
          </cell>
        </row>
        <row r="9100">
          <cell r="K9100" t="str">
            <v>00111117P.2</v>
          </cell>
        </row>
        <row r="9101">
          <cell r="K9101" t="str">
            <v>00111117P.2</v>
          </cell>
        </row>
        <row r="9102">
          <cell r="K9102" t="str">
            <v>00111117P.2</v>
          </cell>
        </row>
        <row r="9103">
          <cell r="K9103" t="str">
            <v>00111117P.2</v>
          </cell>
        </row>
        <row r="9104">
          <cell r="K9104" t="str">
            <v>00111117P.2</v>
          </cell>
        </row>
        <row r="9105">
          <cell r="K9105" t="str">
            <v>00111118P.2</v>
          </cell>
        </row>
        <row r="9106">
          <cell r="K9106" t="str">
            <v>00111118P.2</v>
          </cell>
        </row>
        <row r="9107">
          <cell r="K9107" t="str">
            <v>00111118P.2</v>
          </cell>
        </row>
        <row r="9108">
          <cell r="K9108" t="str">
            <v>00111118P.2</v>
          </cell>
        </row>
        <row r="9109">
          <cell r="K9109" t="str">
            <v>00111118P.2</v>
          </cell>
        </row>
        <row r="9110">
          <cell r="K9110" t="str">
            <v>00111118P.2</v>
          </cell>
        </row>
        <row r="9111">
          <cell r="K9111" t="str">
            <v>00111118P.2</v>
          </cell>
        </row>
        <row r="9112">
          <cell r="K9112" t="str">
            <v>00111118P.2</v>
          </cell>
        </row>
        <row r="9113">
          <cell r="K9113" t="str">
            <v>00111118P.2</v>
          </cell>
        </row>
        <row r="9114">
          <cell r="K9114" t="str">
            <v>00111118P.2</v>
          </cell>
        </row>
        <row r="9115">
          <cell r="K9115" t="str">
            <v>00111120P.2</v>
          </cell>
        </row>
        <row r="9116">
          <cell r="K9116" t="str">
            <v>00111120P.2</v>
          </cell>
        </row>
        <row r="9117">
          <cell r="K9117" t="str">
            <v>00111120P.2</v>
          </cell>
        </row>
        <row r="9118">
          <cell r="K9118" t="str">
            <v>00111120P.2</v>
          </cell>
        </row>
        <row r="9119">
          <cell r="K9119" t="str">
            <v>00111120P.2</v>
          </cell>
        </row>
        <row r="9120">
          <cell r="K9120" t="str">
            <v>00111120P.2</v>
          </cell>
        </row>
        <row r="9121">
          <cell r="K9121" t="str">
            <v>00111120P.2</v>
          </cell>
        </row>
        <row r="9122">
          <cell r="K9122" t="str">
            <v>00111121P.2</v>
          </cell>
        </row>
        <row r="9123">
          <cell r="K9123" t="str">
            <v>00111121P.2</v>
          </cell>
        </row>
        <row r="9124">
          <cell r="K9124" t="str">
            <v>00111121P.2</v>
          </cell>
        </row>
        <row r="9125">
          <cell r="K9125" t="str">
            <v>00111121P.2</v>
          </cell>
        </row>
        <row r="9126">
          <cell r="K9126" t="str">
            <v>00111121P.2</v>
          </cell>
        </row>
        <row r="9127">
          <cell r="K9127" t="str">
            <v>00111121P.2</v>
          </cell>
        </row>
        <row r="9128">
          <cell r="K9128" t="str">
            <v>00111121P.2</v>
          </cell>
        </row>
        <row r="9129">
          <cell r="K9129" t="str">
            <v>00111121P.2</v>
          </cell>
        </row>
        <row r="9130">
          <cell r="K9130" t="str">
            <v>00111122P.2</v>
          </cell>
        </row>
        <row r="9131">
          <cell r="K9131" t="str">
            <v>00111122P.2</v>
          </cell>
        </row>
        <row r="9132">
          <cell r="K9132" t="str">
            <v>00111122P.2</v>
          </cell>
        </row>
        <row r="9133">
          <cell r="K9133" t="str">
            <v>00111122P.2</v>
          </cell>
        </row>
        <row r="9134">
          <cell r="K9134" t="str">
            <v>00111122P.2</v>
          </cell>
        </row>
        <row r="9135">
          <cell r="K9135" t="str">
            <v>00111122P.2</v>
          </cell>
        </row>
        <row r="9136">
          <cell r="K9136" t="str">
            <v>00111122P.2</v>
          </cell>
        </row>
        <row r="9137">
          <cell r="K9137" t="str">
            <v>00111123P.2</v>
          </cell>
        </row>
        <row r="9138">
          <cell r="K9138" t="str">
            <v>00111123P.2</v>
          </cell>
        </row>
        <row r="9139">
          <cell r="K9139" t="str">
            <v>00111123P.2</v>
          </cell>
        </row>
        <row r="9140">
          <cell r="K9140" t="str">
            <v>00111123P.2</v>
          </cell>
        </row>
        <row r="9141">
          <cell r="K9141" t="str">
            <v>00111123P.2</v>
          </cell>
        </row>
        <row r="9142">
          <cell r="K9142" t="str">
            <v>00111123P.2</v>
          </cell>
        </row>
        <row r="9143">
          <cell r="K9143" t="str">
            <v>00111123P.2</v>
          </cell>
        </row>
        <row r="9144">
          <cell r="K9144" t="str">
            <v>00111123P.2</v>
          </cell>
        </row>
        <row r="9145">
          <cell r="K9145" t="str">
            <v>00111123P.2</v>
          </cell>
        </row>
        <row r="9146">
          <cell r="K9146" t="str">
            <v>00111123P.2</v>
          </cell>
        </row>
        <row r="9147">
          <cell r="K9147" t="str">
            <v>00111123P.2</v>
          </cell>
        </row>
        <row r="9148">
          <cell r="K9148" t="str">
            <v>00111123P.2</v>
          </cell>
        </row>
        <row r="9149">
          <cell r="K9149" t="str">
            <v>00111123P.2</v>
          </cell>
        </row>
        <row r="9150">
          <cell r="K9150" t="str">
            <v>00111123P.2</v>
          </cell>
        </row>
        <row r="9151">
          <cell r="K9151" t="str">
            <v>00111123P.2</v>
          </cell>
        </row>
        <row r="9152">
          <cell r="K9152" t="str">
            <v>00111123P.2</v>
          </cell>
        </row>
        <row r="9153">
          <cell r="K9153" t="str">
            <v>00111124P.2</v>
          </cell>
        </row>
        <row r="9154">
          <cell r="K9154" t="str">
            <v>00111124P.2</v>
          </cell>
        </row>
        <row r="9155">
          <cell r="K9155" t="str">
            <v>00111124P.2</v>
          </cell>
        </row>
        <row r="9156">
          <cell r="K9156" t="str">
            <v>00111124P.2</v>
          </cell>
        </row>
        <row r="9157">
          <cell r="K9157" t="str">
            <v>00111124P.2</v>
          </cell>
        </row>
        <row r="9158">
          <cell r="K9158" t="str">
            <v>00111124P.2</v>
          </cell>
        </row>
        <row r="9159">
          <cell r="K9159" t="str">
            <v>00111124P.2</v>
          </cell>
        </row>
        <row r="9160">
          <cell r="K9160" t="str">
            <v>00111124P.2</v>
          </cell>
        </row>
        <row r="9161">
          <cell r="K9161" t="str">
            <v>00111124P.2</v>
          </cell>
        </row>
        <row r="9162">
          <cell r="K9162" t="str">
            <v>00111124P.2</v>
          </cell>
        </row>
        <row r="9163">
          <cell r="K9163" t="str">
            <v>00111125P.2</v>
          </cell>
        </row>
        <row r="9164">
          <cell r="K9164" t="str">
            <v>00111125P.2</v>
          </cell>
        </row>
        <row r="9165">
          <cell r="K9165" t="str">
            <v>00111125P.2</v>
          </cell>
        </row>
        <row r="9166">
          <cell r="K9166" t="str">
            <v>00111125P.2</v>
          </cell>
        </row>
        <row r="9167">
          <cell r="K9167" t="str">
            <v>00111125P.2</v>
          </cell>
        </row>
        <row r="9168">
          <cell r="K9168" t="str">
            <v>00111125P.2</v>
          </cell>
        </row>
        <row r="9169">
          <cell r="K9169" t="str">
            <v>00111125P.2</v>
          </cell>
        </row>
        <row r="9170">
          <cell r="K9170" t="str">
            <v>00111125P.2</v>
          </cell>
        </row>
        <row r="9171">
          <cell r="K9171" t="str">
            <v>00111125P.2</v>
          </cell>
        </row>
        <row r="9172">
          <cell r="K9172" t="str">
            <v>00111125P.2</v>
          </cell>
        </row>
        <row r="9173">
          <cell r="K9173" t="str">
            <v>00111126P.2</v>
          </cell>
        </row>
        <row r="9174">
          <cell r="K9174" t="str">
            <v>00111126P.2</v>
          </cell>
        </row>
        <row r="9175">
          <cell r="K9175" t="str">
            <v>00111126P.2</v>
          </cell>
        </row>
        <row r="9176">
          <cell r="K9176" t="str">
            <v>00111126P.2</v>
          </cell>
        </row>
        <row r="9177">
          <cell r="K9177" t="str">
            <v>00111126P.2</v>
          </cell>
        </row>
        <row r="9178">
          <cell r="K9178" t="str">
            <v>00111126P.2</v>
          </cell>
        </row>
        <row r="9179">
          <cell r="K9179" t="str">
            <v>00111127P.2</v>
          </cell>
        </row>
        <row r="9180">
          <cell r="K9180" t="str">
            <v>00111127P.2</v>
          </cell>
        </row>
        <row r="9181">
          <cell r="K9181" t="str">
            <v>00111127P.2</v>
          </cell>
        </row>
        <row r="9182">
          <cell r="K9182" t="str">
            <v>00111127P.2</v>
          </cell>
        </row>
        <row r="9183">
          <cell r="K9183" t="str">
            <v>00111127P.2</v>
          </cell>
        </row>
        <row r="9184">
          <cell r="K9184" t="str">
            <v>00111128P.2</v>
          </cell>
        </row>
        <row r="9185">
          <cell r="K9185" t="str">
            <v>00111128P.2</v>
          </cell>
        </row>
        <row r="9186">
          <cell r="K9186" t="str">
            <v>00111128P.2</v>
          </cell>
        </row>
        <row r="9187">
          <cell r="K9187" t="str">
            <v>00111128P.2</v>
          </cell>
        </row>
        <row r="9188">
          <cell r="K9188" t="str">
            <v>00111128P.2</v>
          </cell>
        </row>
        <row r="9189">
          <cell r="K9189" t="str">
            <v>00111128P.2</v>
          </cell>
        </row>
        <row r="9190">
          <cell r="K9190" t="str">
            <v>00111128P.2</v>
          </cell>
        </row>
        <row r="9191">
          <cell r="K9191" t="str">
            <v>00111128P.2</v>
          </cell>
        </row>
        <row r="9192">
          <cell r="K9192" t="str">
            <v>00111128P.2</v>
          </cell>
        </row>
        <row r="9193">
          <cell r="K9193" t="str">
            <v>00111128P.2</v>
          </cell>
        </row>
        <row r="9194">
          <cell r="K9194" t="str">
            <v>00111128P.2</v>
          </cell>
        </row>
        <row r="9195">
          <cell r="K9195" t="str">
            <v>00111128P.2</v>
          </cell>
        </row>
        <row r="9196">
          <cell r="K9196" t="str">
            <v>00111128P.2</v>
          </cell>
        </row>
        <row r="9197">
          <cell r="K9197" t="str">
            <v>00111128P.2</v>
          </cell>
        </row>
        <row r="9198">
          <cell r="K9198" t="str">
            <v>00111128P.2</v>
          </cell>
        </row>
        <row r="9199">
          <cell r="K9199" t="str">
            <v>00111128P.2</v>
          </cell>
        </row>
        <row r="9200">
          <cell r="K9200" t="str">
            <v>00111128P.2</v>
          </cell>
        </row>
        <row r="9201">
          <cell r="K9201" t="str">
            <v>00111129P.2</v>
          </cell>
        </row>
        <row r="9202">
          <cell r="K9202" t="str">
            <v>00111129P.2</v>
          </cell>
        </row>
        <row r="9203">
          <cell r="K9203" t="str">
            <v>00111129P.2</v>
          </cell>
        </row>
        <row r="9204">
          <cell r="K9204" t="str">
            <v>00111129P.2</v>
          </cell>
        </row>
        <row r="9205">
          <cell r="K9205" t="str">
            <v>00111129P.2</v>
          </cell>
        </row>
        <row r="9206">
          <cell r="K9206" t="str">
            <v>00111129P.2</v>
          </cell>
        </row>
        <row r="9207">
          <cell r="K9207" t="str">
            <v>00111129P.2</v>
          </cell>
        </row>
        <row r="9208">
          <cell r="K9208" t="str">
            <v>00111129P.2</v>
          </cell>
        </row>
        <row r="9209">
          <cell r="K9209" t="str">
            <v>00111129P.2</v>
          </cell>
        </row>
        <row r="9210">
          <cell r="K9210" t="str">
            <v>00111129P.2</v>
          </cell>
        </row>
        <row r="9211">
          <cell r="K9211" t="str">
            <v>00111129P.2</v>
          </cell>
        </row>
        <row r="9212">
          <cell r="K9212" t="str">
            <v>00111129P.2</v>
          </cell>
        </row>
        <row r="9213">
          <cell r="K9213" t="str">
            <v>00111129P.2</v>
          </cell>
        </row>
        <row r="9214">
          <cell r="K9214" t="str">
            <v>00111129P.2</v>
          </cell>
        </row>
        <row r="9215">
          <cell r="K9215" t="str">
            <v>00111129P.2</v>
          </cell>
        </row>
        <row r="9216">
          <cell r="K9216" t="str">
            <v>00111129P.2</v>
          </cell>
        </row>
        <row r="9217">
          <cell r="K9217" t="str">
            <v>00111129P.2</v>
          </cell>
        </row>
        <row r="9218">
          <cell r="K9218" t="str">
            <v>00111130P.2</v>
          </cell>
        </row>
        <row r="9219">
          <cell r="K9219" t="str">
            <v>00111130P.2</v>
          </cell>
        </row>
        <row r="9220">
          <cell r="K9220" t="str">
            <v>00111130P.2</v>
          </cell>
        </row>
        <row r="9221">
          <cell r="K9221" t="str">
            <v>00111130P.2</v>
          </cell>
        </row>
        <row r="9222">
          <cell r="K9222" t="str">
            <v>00111130P.2</v>
          </cell>
        </row>
        <row r="9223">
          <cell r="K9223" t="str">
            <v>00111130P.2</v>
          </cell>
        </row>
        <row r="9224">
          <cell r="K9224" t="str">
            <v>00111130P.2</v>
          </cell>
        </row>
        <row r="9225">
          <cell r="K9225" t="str">
            <v>00111130P.2</v>
          </cell>
        </row>
        <row r="9226">
          <cell r="K9226" t="str">
            <v>00111130P.2</v>
          </cell>
        </row>
        <row r="9227">
          <cell r="K9227" t="str">
            <v>00111130P.2</v>
          </cell>
        </row>
        <row r="9228">
          <cell r="K9228" t="str">
            <v>00111131P.2</v>
          </cell>
        </row>
        <row r="9229">
          <cell r="K9229" t="str">
            <v>00111131P.2</v>
          </cell>
        </row>
        <row r="9230">
          <cell r="K9230" t="str">
            <v>00111131P.2</v>
          </cell>
        </row>
        <row r="9231">
          <cell r="K9231" t="str">
            <v>00111131P.2</v>
          </cell>
        </row>
        <row r="9232">
          <cell r="K9232" t="str">
            <v>00111131P.2</v>
          </cell>
        </row>
        <row r="9233">
          <cell r="K9233" t="str">
            <v>00111131P.2</v>
          </cell>
        </row>
        <row r="9234">
          <cell r="K9234" t="str">
            <v>00111131P.2</v>
          </cell>
        </row>
        <row r="9235">
          <cell r="K9235" t="str">
            <v>00111131P.2</v>
          </cell>
        </row>
        <row r="9236">
          <cell r="K9236" t="str">
            <v>00111131P.2</v>
          </cell>
        </row>
        <row r="9237">
          <cell r="K9237" t="str">
            <v>00111131P.2</v>
          </cell>
        </row>
        <row r="9238">
          <cell r="K9238" t="str">
            <v>00111131P.2</v>
          </cell>
        </row>
        <row r="9239">
          <cell r="K9239" t="str">
            <v>00111131P.2</v>
          </cell>
        </row>
        <row r="9240">
          <cell r="K9240" t="str">
            <v>00111132P.2</v>
          </cell>
        </row>
        <row r="9241">
          <cell r="K9241" t="str">
            <v>00111132P.2</v>
          </cell>
        </row>
        <row r="9242">
          <cell r="K9242" t="str">
            <v>00111132P.2</v>
          </cell>
        </row>
        <row r="9243">
          <cell r="K9243" t="str">
            <v>00111132P.2</v>
          </cell>
        </row>
        <row r="9244">
          <cell r="K9244" t="str">
            <v>00111132P.2</v>
          </cell>
        </row>
        <row r="9245">
          <cell r="K9245" t="str">
            <v>00111132P.2</v>
          </cell>
        </row>
        <row r="9246">
          <cell r="K9246" t="str">
            <v>00111132P.2</v>
          </cell>
        </row>
        <row r="9247">
          <cell r="K9247" t="str">
            <v>00111132P.2</v>
          </cell>
        </row>
        <row r="9248">
          <cell r="K9248" t="str">
            <v>00111132P.2</v>
          </cell>
        </row>
        <row r="9249">
          <cell r="K9249" t="str">
            <v>00111132P.2</v>
          </cell>
        </row>
        <row r="9250">
          <cell r="K9250" t="str">
            <v>00111132P.2</v>
          </cell>
        </row>
        <row r="9251">
          <cell r="K9251" t="str">
            <v>00111132P.2</v>
          </cell>
        </row>
        <row r="9252">
          <cell r="K9252" t="str">
            <v>00111132P.2</v>
          </cell>
        </row>
        <row r="9253">
          <cell r="K9253" t="str">
            <v>00111132P.2</v>
          </cell>
        </row>
        <row r="9254">
          <cell r="K9254" t="str">
            <v>00111132P.2</v>
          </cell>
        </row>
        <row r="9255">
          <cell r="K9255" t="str">
            <v>00111132P.2</v>
          </cell>
        </row>
        <row r="9256">
          <cell r="K9256" t="str">
            <v>00111132P.2</v>
          </cell>
        </row>
        <row r="9257">
          <cell r="K9257" t="str">
            <v>00111132P.2</v>
          </cell>
        </row>
        <row r="9258">
          <cell r="K9258" t="str">
            <v>00111133P.2</v>
          </cell>
        </row>
        <row r="9259">
          <cell r="K9259" t="str">
            <v>00111133P.2</v>
          </cell>
        </row>
        <row r="9260">
          <cell r="K9260" t="str">
            <v>00111133P.2</v>
          </cell>
        </row>
        <row r="9261">
          <cell r="K9261" t="str">
            <v>00111133P.2</v>
          </cell>
        </row>
        <row r="9262">
          <cell r="K9262" t="str">
            <v>00111133P.2</v>
          </cell>
        </row>
        <row r="9263">
          <cell r="K9263" t="str">
            <v>00111133P.2</v>
          </cell>
        </row>
        <row r="9264">
          <cell r="K9264" t="str">
            <v>00111133P.2</v>
          </cell>
        </row>
        <row r="9265">
          <cell r="K9265" t="str">
            <v>00111133P.2</v>
          </cell>
        </row>
        <row r="9266">
          <cell r="K9266" t="str">
            <v>00111133P.2</v>
          </cell>
        </row>
        <row r="9267">
          <cell r="K9267" t="str">
            <v>00111133P.2</v>
          </cell>
        </row>
        <row r="9268">
          <cell r="K9268" t="str">
            <v>00111133P.2</v>
          </cell>
        </row>
        <row r="9269">
          <cell r="K9269" t="str">
            <v>00111133P.2</v>
          </cell>
        </row>
        <row r="9270">
          <cell r="K9270" t="str">
            <v>00111133P.2</v>
          </cell>
        </row>
        <row r="9271">
          <cell r="K9271" t="str">
            <v>00111133P.2</v>
          </cell>
        </row>
        <row r="9272">
          <cell r="K9272" t="str">
            <v>00111133P.2</v>
          </cell>
        </row>
        <row r="9273">
          <cell r="K9273" t="str">
            <v>00111134P.2</v>
          </cell>
        </row>
        <row r="9274">
          <cell r="K9274" t="str">
            <v>00111134P.2</v>
          </cell>
        </row>
        <row r="9275">
          <cell r="K9275" t="str">
            <v>00111134P.2</v>
          </cell>
        </row>
        <row r="9276">
          <cell r="K9276" t="str">
            <v>00111134P.2</v>
          </cell>
        </row>
        <row r="9277">
          <cell r="K9277" t="str">
            <v>00111134P.2</v>
          </cell>
        </row>
        <row r="9278">
          <cell r="K9278" t="str">
            <v>00111134P.2</v>
          </cell>
        </row>
        <row r="9279">
          <cell r="K9279" t="str">
            <v>00111134P.2</v>
          </cell>
        </row>
        <row r="9280">
          <cell r="K9280" t="str">
            <v>00111134P.2</v>
          </cell>
        </row>
        <row r="9281">
          <cell r="K9281" t="str">
            <v>00111134P.2</v>
          </cell>
        </row>
        <row r="9282">
          <cell r="K9282" t="str">
            <v>00111134P.2</v>
          </cell>
        </row>
        <row r="9283">
          <cell r="K9283" t="str">
            <v>00111135P.2</v>
          </cell>
        </row>
        <row r="9284">
          <cell r="K9284" t="str">
            <v>00111135P.2</v>
          </cell>
        </row>
        <row r="9285">
          <cell r="K9285" t="str">
            <v>00111135P.2</v>
          </cell>
        </row>
        <row r="9286">
          <cell r="K9286" t="str">
            <v>00111135P.2</v>
          </cell>
        </row>
        <row r="9287">
          <cell r="K9287" t="str">
            <v>00111135P.2</v>
          </cell>
        </row>
        <row r="9288">
          <cell r="K9288" t="str">
            <v>00111135P.2</v>
          </cell>
        </row>
        <row r="9289">
          <cell r="K9289" t="str">
            <v>00111135P.2</v>
          </cell>
        </row>
        <row r="9290">
          <cell r="K9290" t="str">
            <v>00111135P.2</v>
          </cell>
        </row>
        <row r="9291">
          <cell r="K9291" t="str">
            <v>00111135P.2</v>
          </cell>
        </row>
        <row r="9292">
          <cell r="K9292" t="str">
            <v>00111135P.2</v>
          </cell>
        </row>
        <row r="9293">
          <cell r="K9293" t="str">
            <v>00111136P.2</v>
          </cell>
        </row>
        <row r="9294">
          <cell r="K9294" t="str">
            <v>00111136P.2</v>
          </cell>
        </row>
        <row r="9295">
          <cell r="K9295" t="str">
            <v>00111136P.2</v>
          </cell>
        </row>
        <row r="9296">
          <cell r="K9296" t="str">
            <v>00111136P.2</v>
          </cell>
        </row>
        <row r="9297">
          <cell r="K9297" t="str">
            <v>00111136P.2</v>
          </cell>
        </row>
        <row r="9298">
          <cell r="K9298" t="str">
            <v>00111136P.2</v>
          </cell>
        </row>
        <row r="9299">
          <cell r="K9299" t="str">
            <v>00111136P.2</v>
          </cell>
        </row>
        <row r="9300">
          <cell r="K9300" t="str">
            <v>00111136P.2</v>
          </cell>
        </row>
        <row r="9301">
          <cell r="K9301" t="str">
            <v>00111136P.2</v>
          </cell>
        </row>
        <row r="9302">
          <cell r="K9302" t="str">
            <v>00111136P.2</v>
          </cell>
        </row>
        <row r="9303">
          <cell r="K9303" t="str">
            <v>00111136P.2</v>
          </cell>
        </row>
        <row r="9304">
          <cell r="K9304" t="str">
            <v>00111136P.2</v>
          </cell>
        </row>
        <row r="9305">
          <cell r="K9305" t="str">
            <v>00111136P.2</v>
          </cell>
        </row>
        <row r="9306">
          <cell r="K9306" t="str">
            <v>00111136P.2</v>
          </cell>
        </row>
        <row r="9307">
          <cell r="K9307" t="str">
            <v>00111136P.2</v>
          </cell>
        </row>
        <row r="9308">
          <cell r="K9308" t="str">
            <v>00111136P.2</v>
          </cell>
        </row>
        <row r="9309">
          <cell r="K9309" t="str">
            <v>00111136P.2</v>
          </cell>
        </row>
        <row r="9310">
          <cell r="K9310" t="str">
            <v>00111136P.2</v>
          </cell>
        </row>
        <row r="9311">
          <cell r="K9311" t="str">
            <v>00111143P.2</v>
          </cell>
        </row>
        <row r="9312">
          <cell r="K9312" t="str">
            <v>00111143P.2</v>
          </cell>
        </row>
        <row r="9313">
          <cell r="K9313" t="str">
            <v>00111143P.2</v>
          </cell>
        </row>
        <row r="9314">
          <cell r="K9314" t="str">
            <v>00111145P.2</v>
          </cell>
        </row>
        <row r="9315">
          <cell r="K9315" t="str">
            <v>00111145P.2</v>
          </cell>
        </row>
        <row r="9316">
          <cell r="K9316" t="str">
            <v>00111145P.2</v>
          </cell>
        </row>
        <row r="9317">
          <cell r="K9317" t="str">
            <v>00111145P.2</v>
          </cell>
        </row>
        <row r="9318">
          <cell r="K9318" t="str">
            <v>00111145P.2</v>
          </cell>
        </row>
        <row r="9319">
          <cell r="K9319" t="str">
            <v>00111145P.2</v>
          </cell>
        </row>
        <row r="9320">
          <cell r="K9320" t="str">
            <v>00111145P.2</v>
          </cell>
        </row>
        <row r="9321">
          <cell r="K9321" t="str">
            <v>00111145P.2</v>
          </cell>
        </row>
        <row r="9322">
          <cell r="K9322" t="str">
            <v>00111145P.2</v>
          </cell>
        </row>
        <row r="9323">
          <cell r="K9323" t="str">
            <v>00111145P.2</v>
          </cell>
        </row>
        <row r="9324">
          <cell r="K9324" t="str">
            <v>00111145P.2</v>
          </cell>
        </row>
        <row r="9325">
          <cell r="K9325" t="str">
            <v>00111145P.2</v>
          </cell>
        </row>
        <row r="9326">
          <cell r="K9326" t="str">
            <v>00111153P.2</v>
          </cell>
        </row>
        <row r="9327">
          <cell r="K9327" t="str">
            <v>00111153P.2</v>
          </cell>
        </row>
        <row r="9328">
          <cell r="K9328" t="str">
            <v>00111153P.2</v>
          </cell>
        </row>
        <row r="9329">
          <cell r="K9329" t="str">
            <v>00111157P.2</v>
          </cell>
        </row>
        <row r="9330">
          <cell r="K9330" t="str">
            <v>00111157P.2</v>
          </cell>
        </row>
        <row r="9331">
          <cell r="K9331" t="str">
            <v>00111157P.2</v>
          </cell>
        </row>
        <row r="9332">
          <cell r="K9332" t="str">
            <v>00111157P.2</v>
          </cell>
        </row>
        <row r="9333">
          <cell r="K9333" t="str">
            <v>00111157P.2</v>
          </cell>
        </row>
        <row r="9334">
          <cell r="K9334" t="str">
            <v>00111157P.2</v>
          </cell>
        </row>
        <row r="9335">
          <cell r="K9335" t="str">
            <v>00111159P.2</v>
          </cell>
        </row>
        <row r="9336">
          <cell r="K9336" t="str">
            <v>00111159P.2</v>
          </cell>
        </row>
        <row r="9337">
          <cell r="K9337" t="str">
            <v>00111159P.2</v>
          </cell>
        </row>
        <row r="9338">
          <cell r="K9338" t="str">
            <v>00111159P.2</v>
          </cell>
        </row>
        <row r="9339">
          <cell r="K9339" t="str">
            <v>00111159P.2</v>
          </cell>
        </row>
        <row r="9340">
          <cell r="K9340" t="str">
            <v>00111159P.2</v>
          </cell>
        </row>
        <row r="9341">
          <cell r="K9341" t="str">
            <v>00111159P.2</v>
          </cell>
        </row>
        <row r="9342">
          <cell r="K9342" t="str">
            <v>00111159P.2</v>
          </cell>
        </row>
        <row r="9343">
          <cell r="K9343" t="str">
            <v>00111159P.2</v>
          </cell>
        </row>
        <row r="9344">
          <cell r="K9344" t="str">
            <v>00111159P.2</v>
          </cell>
        </row>
        <row r="9345">
          <cell r="K9345" t="str">
            <v>00111157P.2</v>
          </cell>
        </row>
        <row r="9346">
          <cell r="K9346" t="str">
            <v>00111157P.2</v>
          </cell>
        </row>
        <row r="9347">
          <cell r="K9347" t="str">
            <v>00111157P.2</v>
          </cell>
        </row>
        <row r="9348">
          <cell r="K9348" t="str">
            <v>00111157P.2</v>
          </cell>
        </row>
        <row r="9349">
          <cell r="K9349" t="str">
            <v>00111157P.2</v>
          </cell>
        </row>
        <row r="9350">
          <cell r="K9350" t="str">
            <v>00111128P.2</v>
          </cell>
        </row>
        <row r="9351">
          <cell r="K9351" t="str">
            <v>00111128P.2</v>
          </cell>
        </row>
        <row r="9352">
          <cell r="K9352" t="str">
            <v>00111128P.2</v>
          </cell>
        </row>
        <row r="9353">
          <cell r="K9353" t="str">
            <v>00111128P.2</v>
          </cell>
        </row>
        <row r="9354">
          <cell r="K9354" t="str">
            <v>00111128P.2</v>
          </cell>
        </row>
        <row r="9355">
          <cell r="K9355" t="str">
            <v>00111128P.2</v>
          </cell>
        </row>
        <row r="9356">
          <cell r="K9356" t="str">
            <v>00111128P.2</v>
          </cell>
        </row>
        <row r="9357">
          <cell r="K9357" t="str">
            <v>00111128P.2</v>
          </cell>
        </row>
        <row r="9358">
          <cell r="K9358" t="str">
            <v>00111128P.2</v>
          </cell>
        </row>
        <row r="9359">
          <cell r="K9359" t="str">
            <v>00111128P.2</v>
          </cell>
        </row>
        <row r="9360">
          <cell r="K9360" t="str">
            <v>00111128P.2</v>
          </cell>
        </row>
        <row r="9361">
          <cell r="K9361" t="str">
            <v>00111128P.2</v>
          </cell>
        </row>
        <row r="9362">
          <cell r="K9362" t="str">
            <v>00111128P.2</v>
          </cell>
        </row>
        <row r="9363">
          <cell r="K9363" t="str">
            <v>00111128P.2</v>
          </cell>
        </row>
        <row r="9364">
          <cell r="K9364" t="str">
            <v>00111128P.2</v>
          </cell>
        </row>
        <row r="9365">
          <cell r="K9365" t="str">
            <v>00111128P.2</v>
          </cell>
        </row>
        <row r="9366">
          <cell r="K9366" t="str">
            <v>00111128P.2</v>
          </cell>
        </row>
        <row r="9367">
          <cell r="K9367" t="str">
            <v>00111128P.2</v>
          </cell>
        </row>
        <row r="9368">
          <cell r="K9368" t="str">
            <v>00111128P.2</v>
          </cell>
        </row>
        <row r="9369">
          <cell r="K9369" t="str">
            <v>00111128P.2</v>
          </cell>
        </row>
        <row r="9370">
          <cell r="K9370" t="str">
            <v>00111128P.2</v>
          </cell>
        </row>
        <row r="9371">
          <cell r="K9371" t="str">
            <v>00111128P.2</v>
          </cell>
        </row>
        <row r="9372">
          <cell r="K9372" t="str">
            <v>00111128P.2</v>
          </cell>
        </row>
        <row r="9373">
          <cell r="K9373" t="str">
            <v>00111128P.2</v>
          </cell>
        </row>
        <row r="9374">
          <cell r="K9374" t="str">
            <v>00111128P.2</v>
          </cell>
        </row>
        <row r="9375">
          <cell r="K9375" t="str">
            <v>00111128P.2</v>
          </cell>
        </row>
        <row r="9376">
          <cell r="K9376" t="str">
            <v>00111128P.2</v>
          </cell>
        </row>
        <row r="9377">
          <cell r="K9377" t="str">
            <v>00111128P.2</v>
          </cell>
        </row>
        <row r="9378">
          <cell r="K9378" t="str">
            <v>00111108P.2</v>
          </cell>
        </row>
        <row r="9379">
          <cell r="K9379" t="str">
            <v>00111112P.2</v>
          </cell>
        </row>
        <row r="9380">
          <cell r="K9380" t="str">
            <v>00111113P.2</v>
          </cell>
        </row>
        <row r="9381">
          <cell r="K9381" t="str">
            <v>00111129P.2</v>
          </cell>
        </row>
        <row r="9382">
          <cell r="K9382" t="str">
            <v>00111151P.2</v>
          </cell>
        </row>
        <row r="9383">
          <cell r="K9383" t="str">
            <v>00111130P.2</v>
          </cell>
        </row>
        <row r="9384">
          <cell r="K9384" t="str">
            <v>00111130P.2</v>
          </cell>
        </row>
        <row r="9385">
          <cell r="K9385" t="str">
            <v>00111130P.2</v>
          </cell>
        </row>
        <row r="9386">
          <cell r="K9386" t="str">
            <v>00111131P.2</v>
          </cell>
        </row>
        <row r="9387">
          <cell r="K9387" t="str">
            <v>00111159P.2</v>
          </cell>
        </row>
        <row r="9388">
          <cell r="K9388" t="str">
            <v>00111159P.2</v>
          </cell>
        </row>
        <row r="9389">
          <cell r="K9389" t="str">
            <v>00111159P.2</v>
          </cell>
        </row>
        <row r="9390">
          <cell r="K9390" t="str">
            <v>00111125P.2</v>
          </cell>
        </row>
        <row r="9391">
          <cell r="K9391" t="str">
            <v>00111125P.2</v>
          </cell>
        </row>
        <row r="9392">
          <cell r="K9392" t="str">
            <v>00111125P.2</v>
          </cell>
        </row>
        <row r="9393">
          <cell r="K9393" t="str">
            <v>00111125P.2</v>
          </cell>
        </row>
        <row r="9394">
          <cell r="K9394" t="str">
            <v>00111125P.2</v>
          </cell>
        </row>
        <row r="9395">
          <cell r="K9395" t="str">
            <v>00111125P.2</v>
          </cell>
        </row>
        <row r="9396">
          <cell r="K9396" t="str">
            <v>00111125P.2</v>
          </cell>
        </row>
        <row r="9397">
          <cell r="K9397" t="str">
            <v>00111125P.2</v>
          </cell>
        </row>
        <row r="9398">
          <cell r="K9398" t="str">
            <v>00111125P.2</v>
          </cell>
        </row>
        <row r="9399">
          <cell r="K9399" t="str">
            <v>00111125P.2</v>
          </cell>
        </row>
        <row r="9400">
          <cell r="K9400" t="str">
            <v>00111125P.2</v>
          </cell>
        </row>
        <row r="9401">
          <cell r="K9401" t="str">
            <v>00111125P.2</v>
          </cell>
        </row>
        <row r="9402">
          <cell r="K9402" t="str">
            <v>00111125P.2</v>
          </cell>
        </row>
        <row r="9403">
          <cell r="K9403" t="str">
            <v>00111129P.2</v>
          </cell>
        </row>
        <row r="9404">
          <cell r="K9404" t="str">
            <v>00111119P.2</v>
          </cell>
        </row>
        <row r="9405">
          <cell r="K9405" t="str">
            <v>00111119P.2</v>
          </cell>
        </row>
        <row r="9406">
          <cell r="K9406" t="str">
            <v>00111125P.2</v>
          </cell>
        </row>
        <row r="9407">
          <cell r="K9407" t="str">
            <v>00111125P.2</v>
          </cell>
        </row>
        <row r="9408">
          <cell r="K9408" t="str">
            <v>00111101P.2</v>
          </cell>
        </row>
        <row r="9409">
          <cell r="K9409" t="str">
            <v>00111101P.2</v>
          </cell>
        </row>
        <row r="9410">
          <cell r="K9410" t="str">
            <v>00111101P.2</v>
          </cell>
        </row>
        <row r="9411">
          <cell r="K9411" t="str">
            <v>00111148P.2</v>
          </cell>
        </row>
        <row r="9412">
          <cell r="K9412" t="str">
            <v>00111150P.2</v>
          </cell>
        </row>
        <row r="9413">
          <cell r="K9413" t="str">
            <v>00111150P.2</v>
          </cell>
        </row>
        <row r="9414">
          <cell r="K9414" t="str">
            <v>00111150P.2</v>
          </cell>
        </row>
        <row r="9415">
          <cell r="K9415" t="str">
            <v>00111150P.2</v>
          </cell>
        </row>
        <row r="9416">
          <cell r="K9416" t="str">
            <v>00111148P.2</v>
          </cell>
        </row>
        <row r="9417">
          <cell r="K9417" t="str">
            <v>00111150P.2</v>
          </cell>
        </row>
        <row r="9418">
          <cell r="K9418" t="str">
            <v>00111150P.2</v>
          </cell>
        </row>
        <row r="9419">
          <cell r="K9419" t="str">
            <v>00111150P.2</v>
          </cell>
        </row>
        <row r="9420">
          <cell r="K9420" t="str">
            <v>00111150P.2</v>
          </cell>
        </row>
        <row r="9421">
          <cell r="K9421" t="str">
            <v>00111153P.2</v>
          </cell>
        </row>
        <row r="9422">
          <cell r="K9422" t="str">
            <v>00111136P.2</v>
          </cell>
        </row>
        <row r="9423">
          <cell r="K9423" t="str">
            <v>00111135P.2</v>
          </cell>
        </row>
        <row r="9424">
          <cell r="K9424" t="str">
            <v>00111134P.2</v>
          </cell>
        </row>
        <row r="9425">
          <cell r="K9425" t="str">
            <v>00111134P.2</v>
          </cell>
        </row>
        <row r="9426">
          <cell r="K9426" t="str">
            <v>00111159P.2</v>
          </cell>
        </row>
        <row r="9427">
          <cell r="K9427" t="str">
            <v>00111159P.2</v>
          </cell>
        </row>
        <row r="9428">
          <cell r="K9428" t="str">
            <v>00111159P.2</v>
          </cell>
        </row>
        <row r="9429">
          <cell r="K9429" t="str">
            <v>00111114P.2</v>
          </cell>
        </row>
        <row r="9430">
          <cell r="K9430" t="str">
            <v>00111114P.2</v>
          </cell>
        </row>
        <row r="9431">
          <cell r="K9431" t="str">
            <v>00111114P.2</v>
          </cell>
        </row>
        <row r="9432">
          <cell r="K9432" t="str">
            <v>00111114P.2</v>
          </cell>
        </row>
        <row r="9433">
          <cell r="K9433" t="str">
            <v>00111114P.2</v>
          </cell>
        </row>
        <row r="9434">
          <cell r="K9434" t="str">
            <v>00111114P.2</v>
          </cell>
        </row>
        <row r="9435">
          <cell r="K9435" t="str">
            <v>00111114P.2</v>
          </cell>
        </row>
        <row r="9436">
          <cell r="K9436" t="str">
            <v>00111114P.2</v>
          </cell>
        </row>
        <row r="9437">
          <cell r="K9437" t="str">
            <v>00111114P.2</v>
          </cell>
        </row>
        <row r="9438">
          <cell r="K9438" t="str">
            <v>00111113P.2</v>
          </cell>
        </row>
        <row r="9439">
          <cell r="K9439" t="str">
            <v>00111113P.2</v>
          </cell>
        </row>
        <row r="9440">
          <cell r="K9440" t="str">
            <v>00111113P.2</v>
          </cell>
        </row>
        <row r="9441">
          <cell r="K9441" t="str">
            <v>00111113P.2</v>
          </cell>
        </row>
        <row r="9442">
          <cell r="K9442" t="str">
            <v>00111113P.2</v>
          </cell>
        </row>
        <row r="9443">
          <cell r="K9443" t="str">
            <v>00111113P.2</v>
          </cell>
        </row>
        <row r="9444">
          <cell r="K9444" t="str">
            <v>00111113P.2</v>
          </cell>
        </row>
        <row r="9445">
          <cell r="K9445" t="str">
            <v>00111118P.2</v>
          </cell>
        </row>
        <row r="9446">
          <cell r="K9446" t="str">
            <v>00111146P.2</v>
          </cell>
        </row>
        <row r="9447">
          <cell r="K9447" t="str">
            <v>00111146P.2</v>
          </cell>
        </row>
        <row r="9448">
          <cell r="K9448" t="str">
            <v>00111146P.2</v>
          </cell>
        </row>
        <row r="9449">
          <cell r="K9449" t="str">
            <v>00111146P.2</v>
          </cell>
        </row>
        <row r="9450">
          <cell r="K9450" t="str">
            <v>00111146P.2</v>
          </cell>
        </row>
        <row r="9451">
          <cell r="K9451" t="str">
            <v>00111146P.2</v>
          </cell>
        </row>
        <row r="9452">
          <cell r="K9452" t="str">
            <v>00111146P.2</v>
          </cell>
        </row>
        <row r="9453">
          <cell r="K9453" t="str">
            <v>00111146P.2</v>
          </cell>
        </row>
        <row r="9454">
          <cell r="K9454" t="str">
            <v>00111146P.2</v>
          </cell>
        </row>
        <row r="9455">
          <cell r="K9455" t="str">
            <v>00111146P.2</v>
          </cell>
        </row>
        <row r="9456">
          <cell r="K9456" t="str">
            <v>00111146P.2</v>
          </cell>
        </row>
        <row r="9457">
          <cell r="K9457" t="str">
            <v>00111146P.2</v>
          </cell>
        </row>
        <row r="9458">
          <cell r="K9458" t="str">
            <v>00111143P.2</v>
          </cell>
        </row>
        <row r="9459">
          <cell r="K9459" t="str">
            <v>00111143P.2</v>
          </cell>
        </row>
        <row r="9460">
          <cell r="K9460" t="str">
            <v>00111143P.2</v>
          </cell>
        </row>
        <row r="9461">
          <cell r="K9461" t="str">
            <v>00111143P.2</v>
          </cell>
        </row>
        <row r="9462">
          <cell r="K9462" t="str">
            <v>00111143P.2</v>
          </cell>
        </row>
        <row r="9463">
          <cell r="K9463" t="str">
            <v>00111143P.2</v>
          </cell>
        </row>
        <row r="9464">
          <cell r="K9464" t="str">
            <v>00111143P.2</v>
          </cell>
        </row>
        <row r="9465">
          <cell r="K9465" t="str">
            <v>00111143P.2</v>
          </cell>
        </row>
        <row r="9466">
          <cell r="K9466" t="str">
            <v>00111143P.2</v>
          </cell>
        </row>
        <row r="9467">
          <cell r="K9467" t="str">
            <v>00111143P.2</v>
          </cell>
        </row>
        <row r="9468">
          <cell r="K9468" t="str">
            <v>00111143P.2</v>
          </cell>
        </row>
        <row r="9469">
          <cell r="K9469" t="str">
            <v>00111143P.2</v>
          </cell>
        </row>
        <row r="9470">
          <cell r="K9470" t="str">
            <v>00111147P.2</v>
          </cell>
        </row>
        <row r="9471">
          <cell r="K9471" t="str">
            <v>00111146P.2</v>
          </cell>
        </row>
        <row r="9472">
          <cell r="K9472" t="str">
            <v>00111143P.2</v>
          </cell>
        </row>
        <row r="9473">
          <cell r="K9473" t="str">
            <v>00111143P.2</v>
          </cell>
        </row>
        <row r="9474">
          <cell r="K9474" t="str">
            <v>00111143P.2</v>
          </cell>
        </row>
        <row r="9475">
          <cell r="K9475" t="str">
            <v>00111146P.2</v>
          </cell>
        </row>
        <row r="9476">
          <cell r="K9476" t="str">
            <v>00111143P.2</v>
          </cell>
        </row>
        <row r="9477">
          <cell r="K9477" t="str">
            <v>00111143P.2</v>
          </cell>
        </row>
        <row r="9478">
          <cell r="K9478" t="str">
            <v>00111143P.2</v>
          </cell>
        </row>
        <row r="9479">
          <cell r="K9479" t="str">
            <v>00111143P.2</v>
          </cell>
        </row>
        <row r="9480">
          <cell r="K9480" t="str">
            <v>00111149P.2</v>
          </cell>
        </row>
        <row r="9481">
          <cell r="K9481" t="str">
            <v>00111149P.2</v>
          </cell>
        </row>
        <row r="9482">
          <cell r="K9482" t="str">
            <v>00111127P.2</v>
          </cell>
        </row>
        <row r="9483">
          <cell r="K9483" t="str">
            <v>00111108P.2</v>
          </cell>
        </row>
        <row r="9484">
          <cell r="K9484" t="str">
            <v>00111108P.2</v>
          </cell>
        </row>
        <row r="9485">
          <cell r="K9485" t="str">
            <v>00111108P.2</v>
          </cell>
        </row>
        <row r="9486">
          <cell r="K9486" t="str">
            <v>00111108P.2</v>
          </cell>
        </row>
        <row r="9487">
          <cell r="K9487" t="str">
            <v>00111108P.2</v>
          </cell>
        </row>
        <row r="9488">
          <cell r="K9488" t="str">
            <v>00111108P.2</v>
          </cell>
        </row>
        <row r="9489">
          <cell r="K9489" t="str">
            <v>00111108P.2</v>
          </cell>
        </row>
        <row r="9490">
          <cell r="K9490" t="str">
            <v>00111107P.2</v>
          </cell>
        </row>
        <row r="9491">
          <cell r="K9491" t="str">
            <v>00111136P.2</v>
          </cell>
        </row>
        <row r="9492">
          <cell r="K9492" t="str">
            <v>00111136P.2</v>
          </cell>
        </row>
        <row r="9493">
          <cell r="K9493" t="str">
            <v>00111131P.2</v>
          </cell>
        </row>
        <row r="9494">
          <cell r="K9494" t="str">
            <v>00111130P.2</v>
          </cell>
        </row>
        <row r="9495">
          <cell r="K9495" t="str">
            <v>00111127P.2</v>
          </cell>
        </row>
        <row r="9496">
          <cell r="K9496" t="str">
            <v>00111122P.2</v>
          </cell>
        </row>
        <row r="9497">
          <cell r="K9497" t="str">
            <v>00111130P.2</v>
          </cell>
        </row>
        <row r="9498">
          <cell r="K9498" t="str">
            <v>00111115P.2</v>
          </cell>
        </row>
        <row r="9499">
          <cell r="K9499" t="str">
            <v>00111126P.2</v>
          </cell>
        </row>
        <row r="9500">
          <cell r="K9500" t="str">
            <v>00111108P.2</v>
          </cell>
        </row>
        <row r="9501">
          <cell r="K9501" t="str">
            <v>00111128P.2</v>
          </cell>
        </row>
        <row r="9502">
          <cell r="K9502" t="str">
            <v>00111128P.2</v>
          </cell>
        </row>
        <row r="9503">
          <cell r="K9503" t="str">
            <v>00111145P.2</v>
          </cell>
        </row>
        <row r="9504">
          <cell r="K9504" t="str">
            <v>00111145P.2</v>
          </cell>
        </row>
        <row r="9505">
          <cell r="K9505" t="str">
            <v>00111145P.2</v>
          </cell>
        </row>
        <row r="9506">
          <cell r="K9506" t="str">
            <v>00111145P.2</v>
          </cell>
        </row>
        <row r="9507">
          <cell r="K9507" t="str">
            <v>00111145P.2</v>
          </cell>
        </row>
        <row r="9508">
          <cell r="K9508" t="str">
            <v>00111145P.2</v>
          </cell>
        </row>
        <row r="9509">
          <cell r="K9509" t="str">
            <v>00111145P.2</v>
          </cell>
        </row>
        <row r="9510">
          <cell r="K9510" t="str">
            <v>00111145P.2</v>
          </cell>
        </row>
        <row r="9511">
          <cell r="K9511" t="str">
            <v>00111145P.2</v>
          </cell>
        </row>
        <row r="9512">
          <cell r="K9512" t="str">
            <v>00111145P.2</v>
          </cell>
        </row>
        <row r="9513">
          <cell r="K9513" t="str">
            <v>00111145P.2</v>
          </cell>
        </row>
        <row r="9514">
          <cell r="K9514" t="str">
            <v>00111145P.2</v>
          </cell>
        </row>
        <row r="9515">
          <cell r="K9515" t="str">
            <v>00111145P.2</v>
          </cell>
        </row>
        <row r="9516">
          <cell r="K9516" t="str">
            <v>00111145P.2</v>
          </cell>
        </row>
        <row r="9517">
          <cell r="K9517" t="str">
            <v>00111145P.2</v>
          </cell>
        </row>
        <row r="9518">
          <cell r="K9518" t="str">
            <v>00111120P.2</v>
          </cell>
        </row>
        <row r="9519">
          <cell r="K9519" t="str">
            <v>00111122P.2</v>
          </cell>
        </row>
        <row r="9520">
          <cell r="K9520" t="str">
            <v>00111122P.2</v>
          </cell>
        </row>
        <row r="9521">
          <cell r="K9521" t="str">
            <v>00111122P.2</v>
          </cell>
        </row>
        <row r="9522">
          <cell r="K9522" t="str">
            <v>00111121P.2</v>
          </cell>
        </row>
        <row r="9523">
          <cell r="K9523" t="str">
            <v>00111145P.2</v>
          </cell>
        </row>
        <row r="9524">
          <cell r="K9524" t="str">
            <v>00111145P.2</v>
          </cell>
        </row>
        <row r="9525">
          <cell r="K9525" t="str">
            <v>00111145P.2</v>
          </cell>
        </row>
        <row r="9526">
          <cell r="K9526" t="str">
            <v>00111145P.2</v>
          </cell>
        </row>
        <row r="9527">
          <cell r="K9527" t="str">
            <v>00111145P.2</v>
          </cell>
        </row>
        <row r="9528">
          <cell r="K9528" t="str">
            <v>00111122P.2</v>
          </cell>
        </row>
        <row r="9529">
          <cell r="K9529" t="str">
            <v>00111122P.2</v>
          </cell>
        </row>
        <row r="9530">
          <cell r="K9530" t="str">
            <v>00111153P.2</v>
          </cell>
        </row>
        <row r="9531">
          <cell r="K9531" t="str">
            <v>00111153P.2</v>
          </cell>
        </row>
        <row r="9532">
          <cell r="K9532" t="str">
            <v>00111153P.2</v>
          </cell>
        </row>
        <row r="9533">
          <cell r="K9533" t="str">
            <v>00111153P.2</v>
          </cell>
        </row>
        <row r="9534">
          <cell r="K9534" t="str">
            <v>00111153P.2</v>
          </cell>
        </row>
        <row r="9535">
          <cell r="K9535" t="str">
            <v>00111145P.2</v>
          </cell>
        </row>
        <row r="9536">
          <cell r="K9536" t="str">
            <v>00111145P.2</v>
          </cell>
        </row>
        <row r="9537">
          <cell r="K9537" t="str">
            <v>00111145P.2</v>
          </cell>
        </row>
        <row r="9538">
          <cell r="K9538" t="str">
            <v>00111145P.2</v>
          </cell>
        </row>
        <row r="9539">
          <cell r="K9539" t="str">
            <v>00111145P.2</v>
          </cell>
        </row>
        <row r="9540">
          <cell r="K9540" t="str">
            <v>00111145P.2</v>
          </cell>
        </row>
        <row r="9541">
          <cell r="K9541" t="str">
            <v>00111145P.2</v>
          </cell>
        </row>
        <row r="9542">
          <cell r="K9542" t="str">
            <v>00111145P.2</v>
          </cell>
        </row>
        <row r="9543">
          <cell r="K9543" t="str">
            <v>00111145P.2</v>
          </cell>
        </row>
        <row r="9544">
          <cell r="K9544" t="str">
            <v>00111145P.2</v>
          </cell>
        </row>
        <row r="9545">
          <cell r="K9545" t="str">
            <v>00111145P.2</v>
          </cell>
        </row>
        <row r="9546">
          <cell r="K9546" t="str">
            <v>00111145P.2</v>
          </cell>
        </row>
        <row r="9547">
          <cell r="K9547" t="str">
            <v>00111145P.2</v>
          </cell>
        </row>
        <row r="9548">
          <cell r="K9548" t="str">
            <v>00111145P.2</v>
          </cell>
        </row>
        <row r="9549">
          <cell r="K9549" t="str">
            <v>00111145P.2</v>
          </cell>
        </row>
        <row r="9550">
          <cell r="K9550" t="str">
            <v>00111145P.2</v>
          </cell>
        </row>
        <row r="9551">
          <cell r="K9551" t="str">
            <v>00111145P.2</v>
          </cell>
        </row>
        <row r="9552">
          <cell r="K9552" t="str">
            <v>00111145P.2</v>
          </cell>
        </row>
        <row r="9553">
          <cell r="K9553" t="str">
            <v>00111145P.2</v>
          </cell>
        </row>
        <row r="9554">
          <cell r="K9554" t="str">
            <v>00111145P.2</v>
          </cell>
        </row>
        <row r="9555">
          <cell r="K9555" t="str">
            <v>00111145P.2</v>
          </cell>
        </row>
        <row r="9556">
          <cell r="K9556" t="str">
            <v>00111145P.2</v>
          </cell>
        </row>
        <row r="9557">
          <cell r="K9557" t="str">
            <v>00111145P.2</v>
          </cell>
        </row>
        <row r="9558">
          <cell r="K9558" t="str">
            <v>00111145P.2</v>
          </cell>
        </row>
        <row r="9559">
          <cell r="K9559" t="str">
            <v>00111145P.2</v>
          </cell>
        </row>
        <row r="9560">
          <cell r="K9560" t="str">
            <v>00111149P.2</v>
          </cell>
        </row>
        <row r="9561">
          <cell r="K9561" t="str">
            <v>00111149P.2</v>
          </cell>
        </row>
        <row r="9562">
          <cell r="K9562" t="str">
            <v>00111149P.2</v>
          </cell>
        </row>
        <row r="9563">
          <cell r="K9563" t="str">
            <v>00111149P.2</v>
          </cell>
        </row>
        <row r="9564">
          <cell r="K9564" t="str">
            <v>00111149P.2</v>
          </cell>
        </row>
        <row r="9565">
          <cell r="K9565" t="str">
            <v>00111150P.2</v>
          </cell>
        </row>
        <row r="9566">
          <cell r="K9566" t="str">
            <v>00111150P.2</v>
          </cell>
        </row>
        <row r="9567">
          <cell r="K9567" t="str">
            <v>00111150P.2</v>
          </cell>
        </row>
        <row r="9568">
          <cell r="K9568" t="str">
            <v>00111153P.2</v>
          </cell>
        </row>
        <row r="9569">
          <cell r="K9569" t="str">
            <v>00111153P.2</v>
          </cell>
        </row>
        <row r="9570">
          <cell r="K9570" t="str">
            <v>00111153P.2</v>
          </cell>
        </row>
        <row r="9571">
          <cell r="K9571" t="str">
            <v>00111153P.2</v>
          </cell>
        </row>
        <row r="9572">
          <cell r="K9572" t="str">
            <v>00111153P.2</v>
          </cell>
        </row>
        <row r="9573">
          <cell r="K9573" t="str">
            <v>00111153P.2</v>
          </cell>
        </row>
        <row r="9574">
          <cell r="K9574" t="str">
            <v>00111153P.2</v>
          </cell>
        </row>
        <row r="9575">
          <cell r="K9575" t="str">
            <v>00111153P.2</v>
          </cell>
        </row>
        <row r="9576">
          <cell r="K9576" t="str">
            <v>00111153P.2</v>
          </cell>
        </row>
        <row r="9577">
          <cell r="K9577" t="str">
            <v>00111153P.2</v>
          </cell>
        </row>
        <row r="9578">
          <cell r="K9578" t="str">
            <v>00111145P.2</v>
          </cell>
        </row>
        <row r="9579">
          <cell r="K9579" t="str">
            <v>00111145P.2</v>
          </cell>
        </row>
        <row r="9580">
          <cell r="K9580" t="str">
            <v>00111145P.2</v>
          </cell>
        </row>
        <row r="9581">
          <cell r="K9581" t="str">
            <v>00111145P.2</v>
          </cell>
        </row>
        <row r="9582">
          <cell r="K9582" t="str">
            <v>00111145P.2</v>
          </cell>
        </row>
        <row r="9583">
          <cell r="K9583" t="str">
            <v>00111145P.2</v>
          </cell>
        </row>
        <row r="9584">
          <cell r="K9584" t="str">
            <v>00111145P.2</v>
          </cell>
        </row>
        <row r="9585">
          <cell r="K9585" t="str">
            <v>00111145P.2</v>
          </cell>
        </row>
        <row r="9586">
          <cell r="K9586" t="str">
            <v>00111145P.2</v>
          </cell>
        </row>
        <row r="9587">
          <cell r="K9587" t="str">
            <v>00111145P.2</v>
          </cell>
        </row>
        <row r="9588">
          <cell r="K9588" t="str">
            <v>00111145P.2</v>
          </cell>
        </row>
        <row r="9589">
          <cell r="K9589" t="str">
            <v>00111145P.2</v>
          </cell>
        </row>
        <row r="9590">
          <cell r="K9590" t="str">
            <v>00111145P.2</v>
          </cell>
        </row>
        <row r="9591">
          <cell r="K9591" t="str">
            <v>00111145P.2</v>
          </cell>
        </row>
        <row r="9592">
          <cell r="K9592" t="str">
            <v>00111145P.2</v>
          </cell>
        </row>
        <row r="9593">
          <cell r="K9593" t="str">
            <v>00111145P.2</v>
          </cell>
        </row>
        <row r="9594">
          <cell r="K9594" t="str">
            <v>00111145P.2</v>
          </cell>
        </row>
        <row r="9595">
          <cell r="K9595" t="str">
            <v>00111145P.2</v>
          </cell>
        </row>
        <row r="9596">
          <cell r="K9596" t="str">
            <v>00111145P.2</v>
          </cell>
        </row>
        <row r="9597">
          <cell r="K9597" t="str">
            <v>00111145P.2</v>
          </cell>
        </row>
        <row r="9598">
          <cell r="K9598" t="str">
            <v>00111145P.2</v>
          </cell>
        </row>
        <row r="9599">
          <cell r="K9599" t="str">
            <v>00111145P.2</v>
          </cell>
        </row>
        <row r="9600">
          <cell r="K9600" t="str">
            <v>00111145P.2</v>
          </cell>
        </row>
        <row r="9601">
          <cell r="K9601" t="str">
            <v>00111145P.2</v>
          </cell>
        </row>
        <row r="9602">
          <cell r="K9602" t="str">
            <v>00111145P.2</v>
          </cell>
        </row>
        <row r="9603">
          <cell r="K9603" t="str">
            <v>00111145P.2</v>
          </cell>
        </row>
        <row r="9604">
          <cell r="K9604" t="str">
            <v>00111145P.2</v>
          </cell>
        </row>
        <row r="9605">
          <cell r="K9605" t="str">
            <v>00111145P.2</v>
          </cell>
        </row>
        <row r="9606">
          <cell r="K9606" t="str">
            <v>00111145P.2</v>
          </cell>
        </row>
        <row r="9607">
          <cell r="K9607" t="str">
            <v>00111145P.2</v>
          </cell>
        </row>
        <row r="9608">
          <cell r="K9608" t="str">
            <v>00111145P.2</v>
          </cell>
        </row>
        <row r="9609">
          <cell r="K9609" t="str">
            <v>00111145P.2</v>
          </cell>
        </row>
        <row r="9610">
          <cell r="K9610" t="str">
            <v>00111145P.2</v>
          </cell>
        </row>
        <row r="9611">
          <cell r="K9611" t="str">
            <v>00111145P.2</v>
          </cell>
        </row>
        <row r="9612">
          <cell r="K9612" t="str">
            <v>00111145P.2</v>
          </cell>
        </row>
        <row r="9613">
          <cell r="K9613" t="str">
            <v>00111145P.2</v>
          </cell>
        </row>
        <row r="9614">
          <cell r="K9614" t="str">
            <v>00111145P.2</v>
          </cell>
        </row>
        <row r="9615">
          <cell r="K9615" t="str">
            <v>00111145P.2</v>
          </cell>
        </row>
        <row r="9616">
          <cell r="K9616" t="str">
            <v>00111145P.2</v>
          </cell>
        </row>
        <row r="9617">
          <cell r="K9617" t="str">
            <v>00111145P.2</v>
          </cell>
        </row>
        <row r="9618">
          <cell r="K9618" t="str">
            <v>00111149P.2</v>
          </cell>
        </row>
        <row r="9619">
          <cell r="K9619" t="str">
            <v>00111149P.2</v>
          </cell>
        </row>
        <row r="9620">
          <cell r="K9620" t="str">
            <v>00111149P.2</v>
          </cell>
        </row>
        <row r="9621">
          <cell r="K9621" t="str">
            <v>00111149P.2</v>
          </cell>
        </row>
        <row r="9622">
          <cell r="K9622" t="str">
            <v>00111149P.2</v>
          </cell>
        </row>
        <row r="9623">
          <cell r="K9623" t="str">
            <v>00111149P.2</v>
          </cell>
        </row>
        <row r="9624">
          <cell r="K9624" t="str">
            <v>00111149P.2</v>
          </cell>
        </row>
        <row r="9625">
          <cell r="K9625" t="str">
            <v>00111149P.2</v>
          </cell>
        </row>
        <row r="9626">
          <cell r="K9626" t="str">
            <v>00111149P.2</v>
          </cell>
        </row>
        <row r="9627">
          <cell r="K9627" t="str">
            <v>00111149P.2</v>
          </cell>
        </row>
        <row r="9628">
          <cell r="K9628" t="str">
            <v>00111149P.2</v>
          </cell>
        </row>
        <row r="9629">
          <cell r="K9629" t="str">
            <v>00111150P.2</v>
          </cell>
        </row>
        <row r="9630">
          <cell r="K9630" t="str">
            <v>00111150P.2</v>
          </cell>
        </row>
        <row r="9631">
          <cell r="K9631" t="str">
            <v>00111150P.2</v>
          </cell>
        </row>
        <row r="9632">
          <cell r="K9632" t="str">
            <v>00111150P.2</v>
          </cell>
        </row>
        <row r="9633">
          <cell r="K9633" t="str">
            <v>00111150P.2</v>
          </cell>
        </row>
        <row r="9634">
          <cell r="K9634" t="str">
            <v>00111150P.2</v>
          </cell>
        </row>
        <row r="9635">
          <cell r="K9635" t="str">
            <v>00111150P.2</v>
          </cell>
        </row>
        <row r="9636">
          <cell r="K9636" t="str">
            <v>00111150P.2</v>
          </cell>
        </row>
        <row r="9637">
          <cell r="K9637" t="str">
            <v>00111106P.2</v>
          </cell>
        </row>
        <row r="9638">
          <cell r="K9638" t="str">
            <v>00111159P.2</v>
          </cell>
        </row>
        <row r="9639">
          <cell r="K9639" t="str">
            <v>01010043E.122</v>
          </cell>
        </row>
        <row r="9640">
          <cell r="K9640" t="str">
            <v>01010043E.122</v>
          </cell>
        </row>
        <row r="9641">
          <cell r="K9641" t="str">
            <v>01010012E.13</v>
          </cell>
        </row>
        <row r="9642">
          <cell r="K9642" t="str">
            <v>01010019E.13</v>
          </cell>
        </row>
        <row r="9643">
          <cell r="K9643" t="str">
            <v>01010014E.13</v>
          </cell>
        </row>
        <row r="9644">
          <cell r="K9644" t="str">
            <v>01010010E.13</v>
          </cell>
        </row>
        <row r="9645">
          <cell r="K9645" t="str">
            <v>01010018E.111</v>
          </cell>
        </row>
        <row r="9646">
          <cell r="K9646" t="str">
            <v>01010023E.13</v>
          </cell>
        </row>
        <row r="9647">
          <cell r="K9647" t="str">
            <v>01010032E.13</v>
          </cell>
        </row>
        <row r="9648">
          <cell r="K9648" t="str">
            <v>01010030E.13</v>
          </cell>
        </row>
        <row r="9649">
          <cell r="K9649" t="str">
            <v>01010023E.13</v>
          </cell>
        </row>
        <row r="9650">
          <cell r="K9650" t="str">
            <v>01010016E.111</v>
          </cell>
        </row>
        <row r="9651">
          <cell r="K9651" t="str">
            <v>01010025E.111</v>
          </cell>
        </row>
        <row r="9652">
          <cell r="K9652" t="str">
            <v>01010031E.111</v>
          </cell>
        </row>
        <row r="9653">
          <cell r="K9653" t="str">
            <v>01010028E.111</v>
          </cell>
        </row>
        <row r="9654">
          <cell r="K9654" t="str">
            <v>01010024E.111</v>
          </cell>
        </row>
        <row r="9655">
          <cell r="K9655" t="str">
            <v>01010031E.111</v>
          </cell>
        </row>
        <row r="9656">
          <cell r="K9656" t="str">
            <v>01010014E.111</v>
          </cell>
        </row>
        <row r="9657">
          <cell r="K9657" t="str">
            <v>01010022E.111</v>
          </cell>
        </row>
        <row r="9658">
          <cell r="K9658" t="str">
            <v>01010013E.111</v>
          </cell>
        </row>
        <row r="9659">
          <cell r="K9659" t="str">
            <v>01010034E.111</v>
          </cell>
        </row>
        <row r="9660">
          <cell r="K9660" t="str">
            <v>01010016E.111</v>
          </cell>
        </row>
        <row r="9661">
          <cell r="K9661" t="str">
            <v>01010019E.111</v>
          </cell>
        </row>
        <row r="9662">
          <cell r="K9662" t="str">
            <v>01010024E.111</v>
          </cell>
        </row>
        <row r="9663">
          <cell r="K9663" t="str">
            <v>01010026E.111</v>
          </cell>
        </row>
        <row r="9664">
          <cell r="K9664" t="str">
            <v>01010031E.111</v>
          </cell>
        </row>
        <row r="9665">
          <cell r="K9665" t="str">
            <v>01010045E.111</v>
          </cell>
        </row>
        <row r="9666">
          <cell r="K9666" t="str">
            <v>01010058E.111</v>
          </cell>
        </row>
        <row r="9667">
          <cell r="K9667" t="str">
            <v>01010012E.111</v>
          </cell>
        </row>
        <row r="9668">
          <cell r="K9668" t="str">
            <v>01010036E.111</v>
          </cell>
        </row>
        <row r="9669">
          <cell r="K9669" t="str">
            <v>01010049E.111</v>
          </cell>
        </row>
        <row r="9670">
          <cell r="K9670" t="str">
            <v>01010058E.111</v>
          </cell>
        </row>
        <row r="9671">
          <cell r="K9671" t="str">
            <v>01010011E.122</v>
          </cell>
        </row>
        <row r="9672">
          <cell r="K9672" t="str">
            <v>01010023E.122</v>
          </cell>
        </row>
        <row r="9673">
          <cell r="K9673" t="str">
            <v>01010025E.122</v>
          </cell>
        </row>
        <row r="9674">
          <cell r="K9674" t="str">
            <v>01010031E.122</v>
          </cell>
        </row>
        <row r="9675">
          <cell r="K9675" t="str">
            <v>01010043E.122</v>
          </cell>
        </row>
        <row r="9676">
          <cell r="K9676" t="str">
            <v>01010059E.122</v>
          </cell>
        </row>
        <row r="9677">
          <cell r="K9677" t="str">
            <v>01010059E.122</v>
          </cell>
        </row>
        <row r="9678">
          <cell r="K9678" t="str">
            <v>00201104D.111</v>
          </cell>
        </row>
        <row r="9679">
          <cell r="K9679" t="str">
            <v>00201138D.122</v>
          </cell>
        </row>
        <row r="9680">
          <cell r="K9680" t="str">
            <v>00201140D.111</v>
          </cell>
        </row>
        <row r="9681">
          <cell r="K9681" t="str">
            <v>00201102D.112</v>
          </cell>
        </row>
        <row r="9682">
          <cell r="K9682" t="str">
            <v>00201102D.112</v>
          </cell>
        </row>
        <row r="9683">
          <cell r="K9683" t="str">
            <v>00201102D.112</v>
          </cell>
        </row>
        <row r="9684">
          <cell r="K9684" t="str">
            <v>00201102D.112</v>
          </cell>
        </row>
        <row r="9685">
          <cell r="K9685" t="str">
            <v>00201122D.112</v>
          </cell>
        </row>
        <row r="9686">
          <cell r="K9686" t="str">
            <v>00201128D.112</v>
          </cell>
        </row>
        <row r="9687">
          <cell r="K9687" t="str">
            <v>00201110D.121</v>
          </cell>
        </row>
        <row r="9688">
          <cell r="K9688" t="str">
            <v>00201126D.121</v>
          </cell>
        </row>
        <row r="9689">
          <cell r="K9689" t="str">
            <v>00201126D.122</v>
          </cell>
        </row>
        <row r="9690">
          <cell r="K9690" t="str">
            <v>00201149D.121</v>
          </cell>
        </row>
        <row r="9691">
          <cell r="K9691" t="str">
            <v>00201157D.122</v>
          </cell>
        </row>
        <row r="9692">
          <cell r="K9692" t="str">
            <v>00201107D.121</v>
          </cell>
        </row>
        <row r="9693">
          <cell r="K9693" t="str">
            <v>00201160D.121</v>
          </cell>
        </row>
        <row r="9694">
          <cell r="K9694" t="str">
            <v>00201160D.121</v>
          </cell>
        </row>
        <row r="9695">
          <cell r="K9695" t="str">
            <v>00201114D.111</v>
          </cell>
        </row>
        <row r="9696">
          <cell r="K9696" t="str">
            <v>00201133D.121</v>
          </cell>
        </row>
        <row r="9697">
          <cell r="K9697" t="str">
            <v>00201116D.121</v>
          </cell>
        </row>
        <row r="9698">
          <cell r="K9698" t="str">
            <v>00201115D.121</v>
          </cell>
        </row>
        <row r="9699">
          <cell r="K9699" t="str">
            <v>00201112D.121</v>
          </cell>
        </row>
        <row r="9700">
          <cell r="K9700" t="str">
            <v>00201126D.121</v>
          </cell>
        </row>
        <row r="9701">
          <cell r="K9701" t="str">
            <v>00201134D.121</v>
          </cell>
        </row>
        <row r="9702">
          <cell r="K9702" t="str">
            <v>00201130D.121</v>
          </cell>
        </row>
        <row r="9703">
          <cell r="K9703" t="str">
            <v>00201125D.111</v>
          </cell>
        </row>
        <row r="9704">
          <cell r="K9704" t="str">
            <v>00201133D.111</v>
          </cell>
        </row>
        <row r="9705">
          <cell r="K9705" t="str">
            <v>00201136D.121</v>
          </cell>
        </row>
        <row r="9706">
          <cell r="K9706" t="str">
            <v>00201132D.111</v>
          </cell>
        </row>
        <row r="9707">
          <cell r="K9707" t="str">
            <v>00201118D.111</v>
          </cell>
        </row>
        <row r="9708">
          <cell r="K9708" t="str">
            <v>00201134D.121</v>
          </cell>
        </row>
        <row r="9709">
          <cell r="K9709" t="str">
            <v>00201114D.111</v>
          </cell>
        </row>
        <row r="9710">
          <cell r="K9710" t="str">
            <v>00201127D.111</v>
          </cell>
        </row>
        <row r="9711">
          <cell r="K9711" t="str">
            <v>00201113D.111</v>
          </cell>
        </row>
        <row r="9712">
          <cell r="K9712" t="str">
            <v>00201132D.121</v>
          </cell>
        </row>
        <row r="9713">
          <cell r="K9713" t="str">
            <v>00201119D.111</v>
          </cell>
        </row>
        <row r="9714">
          <cell r="K9714" t="str">
            <v>00201118D.111</v>
          </cell>
        </row>
        <row r="9715">
          <cell r="K9715" t="str">
            <v>00201126D.111</v>
          </cell>
        </row>
        <row r="9716">
          <cell r="K9716" t="str">
            <v>00201134D.111</v>
          </cell>
        </row>
        <row r="9717">
          <cell r="K9717" t="str">
            <v>00201113D.121</v>
          </cell>
        </row>
        <row r="9718">
          <cell r="K9718" t="str">
            <v>00201125D.121</v>
          </cell>
        </row>
        <row r="9719">
          <cell r="K9719" t="str">
            <v>00201122D.111</v>
          </cell>
        </row>
        <row r="9720">
          <cell r="K9720" t="str">
            <v>00201132D.111</v>
          </cell>
        </row>
        <row r="9721">
          <cell r="K9721" t="str">
            <v>00201113D.111</v>
          </cell>
        </row>
        <row r="9722">
          <cell r="K9722" t="str">
            <v>00201126D.111</v>
          </cell>
        </row>
        <row r="9723">
          <cell r="K9723" t="str">
            <v>00201151D.111</v>
          </cell>
        </row>
        <row r="9724">
          <cell r="K9724" t="str">
            <v>00201151D.121</v>
          </cell>
        </row>
        <row r="9725">
          <cell r="K9725" t="str">
            <v>00201151D.111</v>
          </cell>
        </row>
        <row r="9726">
          <cell r="K9726" t="str">
            <v>00201108D.121</v>
          </cell>
        </row>
        <row r="9727">
          <cell r="K9727" t="str">
            <v>00201122D.121</v>
          </cell>
        </row>
        <row r="9728">
          <cell r="K9728" t="str">
            <v>00201126D.111</v>
          </cell>
        </row>
        <row r="9729">
          <cell r="K9729" t="str">
            <v>00201133D.121</v>
          </cell>
        </row>
        <row r="9730">
          <cell r="K9730" t="str">
            <v>00201111D.111</v>
          </cell>
        </row>
        <row r="9731">
          <cell r="K9731" t="str">
            <v>00201116D.111</v>
          </cell>
        </row>
        <row r="9732">
          <cell r="K9732" t="str">
            <v>00201128D.111</v>
          </cell>
        </row>
        <row r="9733">
          <cell r="K9733" t="str">
            <v>00201119D.121</v>
          </cell>
        </row>
        <row r="9734">
          <cell r="K9734" t="str">
            <v>00201143D.121</v>
          </cell>
        </row>
        <row r="9735">
          <cell r="K9735" t="str">
            <v>00201150D.121</v>
          </cell>
        </row>
        <row r="9736">
          <cell r="K9736" t="str">
            <v>00201117D.111</v>
          </cell>
        </row>
        <row r="9737">
          <cell r="K9737" t="str">
            <v>00201124D.111</v>
          </cell>
        </row>
        <row r="9738">
          <cell r="K9738" t="str">
            <v>00201136D.111</v>
          </cell>
        </row>
        <row r="9739">
          <cell r="K9739" t="str">
            <v>00201114D.121</v>
          </cell>
        </row>
        <row r="9740">
          <cell r="K9740" t="str">
            <v>00201157D.121</v>
          </cell>
        </row>
        <row r="9741">
          <cell r="K9741" t="str">
            <v>00201131D.111</v>
          </cell>
        </row>
        <row r="9742">
          <cell r="K9742" t="str">
            <v>00201112D.111</v>
          </cell>
        </row>
        <row r="9743">
          <cell r="K9743" t="str">
            <v>00201134D.111</v>
          </cell>
        </row>
        <row r="9744">
          <cell r="K9744" t="str">
            <v>00201153D.111</v>
          </cell>
        </row>
        <row r="9745">
          <cell r="K9745" t="str">
            <v>00201110D.121</v>
          </cell>
        </row>
        <row r="9746">
          <cell r="K9746" t="str">
            <v>00201118D.121</v>
          </cell>
        </row>
        <row r="9747">
          <cell r="K9747" t="str">
            <v>00201126D.121</v>
          </cell>
        </row>
        <row r="9748">
          <cell r="K9748" t="str">
            <v>00201118D.121</v>
          </cell>
        </row>
        <row r="9749">
          <cell r="K9749" t="str">
            <v>00201123D.121</v>
          </cell>
        </row>
        <row r="9750">
          <cell r="K9750" t="str">
            <v>00201128D.121</v>
          </cell>
        </row>
        <row r="9751">
          <cell r="K9751" t="str">
            <v>00201134D.121</v>
          </cell>
        </row>
        <row r="9752">
          <cell r="K9752" t="str">
            <v>00201159D.121</v>
          </cell>
        </row>
        <row r="9753">
          <cell r="K9753" t="str">
            <v>00201110D.111</v>
          </cell>
        </row>
        <row r="9754">
          <cell r="K9754" t="str">
            <v>00201112D.111</v>
          </cell>
        </row>
        <row r="9755">
          <cell r="K9755" t="str">
            <v>00201112D.121</v>
          </cell>
        </row>
        <row r="9756">
          <cell r="K9756" t="str">
            <v>00201131D.111</v>
          </cell>
        </row>
        <row r="9757">
          <cell r="K9757" t="str">
            <v>00201131D.121</v>
          </cell>
        </row>
        <row r="9758">
          <cell r="K9758" t="str">
            <v>00201136D.111</v>
          </cell>
        </row>
        <row r="9759">
          <cell r="K9759" t="str">
            <v>00201136D.122</v>
          </cell>
        </row>
        <row r="9760">
          <cell r="K9760" t="str">
            <v>00201155D.111</v>
          </cell>
        </row>
        <row r="9761">
          <cell r="K9761" t="str">
            <v>00201155D.121</v>
          </cell>
        </row>
        <row r="9762">
          <cell r="K9762" t="str">
            <v>00201158D.121</v>
          </cell>
        </row>
        <row r="9763">
          <cell r="K9763" t="str">
            <v>00201153D.122</v>
          </cell>
        </row>
        <row r="9764">
          <cell r="K9764" t="str">
            <v>00201158D.121</v>
          </cell>
        </row>
        <row r="9765">
          <cell r="K9765" t="str">
            <v>00201145D.111</v>
          </cell>
        </row>
        <row r="9766">
          <cell r="K9766" t="str">
            <v>00201149D.121</v>
          </cell>
        </row>
        <row r="9767">
          <cell r="K9767" t="str">
            <v>00201109D.111</v>
          </cell>
        </row>
        <row r="9768">
          <cell r="K9768" t="str">
            <v>00201126D.111</v>
          </cell>
        </row>
        <row r="9769">
          <cell r="K9769" t="str">
            <v>00201145D.111</v>
          </cell>
        </row>
        <row r="9770">
          <cell r="K9770" t="str">
            <v>00201148D.111</v>
          </cell>
        </row>
        <row r="9771">
          <cell r="K9771" t="str">
            <v>00201113D.121</v>
          </cell>
        </row>
        <row r="9772">
          <cell r="K9772" t="str">
            <v>00201128D.121</v>
          </cell>
        </row>
        <row r="9773">
          <cell r="K9773" t="str">
            <v>00201133D.121</v>
          </cell>
        </row>
        <row r="9774">
          <cell r="K9774" t="str">
            <v>00201140D.121</v>
          </cell>
        </row>
        <row r="9775">
          <cell r="K9775" t="str">
            <v>00201158D.121</v>
          </cell>
        </row>
        <row r="9776">
          <cell r="K9776" t="str">
            <v>00201110D.112</v>
          </cell>
        </row>
        <row r="9777">
          <cell r="K9777" t="str">
            <v>00201151D.111</v>
          </cell>
        </row>
        <row r="9778">
          <cell r="K9778" t="str">
            <v>00201151D.121</v>
          </cell>
        </row>
        <row r="9779">
          <cell r="K9779" t="str">
            <v>00201151D.121</v>
          </cell>
        </row>
        <row r="9780">
          <cell r="K9780" t="str">
            <v>00201143D.111</v>
          </cell>
        </row>
        <row r="9781">
          <cell r="K9781" t="str">
            <v>00201153D.121</v>
          </cell>
        </row>
        <row r="9782">
          <cell r="K9782" t="str">
            <v>00201154D.111</v>
          </cell>
        </row>
        <row r="9783">
          <cell r="K9783" t="str">
            <v>00201156D.121</v>
          </cell>
        </row>
        <row r="9784">
          <cell r="K9784" t="str">
            <v>00201156D.121</v>
          </cell>
        </row>
        <row r="9785">
          <cell r="K9785" t="str">
            <v>00201157D.122</v>
          </cell>
        </row>
        <row r="9786">
          <cell r="K9786" t="str">
            <v>00201103D.112</v>
          </cell>
        </row>
        <row r="9787">
          <cell r="K9787" t="str">
            <v>00201146D.111</v>
          </cell>
        </row>
        <row r="9788">
          <cell r="K9788" t="str">
            <v>00201138D.111</v>
          </cell>
        </row>
        <row r="9789">
          <cell r="K9789" t="str">
            <v>00201102D.121</v>
          </cell>
        </row>
        <row r="9790">
          <cell r="K9790" t="str">
            <v>00201114D.111</v>
          </cell>
        </row>
        <row r="9791">
          <cell r="K9791" t="str">
            <v>00201116D.111</v>
          </cell>
        </row>
        <row r="9792">
          <cell r="K9792" t="str">
            <v>00201126D.121</v>
          </cell>
        </row>
        <row r="9793">
          <cell r="K9793" t="str">
            <v>00201127D.121</v>
          </cell>
        </row>
        <row r="9794">
          <cell r="K9794" t="str">
            <v>00201135D.121</v>
          </cell>
        </row>
        <row r="9795">
          <cell r="K9795" t="str">
            <v>00201136D.121</v>
          </cell>
        </row>
        <row r="9796">
          <cell r="K9796" t="str">
            <v>00201146D.121</v>
          </cell>
        </row>
        <row r="9797">
          <cell r="K9797" t="str">
            <v>00201146D.111</v>
          </cell>
        </row>
        <row r="9798">
          <cell r="K9798" t="str">
            <v>00201143D.111</v>
          </cell>
        </row>
        <row r="9799">
          <cell r="K9799" t="str">
            <v>00201145D.121</v>
          </cell>
        </row>
        <row r="9800">
          <cell r="K9800" t="str">
            <v>00201153D.121</v>
          </cell>
        </row>
        <row r="9801">
          <cell r="K9801" t="str">
            <v>00201145D.111</v>
          </cell>
        </row>
        <row r="9802">
          <cell r="K9802" t="str">
            <v>00201145D.121</v>
          </cell>
        </row>
        <row r="9803">
          <cell r="K9803" t="str">
            <v>00201145D.111</v>
          </cell>
        </row>
        <row r="9804">
          <cell r="K9804" t="str">
            <v>00201143D.29</v>
          </cell>
        </row>
        <row r="9805">
          <cell r="K9805" t="str">
            <v>00201139D.29</v>
          </cell>
        </row>
        <row r="9806">
          <cell r="K9806" t="str">
            <v>00201158D.29</v>
          </cell>
        </row>
        <row r="9807">
          <cell r="K9807" t="str">
            <v>00201145D.29</v>
          </cell>
        </row>
        <row r="9808">
          <cell r="K9808" t="str">
            <v>00201115D.29</v>
          </cell>
        </row>
        <row r="9809">
          <cell r="K9809" t="str">
            <v>00201128D.29</v>
          </cell>
        </row>
        <row r="9810">
          <cell r="K9810" t="str">
            <v>00201127D.29</v>
          </cell>
        </row>
        <row r="9811">
          <cell r="K9811" t="str">
            <v>00201134D.29</v>
          </cell>
        </row>
        <row r="9812">
          <cell r="K9812" t="str">
            <v>00201128D.29</v>
          </cell>
        </row>
        <row r="9813">
          <cell r="K9813" t="str">
            <v>00201136D.29</v>
          </cell>
        </row>
        <row r="9814">
          <cell r="K9814" t="str">
            <v>00201120D.29</v>
          </cell>
        </row>
        <row r="9815">
          <cell r="K9815" t="str">
            <v>00201119D.29</v>
          </cell>
        </row>
        <row r="9816">
          <cell r="K9816" t="str">
            <v>00201126D.29</v>
          </cell>
        </row>
        <row r="9817">
          <cell r="K9817" t="str">
            <v>00201125D.29</v>
          </cell>
        </row>
        <row r="9818">
          <cell r="K9818" t="str">
            <v>00201134D.29</v>
          </cell>
        </row>
        <row r="9819">
          <cell r="K9819" t="str">
            <v>00201108D.29</v>
          </cell>
        </row>
        <row r="9820">
          <cell r="K9820" t="str">
            <v>00201115D.29</v>
          </cell>
        </row>
        <row r="9821">
          <cell r="K9821" t="str">
            <v>00201125D.29</v>
          </cell>
        </row>
        <row r="9822">
          <cell r="K9822" t="str">
            <v>00201130D.29</v>
          </cell>
        </row>
        <row r="9823">
          <cell r="K9823" t="str">
            <v>00201131D.29</v>
          </cell>
        </row>
        <row r="9824">
          <cell r="K9824" t="str">
            <v>00201119D.29</v>
          </cell>
        </row>
        <row r="9825">
          <cell r="K9825" t="str">
            <v>00201142D.29</v>
          </cell>
        </row>
        <row r="9826">
          <cell r="K9826" t="str">
            <v>00201121D.29</v>
          </cell>
        </row>
        <row r="9827">
          <cell r="K9827" t="str">
            <v>00201129D.29</v>
          </cell>
        </row>
        <row r="9828">
          <cell r="K9828" t="str">
            <v>00201151D.29</v>
          </cell>
        </row>
        <row r="9829">
          <cell r="K9829" t="str">
            <v>00201112D.29</v>
          </cell>
        </row>
        <row r="9830">
          <cell r="K9830" t="str">
            <v>00201114D.29</v>
          </cell>
        </row>
        <row r="9831">
          <cell r="K9831" t="str">
            <v>00201120D.29</v>
          </cell>
        </row>
        <row r="9832">
          <cell r="K9832" t="str">
            <v>00201124D.29</v>
          </cell>
        </row>
        <row r="9833">
          <cell r="K9833" t="str">
            <v>00201125D.29</v>
          </cell>
        </row>
        <row r="9834">
          <cell r="K9834" t="str">
            <v>00201151D.29</v>
          </cell>
        </row>
        <row r="9835">
          <cell r="K9835" t="str">
            <v>00201112D.29</v>
          </cell>
        </row>
        <row r="9836">
          <cell r="K9836" t="str">
            <v>00201128D.29</v>
          </cell>
        </row>
        <row r="9837">
          <cell r="K9837" t="str">
            <v>00201140D.29</v>
          </cell>
        </row>
        <row r="9838">
          <cell r="K9838" t="str">
            <v>00201149D.29</v>
          </cell>
        </row>
        <row r="9839">
          <cell r="K9839" t="str">
            <v>00201107D.29</v>
          </cell>
        </row>
        <row r="9840">
          <cell r="K9840" t="str">
            <v>00201110D.29</v>
          </cell>
        </row>
        <row r="9841">
          <cell r="K9841" t="str">
            <v>00201125D.29</v>
          </cell>
        </row>
        <row r="9842">
          <cell r="K9842" t="str">
            <v>00201133D.29</v>
          </cell>
        </row>
        <row r="9843">
          <cell r="K9843" t="str">
            <v>00201134D.29</v>
          </cell>
        </row>
        <row r="9844">
          <cell r="K9844" t="str">
            <v>00201145D.29</v>
          </cell>
        </row>
        <row r="9845">
          <cell r="K9845" t="str">
            <v>00201149D.29</v>
          </cell>
        </row>
        <row r="9846">
          <cell r="K9846" t="str">
            <v>00201149D.29</v>
          </cell>
        </row>
        <row r="9847">
          <cell r="K9847" t="str">
            <v>00201157D.29</v>
          </cell>
        </row>
        <row r="9848">
          <cell r="K9848" t="str">
            <v>00201154D.29</v>
          </cell>
        </row>
        <row r="9849">
          <cell r="K9849" t="str">
            <v>00201154D.29</v>
          </cell>
        </row>
        <row r="9850">
          <cell r="K9850" t="str">
            <v>00201151D.29</v>
          </cell>
        </row>
        <row r="9851">
          <cell r="K9851" t="str">
            <v>00201160D.29</v>
          </cell>
        </row>
        <row r="9852">
          <cell r="K9852" t="str">
            <v>00201254D.211</v>
          </cell>
        </row>
        <row r="9853">
          <cell r="K9853" t="str">
            <v>00201121D.29</v>
          </cell>
        </row>
        <row r="9854">
          <cell r="K9854" t="str">
            <v>00201123D.29</v>
          </cell>
        </row>
        <row r="9855">
          <cell r="K9855" t="str">
            <v>00201126D.29</v>
          </cell>
        </row>
        <row r="9856">
          <cell r="K9856" t="str">
            <v>00201131D.29</v>
          </cell>
        </row>
        <row r="9857">
          <cell r="K9857" t="str">
            <v>00201136D.29</v>
          </cell>
        </row>
        <row r="9858">
          <cell r="K9858" t="str">
            <v>00201159D.29</v>
          </cell>
        </row>
        <row r="9859">
          <cell r="K9859" t="str">
            <v>00201153D.29</v>
          </cell>
        </row>
        <row r="9860">
          <cell r="K9860" t="str">
            <v>00201145D.29</v>
          </cell>
        </row>
        <row r="9861">
          <cell r="K9861" t="str">
            <v>00201160K.1</v>
          </cell>
        </row>
        <row r="9862">
          <cell r="K9862" t="str">
            <v>00201156K.1</v>
          </cell>
        </row>
        <row r="9863">
          <cell r="K9863" t="str">
            <v>00021248P.11</v>
          </cell>
        </row>
        <row r="9864">
          <cell r="K9864" t="str">
            <v>00021248P.11</v>
          </cell>
        </row>
        <row r="9865">
          <cell r="K9865" t="str">
            <v>00021243P.11</v>
          </cell>
        </row>
        <row r="9866">
          <cell r="K9866" t="str">
            <v>00021243P.11</v>
          </cell>
        </row>
        <row r="9867">
          <cell r="K9867" t="str">
            <v>00021243P.11</v>
          </cell>
        </row>
        <row r="9868">
          <cell r="K9868" t="str">
            <v>00021203P.11</v>
          </cell>
        </row>
        <row r="9869">
          <cell r="K9869" t="str">
            <v>00021204P.11</v>
          </cell>
        </row>
        <row r="9870">
          <cell r="K9870" t="str">
            <v>00021204P.11</v>
          </cell>
        </row>
        <row r="9871">
          <cell r="K9871" t="str">
            <v>00021204P.12</v>
          </cell>
        </row>
        <row r="9872">
          <cell r="K9872" t="str">
            <v>00021205P.11</v>
          </cell>
        </row>
        <row r="9873">
          <cell r="K9873" t="str">
            <v>00021205P.12</v>
          </cell>
        </row>
        <row r="9874">
          <cell r="K9874" t="str">
            <v>00021205P.12</v>
          </cell>
        </row>
        <row r="9875">
          <cell r="K9875" t="str">
            <v>00021238P.11</v>
          </cell>
        </row>
        <row r="9876">
          <cell r="K9876" t="str">
            <v>00021239P.11</v>
          </cell>
        </row>
        <row r="9877">
          <cell r="K9877" t="str">
            <v>00021240P.11</v>
          </cell>
        </row>
        <row r="9878">
          <cell r="K9878" t="str">
            <v>00021240P.11</v>
          </cell>
        </row>
        <row r="9879">
          <cell r="K9879" t="str">
            <v>00021240P.11</v>
          </cell>
        </row>
        <row r="9880">
          <cell r="K9880" t="str">
            <v>00021240P.11</v>
          </cell>
        </row>
        <row r="9881">
          <cell r="K9881" t="str">
            <v>00021202P.11</v>
          </cell>
        </row>
        <row r="9882">
          <cell r="K9882" t="str">
            <v>00021202P.12</v>
          </cell>
        </row>
        <row r="9883">
          <cell r="K9883" t="str">
            <v>00021202P.11</v>
          </cell>
        </row>
        <row r="9884">
          <cell r="K9884" t="str">
            <v>00021202P.11</v>
          </cell>
        </row>
        <row r="9885">
          <cell r="K9885" t="str">
            <v>00021202P.11</v>
          </cell>
        </row>
        <row r="9886">
          <cell r="K9886" t="str">
            <v>00021202P.11</v>
          </cell>
        </row>
        <row r="9887">
          <cell r="K9887" t="str">
            <v>00021252P.12</v>
          </cell>
        </row>
        <row r="9888">
          <cell r="K9888" t="str">
            <v>00021228P.11</v>
          </cell>
        </row>
        <row r="9889">
          <cell r="K9889" t="str">
            <v>00021210P.11</v>
          </cell>
        </row>
        <row r="9890">
          <cell r="K9890" t="str">
            <v>00021210P.11</v>
          </cell>
        </row>
        <row r="9891">
          <cell r="K9891" t="str">
            <v>00021226P.11</v>
          </cell>
        </row>
        <row r="9892">
          <cell r="K9892" t="str">
            <v>00021226P.11</v>
          </cell>
        </row>
        <row r="9893">
          <cell r="K9893" t="str">
            <v>00021226P.11</v>
          </cell>
        </row>
        <row r="9894">
          <cell r="K9894" t="str">
            <v>00021226P.11</v>
          </cell>
        </row>
        <row r="9895">
          <cell r="K9895" t="str">
            <v>00021226P.11</v>
          </cell>
        </row>
        <row r="9896">
          <cell r="K9896" t="str">
            <v>00021226P.11</v>
          </cell>
        </row>
        <row r="9897">
          <cell r="K9897" t="str">
            <v>00021234P.11</v>
          </cell>
        </row>
        <row r="9898">
          <cell r="K9898" t="str">
            <v>00021234P.11</v>
          </cell>
        </row>
        <row r="9899">
          <cell r="K9899" t="str">
            <v>00021234P.11</v>
          </cell>
        </row>
        <row r="9900">
          <cell r="K9900" t="str">
            <v>00021234P.11</v>
          </cell>
        </row>
        <row r="9901">
          <cell r="K9901" t="str">
            <v>00021245P.11</v>
          </cell>
        </row>
        <row r="9902">
          <cell r="K9902" t="str">
            <v>00021245P.11</v>
          </cell>
        </row>
        <row r="9903">
          <cell r="K9903" t="str">
            <v>00021245P.11</v>
          </cell>
        </row>
        <row r="9904">
          <cell r="K9904" t="str">
            <v>00021248P.11</v>
          </cell>
        </row>
        <row r="9905">
          <cell r="K9905" t="str">
            <v>00021248P.11</v>
          </cell>
        </row>
        <row r="9906">
          <cell r="K9906" t="str">
            <v>00021248P.11</v>
          </cell>
        </row>
        <row r="9907">
          <cell r="K9907" t="str">
            <v>00021249P.11</v>
          </cell>
        </row>
        <row r="9908">
          <cell r="K9908" t="str">
            <v>00021250P.11</v>
          </cell>
        </row>
        <row r="9909">
          <cell r="K9909" t="str">
            <v>00021250P.11</v>
          </cell>
        </row>
        <row r="9910">
          <cell r="K9910" t="str">
            <v>00021250P.11</v>
          </cell>
        </row>
        <row r="9911">
          <cell r="K9911" t="str">
            <v>00021250P.11</v>
          </cell>
        </row>
        <row r="9912">
          <cell r="K9912" t="str">
            <v>00021257P.11</v>
          </cell>
        </row>
        <row r="9913">
          <cell r="K9913" t="str">
            <v>00021207P.11</v>
          </cell>
        </row>
        <row r="9914">
          <cell r="K9914" t="str">
            <v>00021207P.11</v>
          </cell>
        </row>
        <row r="9915">
          <cell r="K9915" t="str">
            <v>00021260P.11</v>
          </cell>
        </row>
        <row r="9916">
          <cell r="K9916" t="str">
            <v>00021212P.11</v>
          </cell>
        </row>
        <row r="9917">
          <cell r="K9917" t="str">
            <v>00021226P.11</v>
          </cell>
        </row>
        <row r="9918">
          <cell r="K9918" t="str">
            <v>00021212P.11</v>
          </cell>
        </row>
        <row r="9919">
          <cell r="K9919" t="str">
            <v>00021231P.11</v>
          </cell>
        </row>
        <row r="9920">
          <cell r="K9920" t="str">
            <v>00021213P.11</v>
          </cell>
        </row>
        <row r="9921">
          <cell r="K9921" t="str">
            <v>00021220P.11</v>
          </cell>
        </row>
        <row r="9922">
          <cell r="K9922" t="str">
            <v>00021212P.11</v>
          </cell>
        </row>
        <row r="9923">
          <cell r="K9923" t="str">
            <v>00021223P.11</v>
          </cell>
        </row>
        <row r="9924">
          <cell r="K9924" t="str">
            <v>00021220P.11</v>
          </cell>
        </row>
        <row r="9925">
          <cell r="K9925" t="str">
            <v>00021213P.11</v>
          </cell>
        </row>
        <row r="9926">
          <cell r="K9926" t="str">
            <v>00021223P.11</v>
          </cell>
        </row>
        <row r="9927">
          <cell r="K9927" t="str">
            <v>00021224P.11</v>
          </cell>
        </row>
        <row r="9928">
          <cell r="K9928" t="str">
            <v>00021232P.11</v>
          </cell>
        </row>
        <row r="9929">
          <cell r="K9929" t="str">
            <v>00021232P.11</v>
          </cell>
        </row>
        <row r="9930">
          <cell r="K9930" t="str">
            <v>00021223P.11</v>
          </cell>
        </row>
        <row r="9931">
          <cell r="K9931" t="str">
            <v>00021224P.11</v>
          </cell>
        </row>
        <row r="9932">
          <cell r="K9932" t="str">
            <v>00021232P.11</v>
          </cell>
        </row>
        <row r="9933">
          <cell r="K9933" t="str">
            <v>00021225P.11</v>
          </cell>
        </row>
        <row r="9934">
          <cell r="K9934" t="str">
            <v>00021236P.11</v>
          </cell>
        </row>
        <row r="9935">
          <cell r="K9935" t="str">
            <v>00021212P.11</v>
          </cell>
        </row>
        <row r="9936">
          <cell r="K9936" t="str">
            <v>00021223P.11</v>
          </cell>
        </row>
        <row r="9937">
          <cell r="K9937" t="str">
            <v>00021212P.11</v>
          </cell>
        </row>
        <row r="9938">
          <cell r="K9938" t="str">
            <v>00021232P.11</v>
          </cell>
        </row>
        <row r="9939">
          <cell r="K9939" t="str">
            <v>00021236P.11</v>
          </cell>
        </row>
        <row r="9940">
          <cell r="K9940" t="str">
            <v>00021210P.11</v>
          </cell>
        </row>
        <row r="9941">
          <cell r="K9941" t="str">
            <v>00021220P.11</v>
          </cell>
        </row>
        <row r="9942">
          <cell r="K9942" t="str">
            <v>00021231P.11</v>
          </cell>
        </row>
        <row r="9943">
          <cell r="K9943" t="str">
            <v>00021232P.11</v>
          </cell>
        </row>
        <row r="9944">
          <cell r="K9944" t="str">
            <v>00021213P.11</v>
          </cell>
        </row>
        <row r="9945">
          <cell r="K9945" t="str">
            <v>00021228P.11</v>
          </cell>
        </row>
        <row r="9946">
          <cell r="K9946" t="str">
            <v>00021228P.11</v>
          </cell>
        </row>
        <row r="9947">
          <cell r="K9947" t="str">
            <v>00021210P.11</v>
          </cell>
        </row>
        <row r="9948">
          <cell r="K9948" t="str">
            <v>00021221P.11</v>
          </cell>
        </row>
        <row r="9949">
          <cell r="K9949" t="str">
            <v>00021221P.11</v>
          </cell>
        </row>
        <row r="9950">
          <cell r="K9950" t="str">
            <v>00021221P.11</v>
          </cell>
        </row>
        <row r="9951">
          <cell r="K9951" t="str">
            <v>00021221P.11</v>
          </cell>
        </row>
        <row r="9952">
          <cell r="K9952" t="str">
            <v>00021224P.11</v>
          </cell>
        </row>
        <row r="9953">
          <cell r="K9953" t="str">
            <v>00021228P.11</v>
          </cell>
        </row>
        <row r="9954">
          <cell r="K9954" t="str">
            <v>00021228P.11</v>
          </cell>
        </row>
        <row r="9955">
          <cell r="K9955" t="str">
            <v>00021228P.11</v>
          </cell>
        </row>
        <row r="9956">
          <cell r="K9956" t="str">
            <v>00021231P.11</v>
          </cell>
        </row>
        <row r="9957">
          <cell r="K9957" t="str">
            <v>00021231P.11</v>
          </cell>
        </row>
        <row r="9958">
          <cell r="K9958" t="str">
            <v>00021222P.11</v>
          </cell>
        </row>
        <row r="9959">
          <cell r="K9959" t="str">
            <v>00021226P.11</v>
          </cell>
        </row>
        <row r="9960">
          <cell r="K9960" t="str">
            <v>00021229P.11</v>
          </cell>
        </row>
        <row r="9961">
          <cell r="K9961" t="str">
            <v>00021231P.11</v>
          </cell>
        </row>
        <row r="9962">
          <cell r="K9962" t="str">
            <v>00021231P.11</v>
          </cell>
        </row>
        <row r="9963">
          <cell r="K9963" t="str">
            <v>00021231P.11</v>
          </cell>
        </row>
        <row r="9964">
          <cell r="K9964" t="str">
            <v>00021232P.11</v>
          </cell>
        </row>
        <row r="9965">
          <cell r="K9965" t="str">
            <v>00021232P.11</v>
          </cell>
        </row>
        <row r="9966">
          <cell r="K9966" t="str">
            <v>00021233P.11</v>
          </cell>
        </row>
        <row r="9967">
          <cell r="K9967" t="str">
            <v>00021235P.11</v>
          </cell>
        </row>
        <row r="9968">
          <cell r="K9968" t="str">
            <v>00021236P.11</v>
          </cell>
        </row>
        <row r="9969">
          <cell r="K9969" t="str">
            <v>00021236P.11</v>
          </cell>
        </row>
        <row r="9970">
          <cell r="K9970" t="str">
            <v>00021221P.11</v>
          </cell>
        </row>
        <row r="9971">
          <cell r="K9971" t="str">
            <v>00021222P.11</v>
          </cell>
        </row>
        <row r="9972">
          <cell r="K9972" t="str">
            <v>00021224P.11</v>
          </cell>
        </row>
        <row r="9973">
          <cell r="K9973" t="str">
            <v>00021230P.11</v>
          </cell>
        </row>
        <row r="9974">
          <cell r="K9974" t="str">
            <v>00021231P.11</v>
          </cell>
        </row>
        <row r="9975">
          <cell r="K9975" t="str">
            <v>00021234P.11</v>
          </cell>
        </row>
        <row r="9976">
          <cell r="K9976" t="str">
            <v>00021228P.11</v>
          </cell>
        </row>
        <row r="9977">
          <cell r="K9977" t="str">
            <v>00021231P.11</v>
          </cell>
        </row>
        <row r="9978">
          <cell r="K9978" t="str">
            <v>00021232P.11</v>
          </cell>
        </row>
        <row r="9979">
          <cell r="K9979" t="str">
            <v>00021228P.11</v>
          </cell>
        </row>
        <row r="9980">
          <cell r="K9980" t="str">
            <v>00021231P.11</v>
          </cell>
        </row>
        <row r="9981">
          <cell r="K9981" t="str">
            <v>00021231P.11</v>
          </cell>
        </row>
        <row r="9982">
          <cell r="K9982" t="str">
            <v>00021233P.11</v>
          </cell>
        </row>
        <row r="9983">
          <cell r="K9983" t="str">
            <v>00021221P.11</v>
          </cell>
        </row>
        <row r="9984">
          <cell r="K9984" t="str">
            <v>00021226P.11</v>
          </cell>
        </row>
        <row r="9985">
          <cell r="K9985" t="str">
            <v>00021234P.11</v>
          </cell>
        </row>
        <row r="9986">
          <cell r="K9986" t="str">
            <v>00021234P.11</v>
          </cell>
        </row>
        <row r="9987">
          <cell r="K9987" t="str">
            <v>00021229P.11</v>
          </cell>
        </row>
        <row r="9988">
          <cell r="K9988" t="str">
            <v>00021231P.11</v>
          </cell>
        </row>
        <row r="9989">
          <cell r="K9989" t="str">
            <v>00021231P.11</v>
          </cell>
        </row>
        <row r="9990">
          <cell r="K9990" t="str">
            <v>00021231P.11</v>
          </cell>
        </row>
        <row r="9991">
          <cell r="K9991" t="str">
            <v>00021222P.11</v>
          </cell>
        </row>
        <row r="9992">
          <cell r="K9992" t="str">
            <v>00021210P.11</v>
          </cell>
        </row>
        <row r="9993">
          <cell r="K9993" t="str">
            <v>00021217P.11</v>
          </cell>
        </row>
        <row r="9994">
          <cell r="K9994" t="str">
            <v>00021225P.11</v>
          </cell>
        </row>
        <row r="9995">
          <cell r="K9995" t="str">
            <v>00021225P.11</v>
          </cell>
        </row>
        <row r="9996">
          <cell r="K9996" t="str">
            <v>00021229P.11</v>
          </cell>
        </row>
        <row r="9997">
          <cell r="K9997" t="str">
            <v>00021232P.11</v>
          </cell>
        </row>
        <row r="9998">
          <cell r="K9998" t="str">
            <v>00021215P.11</v>
          </cell>
        </row>
        <row r="9999">
          <cell r="K9999" t="str">
            <v>00021221P.11</v>
          </cell>
        </row>
        <row r="10000">
          <cell r="K10000" t="str">
            <v>00021228P.11</v>
          </cell>
        </row>
        <row r="10001">
          <cell r="K10001" t="str">
            <v>00021225P.11</v>
          </cell>
        </row>
        <row r="10002">
          <cell r="K10002" t="str">
            <v>00021229P.11</v>
          </cell>
        </row>
        <row r="10003">
          <cell r="K10003" t="str">
            <v>00021230P.11</v>
          </cell>
        </row>
        <row r="10004">
          <cell r="K10004" t="str">
            <v>00021231P.11</v>
          </cell>
        </row>
        <row r="10005">
          <cell r="K10005" t="str">
            <v>00021229P.11</v>
          </cell>
        </row>
        <row r="10006">
          <cell r="K10006" t="str">
            <v>00021229P.11</v>
          </cell>
        </row>
        <row r="10007">
          <cell r="K10007" t="str">
            <v>00021231P.11</v>
          </cell>
        </row>
        <row r="10008">
          <cell r="K10008" t="str">
            <v>00021226P.11</v>
          </cell>
        </row>
        <row r="10009">
          <cell r="K10009" t="str">
            <v>00021229P.11</v>
          </cell>
        </row>
        <row r="10010">
          <cell r="K10010" t="str">
            <v>00021230P.11</v>
          </cell>
        </row>
        <row r="10011">
          <cell r="K10011" t="str">
            <v>00021222P.11</v>
          </cell>
        </row>
        <row r="10012">
          <cell r="K10012" t="str">
            <v>00021232P.11</v>
          </cell>
        </row>
        <row r="10013">
          <cell r="K10013" t="str">
            <v>00021231P.11</v>
          </cell>
        </row>
        <row r="10014">
          <cell r="K10014" t="str">
            <v>00021235P.11</v>
          </cell>
        </row>
        <row r="10015">
          <cell r="K10015" t="str">
            <v>00021229P.11</v>
          </cell>
        </row>
        <row r="10016">
          <cell r="K10016" t="str">
            <v>00021231P.11</v>
          </cell>
        </row>
        <row r="10017">
          <cell r="K10017" t="str">
            <v>00021235P.11</v>
          </cell>
        </row>
        <row r="10018">
          <cell r="K10018" t="str">
            <v>00021234P.11</v>
          </cell>
        </row>
        <row r="10019">
          <cell r="K10019" t="str">
            <v>00021228P.11</v>
          </cell>
        </row>
        <row r="10020">
          <cell r="K10020" t="str">
            <v>00021233P.11</v>
          </cell>
        </row>
        <row r="10021">
          <cell r="K10021" t="str">
            <v>00021225P.11</v>
          </cell>
        </row>
        <row r="10022">
          <cell r="K10022" t="str">
            <v>00021230P.11</v>
          </cell>
        </row>
        <row r="10023">
          <cell r="K10023" t="str">
            <v>00021235P.11</v>
          </cell>
        </row>
        <row r="10024">
          <cell r="K10024" t="str">
            <v>00021228P.11</v>
          </cell>
        </row>
        <row r="10025">
          <cell r="K10025" t="str">
            <v>00021215P.11</v>
          </cell>
        </row>
        <row r="10026">
          <cell r="K10026" t="str">
            <v>00021223P.11</v>
          </cell>
        </row>
        <row r="10027">
          <cell r="K10027" t="str">
            <v>00021235P.11</v>
          </cell>
        </row>
        <row r="10028">
          <cell r="K10028" t="str">
            <v>00021217P.11</v>
          </cell>
        </row>
        <row r="10029">
          <cell r="K10029" t="str">
            <v>00021233P.11</v>
          </cell>
        </row>
        <row r="10030">
          <cell r="K10030" t="str">
            <v>00021222P.11</v>
          </cell>
        </row>
        <row r="10031">
          <cell r="K10031" t="str">
            <v>00021220P.11</v>
          </cell>
        </row>
        <row r="10032">
          <cell r="K10032" t="str">
            <v>00021223P.11</v>
          </cell>
        </row>
        <row r="10033">
          <cell r="K10033" t="str">
            <v>00021224P.11</v>
          </cell>
        </row>
        <row r="10034">
          <cell r="K10034" t="str">
            <v>00021233P.11</v>
          </cell>
        </row>
        <row r="10035">
          <cell r="K10035" t="str">
            <v>00021221P.11</v>
          </cell>
        </row>
        <row r="10036">
          <cell r="K10036" t="str">
            <v>00021216P.11</v>
          </cell>
        </row>
        <row r="10037">
          <cell r="K10037" t="str">
            <v>00021213P.11</v>
          </cell>
        </row>
        <row r="10038">
          <cell r="K10038" t="str">
            <v>00021227P.11</v>
          </cell>
        </row>
        <row r="10039">
          <cell r="K10039" t="str">
            <v>00021228P.11</v>
          </cell>
        </row>
        <row r="10040">
          <cell r="K10040" t="str">
            <v>00021234P.11</v>
          </cell>
        </row>
        <row r="10041">
          <cell r="K10041" t="str">
            <v>00021220P.11</v>
          </cell>
        </row>
        <row r="10042">
          <cell r="K10042" t="str">
            <v>00021226P.11</v>
          </cell>
        </row>
        <row r="10043">
          <cell r="K10043" t="str">
            <v>00021233P.11</v>
          </cell>
        </row>
        <row r="10044">
          <cell r="K10044" t="str">
            <v>00021210P.11</v>
          </cell>
        </row>
        <row r="10045">
          <cell r="K10045" t="str">
            <v>00021230P.11</v>
          </cell>
        </row>
        <row r="10046">
          <cell r="K10046" t="str">
            <v>00021224P.11</v>
          </cell>
        </row>
        <row r="10047">
          <cell r="K10047" t="str">
            <v>00021236P.11</v>
          </cell>
        </row>
        <row r="10048">
          <cell r="K10048" t="str">
            <v>00021235P.11</v>
          </cell>
        </row>
        <row r="10049">
          <cell r="K10049" t="str">
            <v>00021213P.11</v>
          </cell>
        </row>
        <row r="10050">
          <cell r="K10050" t="str">
            <v>00021214P.11</v>
          </cell>
        </row>
        <row r="10051">
          <cell r="K10051" t="str">
            <v>00021228P.11</v>
          </cell>
        </row>
        <row r="10052">
          <cell r="K10052" t="str">
            <v>00021223P.11</v>
          </cell>
        </row>
        <row r="10053">
          <cell r="K10053" t="str">
            <v>00021231P.11</v>
          </cell>
        </row>
        <row r="10054">
          <cell r="K10054" t="str">
            <v>00021217P.11</v>
          </cell>
        </row>
        <row r="10055">
          <cell r="K10055" t="str">
            <v>00021228P.11</v>
          </cell>
        </row>
        <row r="10056">
          <cell r="K10056" t="str">
            <v>00021224P.11</v>
          </cell>
        </row>
        <row r="10057">
          <cell r="K10057" t="str">
            <v>00021231P.11</v>
          </cell>
        </row>
        <row r="10058">
          <cell r="K10058" t="str">
            <v>00021218P.11</v>
          </cell>
        </row>
        <row r="10059">
          <cell r="K10059" t="str">
            <v>00021223P.11</v>
          </cell>
        </row>
        <row r="10060">
          <cell r="K10060" t="str">
            <v>00021213P.11</v>
          </cell>
        </row>
        <row r="10061">
          <cell r="K10061" t="str">
            <v>00021234P.11</v>
          </cell>
        </row>
        <row r="10062">
          <cell r="K10062" t="str">
            <v>00021230P.11</v>
          </cell>
        </row>
        <row r="10063">
          <cell r="K10063" t="str">
            <v>00021213P.11</v>
          </cell>
        </row>
        <row r="10064">
          <cell r="K10064" t="str">
            <v>00021210P.11</v>
          </cell>
        </row>
        <row r="10065">
          <cell r="K10065" t="str">
            <v>00021235P.11</v>
          </cell>
        </row>
        <row r="10066">
          <cell r="K10066" t="str">
            <v>00021222P.11</v>
          </cell>
        </row>
        <row r="10067">
          <cell r="K10067" t="str">
            <v>00021218P.11</v>
          </cell>
        </row>
        <row r="10068">
          <cell r="K10068" t="str">
            <v>00021218P.11</v>
          </cell>
        </row>
        <row r="10069">
          <cell r="K10069" t="str">
            <v>00021235P.11</v>
          </cell>
        </row>
        <row r="10070">
          <cell r="K10070" t="str">
            <v>00021228P.11</v>
          </cell>
        </row>
        <row r="10071">
          <cell r="K10071" t="str">
            <v>00021225P.11</v>
          </cell>
        </row>
        <row r="10072">
          <cell r="K10072" t="str">
            <v>00021229P.11</v>
          </cell>
        </row>
        <row r="10073">
          <cell r="K10073" t="str">
            <v>00021233P.11</v>
          </cell>
        </row>
        <row r="10074">
          <cell r="K10074" t="str">
            <v>00021233P.11</v>
          </cell>
        </row>
        <row r="10075">
          <cell r="K10075" t="str">
            <v>00021218P.11</v>
          </cell>
        </row>
        <row r="10076">
          <cell r="K10076" t="str">
            <v>00021229P.11</v>
          </cell>
        </row>
        <row r="10077">
          <cell r="K10077" t="str">
            <v>00021230P.11</v>
          </cell>
        </row>
        <row r="10078">
          <cell r="K10078" t="str">
            <v>00021214P.11</v>
          </cell>
        </row>
        <row r="10079">
          <cell r="K10079" t="str">
            <v>00021235P.11</v>
          </cell>
        </row>
        <row r="10080">
          <cell r="K10080" t="str">
            <v>00021226P.11</v>
          </cell>
        </row>
        <row r="10081">
          <cell r="K10081" t="str">
            <v>00021217P.11</v>
          </cell>
        </row>
        <row r="10082">
          <cell r="K10082" t="str">
            <v>00021232P.11</v>
          </cell>
        </row>
        <row r="10083">
          <cell r="K10083" t="str">
            <v>00021230P.11</v>
          </cell>
        </row>
        <row r="10084">
          <cell r="K10084" t="str">
            <v>00021221P.11</v>
          </cell>
        </row>
        <row r="10085">
          <cell r="K10085" t="str">
            <v>00021234P.11</v>
          </cell>
        </row>
        <row r="10086">
          <cell r="K10086" t="str">
            <v>00021230P.11</v>
          </cell>
        </row>
        <row r="10087">
          <cell r="K10087" t="str">
            <v>00021221P.11</v>
          </cell>
        </row>
        <row r="10088">
          <cell r="K10088" t="str">
            <v>00021229P.11</v>
          </cell>
        </row>
        <row r="10089">
          <cell r="K10089" t="str">
            <v>00021236P.11</v>
          </cell>
        </row>
        <row r="10090">
          <cell r="K10090" t="str">
            <v>00021229P.11</v>
          </cell>
        </row>
        <row r="10091">
          <cell r="K10091" t="str">
            <v>00021229P.11</v>
          </cell>
        </row>
        <row r="10092">
          <cell r="K10092" t="str">
            <v>00021232P.11</v>
          </cell>
        </row>
        <row r="10093">
          <cell r="K10093" t="str">
            <v>00021231P.11</v>
          </cell>
        </row>
        <row r="10094">
          <cell r="K10094" t="str">
            <v>00021230P.11</v>
          </cell>
        </row>
        <row r="10095">
          <cell r="K10095" t="str">
            <v>00021235P.11</v>
          </cell>
        </row>
        <row r="10096">
          <cell r="K10096" t="str">
            <v>00021231P.11</v>
          </cell>
        </row>
        <row r="10097">
          <cell r="K10097" t="str">
            <v>00021213P.11</v>
          </cell>
        </row>
        <row r="10098">
          <cell r="K10098" t="str">
            <v>00021210P.11</v>
          </cell>
        </row>
        <row r="10099">
          <cell r="K10099" t="str">
            <v>00021231P.11</v>
          </cell>
        </row>
        <row r="10100">
          <cell r="K10100" t="str">
            <v>00021232P.11</v>
          </cell>
        </row>
        <row r="10101">
          <cell r="K10101" t="str">
            <v>00021217P.11</v>
          </cell>
        </row>
        <row r="10102">
          <cell r="K10102" t="str">
            <v>00021228P.11</v>
          </cell>
        </row>
        <row r="10103">
          <cell r="K10103" t="str">
            <v>00021215P.11</v>
          </cell>
        </row>
        <row r="10104">
          <cell r="K10104" t="str">
            <v>00021218P.11</v>
          </cell>
        </row>
        <row r="10105">
          <cell r="K10105" t="str">
            <v>00021231P.11</v>
          </cell>
        </row>
        <row r="10106">
          <cell r="K10106" t="str">
            <v>00021230P.11</v>
          </cell>
        </row>
        <row r="10107">
          <cell r="K10107" t="str">
            <v>00021226P.11</v>
          </cell>
        </row>
        <row r="10108">
          <cell r="K10108" t="str">
            <v>00021214P.11</v>
          </cell>
        </row>
        <row r="10109">
          <cell r="K10109" t="str">
            <v>00021231P.11</v>
          </cell>
        </row>
        <row r="10110">
          <cell r="K10110" t="str">
            <v>00021213P.11</v>
          </cell>
        </row>
        <row r="10111">
          <cell r="K10111" t="str">
            <v>00021233P.11</v>
          </cell>
        </row>
        <row r="10112">
          <cell r="K10112" t="str">
            <v>00021228P.11</v>
          </cell>
        </row>
        <row r="10113">
          <cell r="K10113" t="str">
            <v>00021221P.11</v>
          </cell>
        </row>
        <row r="10114">
          <cell r="K10114" t="str">
            <v>00021236P.11</v>
          </cell>
        </row>
        <row r="10115">
          <cell r="K10115" t="str">
            <v>00021234P.11</v>
          </cell>
        </row>
        <row r="10116">
          <cell r="K10116" t="str">
            <v>00021235P.11</v>
          </cell>
        </row>
        <row r="10117">
          <cell r="K10117" t="str">
            <v>00021228P.11</v>
          </cell>
        </row>
        <row r="10118">
          <cell r="K10118" t="str">
            <v>00021233P.11</v>
          </cell>
        </row>
        <row r="10119">
          <cell r="K10119" t="str">
            <v>00021220P.11</v>
          </cell>
        </row>
        <row r="10120">
          <cell r="K10120" t="str">
            <v>00021211P.11</v>
          </cell>
        </row>
        <row r="10121">
          <cell r="K10121" t="str">
            <v>00021234P.11</v>
          </cell>
        </row>
        <row r="10122">
          <cell r="K10122" t="str">
            <v>00021225P.11</v>
          </cell>
        </row>
        <row r="10123">
          <cell r="K10123" t="str">
            <v>00021212P.11</v>
          </cell>
        </row>
        <row r="10124">
          <cell r="K10124" t="str">
            <v>00021232P.11</v>
          </cell>
        </row>
        <row r="10125">
          <cell r="K10125" t="str">
            <v>00021226P.11</v>
          </cell>
        </row>
        <row r="10126">
          <cell r="K10126" t="str">
            <v>00021223P.11</v>
          </cell>
        </row>
        <row r="10127">
          <cell r="K10127" t="str">
            <v>00021232P.11</v>
          </cell>
        </row>
        <row r="10128">
          <cell r="K10128" t="str">
            <v>00021226P.11</v>
          </cell>
        </row>
        <row r="10129">
          <cell r="K10129" t="str">
            <v>00021221P.11</v>
          </cell>
        </row>
        <row r="10130">
          <cell r="K10130" t="str">
            <v>00021212P.11</v>
          </cell>
        </row>
        <row r="10131">
          <cell r="K10131" t="str">
            <v>00021228P.11</v>
          </cell>
        </row>
        <row r="10132">
          <cell r="K10132" t="str">
            <v>00021236P.11</v>
          </cell>
        </row>
        <row r="10133">
          <cell r="K10133" t="str">
            <v>00021225P.11</v>
          </cell>
        </row>
        <row r="10134">
          <cell r="K10134" t="str">
            <v>00021231P.11</v>
          </cell>
        </row>
        <row r="10135">
          <cell r="K10135" t="str">
            <v>00021231P.11</v>
          </cell>
        </row>
        <row r="10136">
          <cell r="K10136" t="str">
            <v>00021231P.11</v>
          </cell>
        </row>
        <row r="10137">
          <cell r="K10137" t="str">
            <v>00021217P.11</v>
          </cell>
        </row>
        <row r="10138">
          <cell r="K10138" t="str">
            <v>00021217P.11</v>
          </cell>
        </row>
        <row r="10139">
          <cell r="K10139" t="str">
            <v>00021210P.11</v>
          </cell>
        </row>
        <row r="10140">
          <cell r="K10140" t="str">
            <v>00021213P.11</v>
          </cell>
        </row>
        <row r="10141">
          <cell r="K10141" t="str">
            <v>00021225P.11</v>
          </cell>
        </row>
        <row r="10142">
          <cell r="K10142" t="str">
            <v>00021227P.11</v>
          </cell>
        </row>
        <row r="10143">
          <cell r="K10143" t="str">
            <v>00021233P.11</v>
          </cell>
        </row>
        <row r="10144">
          <cell r="K10144" t="str">
            <v>00021231P.11</v>
          </cell>
        </row>
        <row r="10145">
          <cell r="K10145" t="str">
            <v>00021223P.11</v>
          </cell>
        </row>
        <row r="10146">
          <cell r="K10146" t="str">
            <v>00021217P.11</v>
          </cell>
        </row>
        <row r="10147">
          <cell r="K10147" t="str">
            <v>00021228P.11</v>
          </cell>
        </row>
        <row r="10148">
          <cell r="K10148" t="str">
            <v>00021218P.11</v>
          </cell>
        </row>
        <row r="10149">
          <cell r="K10149" t="str">
            <v>00021233P.11</v>
          </cell>
        </row>
        <row r="10150">
          <cell r="K10150" t="str">
            <v>00021220P.11</v>
          </cell>
        </row>
        <row r="10151">
          <cell r="K10151" t="str">
            <v>00021211P.11</v>
          </cell>
        </row>
        <row r="10152">
          <cell r="K10152" t="str">
            <v>00021231P.11</v>
          </cell>
        </row>
        <row r="10153">
          <cell r="K10153" t="str">
            <v>00021235P.11</v>
          </cell>
        </row>
        <row r="10154">
          <cell r="K10154" t="str">
            <v>00021212P.11</v>
          </cell>
        </row>
        <row r="10155">
          <cell r="K10155" t="str">
            <v>00021229P.11</v>
          </cell>
        </row>
        <row r="10156">
          <cell r="K10156" t="str">
            <v>00021236P.11</v>
          </cell>
        </row>
        <row r="10157">
          <cell r="K10157" t="str">
            <v>00021234P.11</v>
          </cell>
        </row>
        <row r="10158">
          <cell r="K10158" t="str">
            <v>00021214P.11</v>
          </cell>
        </row>
        <row r="10159">
          <cell r="K10159" t="str">
            <v>00021217P.11</v>
          </cell>
        </row>
        <row r="10160">
          <cell r="K10160" t="str">
            <v>00021216P.11</v>
          </cell>
        </row>
        <row r="10161">
          <cell r="K10161" t="str">
            <v>00021221P.11</v>
          </cell>
        </row>
        <row r="10162">
          <cell r="K10162" t="str">
            <v>00021228P.11</v>
          </cell>
        </row>
        <row r="10163">
          <cell r="K10163" t="str">
            <v>00021233P.11</v>
          </cell>
        </row>
        <row r="10164">
          <cell r="K10164" t="str">
            <v>00021222P.11</v>
          </cell>
        </row>
        <row r="10165">
          <cell r="K10165" t="str">
            <v>00021230P.11</v>
          </cell>
        </row>
        <row r="10166">
          <cell r="K10166" t="str">
            <v>00021233P.11</v>
          </cell>
        </row>
        <row r="10167">
          <cell r="K10167" t="str">
            <v>00021213P.11</v>
          </cell>
        </row>
        <row r="10168">
          <cell r="K10168" t="str">
            <v>00021229P.11</v>
          </cell>
        </row>
        <row r="10169">
          <cell r="K10169" t="str">
            <v>00021221P.11</v>
          </cell>
        </row>
        <row r="10170">
          <cell r="K10170" t="str">
            <v>00021232P.11</v>
          </cell>
        </row>
        <row r="10171">
          <cell r="K10171" t="str">
            <v>00021213P.11</v>
          </cell>
        </row>
        <row r="10172">
          <cell r="K10172" t="str">
            <v>00021228P.11</v>
          </cell>
        </row>
        <row r="10173">
          <cell r="K10173" t="str">
            <v>00021231P.11</v>
          </cell>
        </row>
        <row r="10174">
          <cell r="K10174" t="str">
            <v>00021233P.11</v>
          </cell>
        </row>
        <row r="10175">
          <cell r="K10175" t="str">
            <v>00021232P.11</v>
          </cell>
        </row>
        <row r="10176">
          <cell r="K10176" t="str">
            <v>00021216P.11</v>
          </cell>
        </row>
        <row r="10177">
          <cell r="K10177" t="str">
            <v>00021212P.11</v>
          </cell>
        </row>
        <row r="10178">
          <cell r="K10178" t="str">
            <v>00021229P.11</v>
          </cell>
        </row>
        <row r="10179">
          <cell r="K10179" t="str">
            <v>00021229P.11</v>
          </cell>
        </row>
        <row r="10180">
          <cell r="K10180" t="str">
            <v>00021232P.11</v>
          </cell>
        </row>
        <row r="10181">
          <cell r="K10181" t="str">
            <v>00021233P.11</v>
          </cell>
        </row>
        <row r="10182">
          <cell r="K10182" t="str">
            <v>00021210P.11</v>
          </cell>
        </row>
        <row r="10183">
          <cell r="K10183" t="str">
            <v>00021231P.11</v>
          </cell>
        </row>
        <row r="10184">
          <cell r="K10184" t="str">
            <v>00021220P.11</v>
          </cell>
        </row>
        <row r="10185">
          <cell r="K10185" t="str">
            <v>00021223P.11</v>
          </cell>
        </row>
        <row r="10186">
          <cell r="K10186" t="str">
            <v>00021230P.11</v>
          </cell>
        </row>
        <row r="10187">
          <cell r="K10187" t="str">
            <v>00021231P.11</v>
          </cell>
        </row>
        <row r="10188">
          <cell r="K10188" t="str">
            <v>00021210P.11</v>
          </cell>
        </row>
        <row r="10189">
          <cell r="K10189" t="str">
            <v>00021229P.11</v>
          </cell>
        </row>
        <row r="10190">
          <cell r="K10190" t="str">
            <v>00021235P.11</v>
          </cell>
        </row>
        <row r="10191">
          <cell r="K10191" t="str">
            <v>00021221P.11</v>
          </cell>
        </row>
        <row r="10192">
          <cell r="K10192" t="str">
            <v>00021225P.11</v>
          </cell>
        </row>
        <row r="10193">
          <cell r="K10193" t="str">
            <v>00021235P.11</v>
          </cell>
        </row>
        <row r="10194">
          <cell r="K10194" t="str">
            <v>00021228P.11</v>
          </cell>
        </row>
        <row r="10195">
          <cell r="K10195" t="str">
            <v>00021213P.11</v>
          </cell>
        </row>
        <row r="10196">
          <cell r="K10196" t="str">
            <v>00021218P.11</v>
          </cell>
        </row>
        <row r="10197">
          <cell r="K10197" t="str">
            <v>00021214P.11</v>
          </cell>
        </row>
        <row r="10198">
          <cell r="K10198" t="str">
            <v>00021211P.11</v>
          </cell>
        </row>
        <row r="10199">
          <cell r="K10199" t="str">
            <v>00021221P.11</v>
          </cell>
        </row>
        <row r="10200">
          <cell r="K10200" t="str">
            <v>00021225P.11</v>
          </cell>
        </row>
        <row r="10201">
          <cell r="K10201" t="str">
            <v>00021231P.11</v>
          </cell>
        </row>
        <row r="10202">
          <cell r="K10202" t="str">
            <v>00021236P.11</v>
          </cell>
        </row>
        <row r="10203">
          <cell r="K10203" t="str">
            <v>00021234P.11</v>
          </cell>
        </row>
        <row r="10204">
          <cell r="K10204" t="str">
            <v>00021228P.11</v>
          </cell>
        </row>
        <row r="10205">
          <cell r="K10205" t="str">
            <v>00021232P.11</v>
          </cell>
        </row>
        <row r="10206">
          <cell r="K10206" t="str">
            <v>00021221P.11</v>
          </cell>
        </row>
        <row r="10207">
          <cell r="K10207" t="str">
            <v>00021231P.11</v>
          </cell>
        </row>
        <row r="10208">
          <cell r="K10208" t="str">
            <v>00021214P.11</v>
          </cell>
        </row>
        <row r="10209">
          <cell r="K10209" t="str">
            <v>00021231P.11</v>
          </cell>
        </row>
        <row r="10210">
          <cell r="K10210" t="str">
            <v>00021212P.11</v>
          </cell>
        </row>
        <row r="10211">
          <cell r="K10211" t="str">
            <v>00021236P.11</v>
          </cell>
        </row>
        <row r="10212">
          <cell r="K10212" t="str">
            <v>00021214P.11</v>
          </cell>
        </row>
        <row r="10213">
          <cell r="K10213" t="str">
            <v>00021228P.11</v>
          </cell>
        </row>
        <row r="10214">
          <cell r="K10214" t="str">
            <v>00021229P.11</v>
          </cell>
        </row>
        <row r="10215">
          <cell r="K10215" t="str">
            <v>00021233P.11</v>
          </cell>
        </row>
        <row r="10216">
          <cell r="K10216" t="str">
            <v>00021233P.11</v>
          </cell>
        </row>
        <row r="10217">
          <cell r="K10217" t="str">
            <v>00021229P.11</v>
          </cell>
        </row>
        <row r="10218">
          <cell r="K10218" t="str">
            <v>00021232P.11</v>
          </cell>
        </row>
        <row r="10219">
          <cell r="K10219" t="str">
            <v>00021214P.11</v>
          </cell>
        </row>
        <row r="10220">
          <cell r="K10220" t="str">
            <v>00021212P.11</v>
          </cell>
        </row>
        <row r="10221">
          <cell r="K10221" t="str">
            <v>00021228P.11</v>
          </cell>
        </row>
        <row r="10222">
          <cell r="K10222" t="str">
            <v>00021221P.11</v>
          </cell>
        </row>
        <row r="10223">
          <cell r="K10223" t="str">
            <v>00021210P.11</v>
          </cell>
        </row>
        <row r="10224">
          <cell r="K10224" t="str">
            <v>00021218P.11</v>
          </cell>
        </row>
        <row r="10225">
          <cell r="K10225" t="str">
            <v>00021212P.11</v>
          </cell>
        </row>
        <row r="10226">
          <cell r="K10226" t="str">
            <v>00021229P.11</v>
          </cell>
        </row>
        <row r="10227">
          <cell r="K10227" t="str">
            <v>00021230P.11</v>
          </cell>
        </row>
        <row r="10228">
          <cell r="K10228" t="str">
            <v>00021213P.11</v>
          </cell>
        </row>
        <row r="10229">
          <cell r="K10229" t="str">
            <v>00021225P.11</v>
          </cell>
        </row>
        <row r="10230">
          <cell r="K10230" t="str">
            <v>00021229P.11</v>
          </cell>
        </row>
        <row r="10231">
          <cell r="K10231" t="str">
            <v>00021230P.11</v>
          </cell>
        </row>
        <row r="10232">
          <cell r="K10232" t="str">
            <v>00021230P.11</v>
          </cell>
        </row>
        <row r="10233">
          <cell r="K10233" t="str">
            <v>00021221P.11</v>
          </cell>
        </row>
        <row r="10234">
          <cell r="K10234" t="str">
            <v>00021217P.11</v>
          </cell>
        </row>
        <row r="10235">
          <cell r="K10235" t="str">
            <v>00021229P.11</v>
          </cell>
        </row>
        <row r="10236">
          <cell r="K10236" t="str">
            <v>00021212P.11</v>
          </cell>
        </row>
        <row r="10237">
          <cell r="K10237" t="str">
            <v>00021232P.11</v>
          </cell>
        </row>
        <row r="10238">
          <cell r="K10238" t="str">
            <v>00021222P.11</v>
          </cell>
        </row>
        <row r="10239">
          <cell r="K10239" t="str">
            <v>00021233P.11</v>
          </cell>
        </row>
        <row r="10240">
          <cell r="K10240" t="str">
            <v>00021217P.11</v>
          </cell>
        </row>
        <row r="10241">
          <cell r="K10241" t="str">
            <v>00021223P.11</v>
          </cell>
        </row>
        <row r="10242">
          <cell r="K10242" t="str">
            <v>00021223P.11</v>
          </cell>
        </row>
        <row r="10243">
          <cell r="K10243" t="str">
            <v>00021228P.11</v>
          </cell>
        </row>
        <row r="10244">
          <cell r="K10244" t="str">
            <v>00021232P.11</v>
          </cell>
        </row>
        <row r="10245">
          <cell r="K10245" t="str">
            <v>00021212P.11</v>
          </cell>
        </row>
        <row r="10246">
          <cell r="K10246" t="str">
            <v>00021229P.11</v>
          </cell>
        </row>
        <row r="10247">
          <cell r="K10247" t="str">
            <v>00021217P.11</v>
          </cell>
        </row>
        <row r="10248">
          <cell r="K10248" t="str">
            <v>00021210P.11</v>
          </cell>
        </row>
        <row r="10249">
          <cell r="K10249" t="str">
            <v>00021231P.11</v>
          </cell>
        </row>
        <row r="10250">
          <cell r="K10250" t="str">
            <v>00021229P.11</v>
          </cell>
        </row>
        <row r="10251">
          <cell r="K10251" t="str">
            <v>00021228P.11</v>
          </cell>
        </row>
        <row r="10252">
          <cell r="K10252" t="str">
            <v>00021231P.11</v>
          </cell>
        </row>
        <row r="10253">
          <cell r="K10253" t="str">
            <v>00021228P.11</v>
          </cell>
        </row>
        <row r="10254">
          <cell r="K10254" t="str">
            <v>00021217P.11</v>
          </cell>
        </row>
        <row r="10255">
          <cell r="K10255" t="str">
            <v>00021228P.11</v>
          </cell>
        </row>
        <row r="10256">
          <cell r="K10256" t="str">
            <v>00021226P.11</v>
          </cell>
        </row>
        <row r="10257">
          <cell r="K10257" t="str">
            <v>00021231P.11</v>
          </cell>
        </row>
        <row r="10258">
          <cell r="K10258" t="str">
            <v>00021213P.11</v>
          </cell>
        </row>
        <row r="10259">
          <cell r="K10259" t="str">
            <v>00021222P.11</v>
          </cell>
        </row>
        <row r="10260">
          <cell r="K10260" t="str">
            <v>00021226P.11</v>
          </cell>
        </row>
        <row r="10261">
          <cell r="K10261" t="str">
            <v>00021228P.11</v>
          </cell>
        </row>
        <row r="10262">
          <cell r="K10262" t="str">
            <v>00021217P.11</v>
          </cell>
        </row>
        <row r="10263">
          <cell r="K10263" t="str">
            <v>00021218P.11</v>
          </cell>
        </row>
        <row r="10264">
          <cell r="K10264" t="str">
            <v>00021233P.11</v>
          </cell>
        </row>
        <row r="10265">
          <cell r="K10265" t="str">
            <v>00021228P.11</v>
          </cell>
        </row>
        <row r="10266">
          <cell r="K10266" t="str">
            <v>00021234P.11</v>
          </cell>
        </row>
        <row r="10267">
          <cell r="K10267" t="str">
            <v>00021230P.11</v>
          </cell>
        </row>
        <row r="10268">
          <cell r="K10268" t="str">
            <v>00021231P.11</v>
          </cell>
        </row>
        <row r="10269">
          <cell r="K10269" t="str">
            <v>00021222P.11</v>
          </cell>
        </row>
        <row r="10270">
          <cell r="K10270" t="str">
            <v>00021216P.11</v>
          </cell>
        </row>
        <row r="10271">
          <cell r="K10271" t="str">
            <v>00021212P.11</v>
          </cell>
        </row>
        <row r="10272">
          <cell r="K10272" t="str">
            <v>00021228P.11</v>
          </cell>
        </row>
        <row r="10273">
          <cell r="K10273" t="str">
            <v>00021234P.11</v>
          </cell>
        </row>
        <row r="10274">
          <cell r="K10274" t="str">
            <v>00021217P.11</v>
          </cell>
        </row>
        <row r="10275">
          <cell r="K10275" t="str">
            <v>00021229P.11</v>
          </cell>
        </row>
        <row r="10276">
          <cell r="K10276" t="str">
            <v>00021214P.11</v>
          </cell>
        </row>
        <row r="10277">
          <cell r="K10277" t="str">
            <v>00021215P.11</v>
          </cell>
        </row>
        <row r="10278">
          <cell r="K10278" t="str">
            <v>00021213P.11</v>
          </cell>
        </row>
        <row r="10279">
          <cell r="K10279" t="str">
            <v>00021208P.11</v>
          </cell>
        </row>
        <row r="10280">
          <cell r="K10280" t="str">
            <v>00021230P.11</v>
          </cell>
        </row>
        <row r="10281">
          <cell r="K10281" t="str">
            <v>00021212P.11</v>
          </cell>
        </row>
        <row r="10282">
          <cell r="K10282" t="str">
            <v>00021212P.11</v>
          </cell>
        </row>
        <row r="10283">
          <cell r="K10283" t="str">
            <v>00021212P.11</v>
          </cell>
        </row>
        <row r="10284">
          <cell r="K10284" t="str">
            <v>00021213P.11</v>
          </cell>
        </row>
        <row r="10285">
          <cell r="K10285" t="str">
            <v>00021213P.11</v>
          </cell>
        </row>
        <row r="10286">
          <cell r="K10286" t="str">
            <v>00021213P.11</v>
          </cell>
        </row>
        <row r="10287">
          <cell r="K10287" t="str">
            <v>00021214P.11</v>
          </cell>
        </row>
        <row r="10288">
          <cell r="K10288" t="str">
            <v>00021214P.11</v>
          </cell>
        </row>
        <row r="10289">
          <cell r="K10289" t="str">
            <v>00021222P.11</v>
          </cell>
        </row>
        <row r="10290">
          <cell r="K10290" t="str">
            <v>00021223P.11</v>
          </cell>
        </row>
        <row r="10291">
          <cell r="K10291" t="str">
            <v>00021223P.11</v>
          </cell>
        </row>
        <row r="10292">
          <cell r="K10292" t="str">
            <v>00021224P.11</v>
          </cell>
        </row>
        <row r="10293">
          <cell r="K10293" t="str">
            <v>00021226P.11</v>
          </cell>
        </row>
        <row r="10294">
          <cell r="K10294" t="str">
            <v>00021226P.11</v>
          </cell>
        </row>
        <row r="10295">
          <cell r="K10295" t="str">
            <v>00021228P.11</v>
          </cell>
        </row>
        <row r="10296">
          <cell r="K10296" t="str">
            <v>00021228P.11</v>
          </cell>
        </row>
        <row r="10297">
          <cell r="K10297" t="str">
            <v>00021228P.11</v>
          </cell>
        </row>
        <row r="10298">
          <cell r="K10298" t="str">
            <v>00021228P.11</v>
          </cell>
        </row>
        <row r="10299">
          <cell r="K10299" t="str">
            <v>00021228P.11</v>
          </cell>
        </row>
        <row r="10300">
          <cell r="K10300" t="str">
            <v>00021211P.11</v>
          </cell>
        </row>
        <row r="10301">
          <cell r="K10301" t="str">
            <v>00021215P.11</v>
          </cell>
        </row>
        <row r="10302">
          <cell r="K10302" t="str">
            <v>00021215P.11</v>
          </cell>
        </row>
        <row r="10303">
          <cell r="K10303" t="str">
            <v>00021216P.11</v>
          </cell>
        </row>
        <row r="10304">
          <cell r="K10304" t="str">
            <v>00021216P.11</v>
          </cell>
        </row>
        <row r="10305">
          <cell r="K10305" t="str">
            <v>00021217P.11</v>
          </cell>
        </row>
        <row r="10306">
          <cell r="K10306" t="str">
            <v>00021217P.11</v>
          </cell>
        </row>
        <row r="10307">
          <cell r="K10307" t="str">
            <v>00021217P.11</v>
          </cell>
        </row>
        <row r="10308">
          <cell r="K10308" t="str">
            <v>00021217P.11</v>
          </cell>
        </row>
        <row r="10309">
          <cell r="K10309" t="str">
            <v>00021219P.11</v>
          </cell>
        </row>
        <row r="10310">
          <cell r="K10310" t="str">
            <v>00021222P.11</v>
          </cell>
        </row>
        <row r="10311">
          <cell r="K10311" t="str">
            <v>00021222P.11</v>
          </cell>
        </row>
        <row r="10312">
          <cell r="K10312" t="str">
            <v>00021222P.11</v>
          </cell>
        </row>
        <row r="10313">
          <cell r="K10313" t="str">
            <v>00021225P.11</v>
          </cell>
        </row>
        <row r="10314">
          <cell r="K10314" t="str">
            <v>00021225P.11</v>
          </cell>
        </row>
        <row r="10315">
          <cell r="K10315" t="str">
            <v>00021226P.11</v>
          </cell>
        </row>
        <row r="10316">
          <cell r="K10316" t="str">
            <v>00021228P.11</v>
          </cell>
        </row>
        <row r="10317">
          <cell r="K10317" t="str">
            <v>00021228P.11</v>
          </cell>
        </row>
        <row r="10318">
          <cell r="K10318" t="str">
            <v>00021228P.11</v>
          </cell>
        </row>
        <row r="10319">
          <cell r="K10319" t="str">
            <v>00021228P.11</v>
          </cell>
        </row>
        <row r="10320">
          <cell r="K10320" t="str">
            <v>00021228P.11</v>
          </cell>
        </row>
        <row r="10321">
          <cell r="K10321" t="str">
            <v>00021228P.11</v>
          </cell>
        </row>
        <row r="10322">
          <cell r="K10322" t="str">
            <v>00021228P.11</v>
          </cell>
        </row>
        <row r="10323">
          <cell r="K10323" t="str">
            <v>00021228P.11</v>
          </cell>
        </row>
        <row r="10324">
          <cell r="K10324" t="str">
            <v>00021228P.11</v>
          </cell>
        </row>
        <row r="10325">
          <cell r="K10325" t="str">
            <v>00021228P.11</v>
          </cell>
        </row>
        <row r="10326">
          <cell r="K10326" t="str">
            <v>00021229P.11</v>
          </cell>
        </row>
        <row r="10327">
          <cell r="K10327" t="str">
            <v>00021229P.11</v>
          </cell>
        </row>
        <row r="10328">
          <cell r="K10328" t="str">
            <v>00021229P.11</v>
          </cell>
        </row>
        <row r="10329">
          <cell r="K10329" t="str">
            <v>00021230P.11</v>
          </cell>
        </row>
        <row r="10330">
          <cell r="K10330" t="str">
            <v>00021230P.11</v>
          </cell>
        </row>
        <row r="10331">
          <cell r="K10331" t="str">
            <v>00021230P.11</v>
          </cell>
        </row>
        <row r="10332">
          <cell r="K10332" t="str">
            <v>00021230P.11</v>
          </cell>
        </row>
        <row r="10333">
          <cell r="K10333" t="str">
            <v>00021230P.11</v>
          </cell>
        </row>
        <row r="10334">
          <cell r="K10334" t="str">
            <v>00021230P.11</v>
          </cell>
        </row>
        <row r="10335">
          <cell r="K10335" t="str">
            <v>00021231P.11</v>
          </cell>
        </row>
        <row r="10336">
          <cell r="K10336" t="str">
            <v>00021231P.11</v>
          </cell>
        </row>
        <row r="10337">
          <cell r="K10337" t="str">
            <v>00021231P.11</v>
          </cell>
        </row>
        <row r="10338">
          <cell r="K10338" t="str">
            <v>00021231P.11</v>
          </cell>
        </row>
        <row r="10339">
          <cell r="K10339" t="str">
            <v>00021231P.11</v>
          </cell>
        </row>
        <row r="10340">
          <cell r="K10340" t="str">
            <v>00021231P.11</v>
          </cell>
        </row>
        <row r="10341">
          <cell r="K10341" t="str">
            <v>00021231P.11</v>
          </cell>
        </row>
        <row r="10342">
          <cell r="K10342" t="str">
            <v>00021235P.11</v>
          </cell>
        </row>
        <row r="10343">
          <cell r="K10343" t="str">
            <v>00021235P.11</v>
          </cell>
        </row>
        <row r="10344">
          <cell r="K10344" t="str">
            <v>00021235P.11</v>
          </cell>
        </row>
        <row r="10345">
          <cell r="K10345" t="str">
            <v>00021235P.11</v>
          </cell>
        </row>
        <row r="10346">
          <cell r="K10346" t="str">
            <v>00021235P.11</v>
          </cell>
        </row>
        <row r="10347">
          <cell r="K10347" t="str">
            <v>00021243P.11</v>
          </cell>
        </row>
        <row r="10348">
          <cell r="K10348" t="str">
            <v>00021250P.11</v>
          </cell>
        </row>
        <row r="10349">
          <cell r="K10349" t="str">
            <v>00021210P.11</v>
          </cell>
        </row>
        <row r="10350">
          <cell r="K10350" t="str">
            <v>00021210P.11</v>
          </cell>
        </row>
        <row r="10351">
          <cell r="K10351" t="str">
            <v>00021211P.11</v>
          </cell>
        </row>
        <row r="10352">
          <cell r="K10352" t="str">
            <v>00021211P.11</v>
          </cell>
        </row>
        <row r="10353">
          <cell r="K10353" t="str">
            <v>00021211P.11</v>
          </cell>
        </row>
        <row r="10354">
          <cell r="K10354" t="str">
            <v>00021211P.11</v>
          </cell>
        </row>
        <row r="10355">
          <cell r="K10355" t="str">
            <v>00021211P.11</v>
          </cell>
        </row>
        <row r="10356">
          <cell r="K10356" t="str">
            <v>00021211P.11</v>
          </cell>
        </row>
        <row r="10357">
          <cell r="K10357" t="str">
            <v>00021212P.11</v>
          </cell>
        </row>
        <row r="10358">
          <cell r="K10358" t="str">
            <v>00021212P.11</v>
          </cell>
        </row>
        <row r="10359">
          <cell r="K10359" t="str">
            <v>00021213P.11</v>
          </cell>
        </row>
        <row r="10360">
          <cell r="K10360" t="str">
            <v>00021213P.11</v>
          </cell>
        </row>
        <row r="10361">
          <cell r="K10361" t="str">
            <v>00021213P.11</v>
          </cell>
        </row>
        <row r="10362">
          <cell r="K10362" t="str">
            <v>00021213P.11</v>
          </cell>
        </row>
        <row r="10363">
          <cell r="K10363" t="str">
            <v>00021213P.11</v>
          </cell>
        </row>
        <row r="10364">
          <cell r="K10364" t="str">
            <v>00021213P.11</v>
          </cell>
        </row>
        <row r="10365">
          <cell r="K10365" t="str">
            <v>00021213P.11</v>
          </cell>
        </row>
        <row r="10366">
          <cell r="K10366" t="str">
            <v>00021213P.11</v>
          </cell>
        </row>
        <row r="10367">
          <cell r="K10367" t="str">
            <v>00021213P.11</v>
          </cell>
        </row>
        <row r="10368">
          <cell r="K10368" t="str">
            <v>00021215P.11</v>
          </cell>
        </row>
        <row r="10369">
          <cell r="K10369" t="str">
            <v>00021215P.11</v>
          </cell>
        </row>
        <row r="10370">
          <cell r="K10370" t="str">
            <v>00021215P.11</v>
          </cell>
        </row>
        <row r="10371">
          <cell r="K10371" t="str">
            <v>00021216P.11</v>
          </cell>
        </row>
        <row r="10372">
          <cell r="K10372" t="str">
            <v>00021216P.11</v>
          </cell>
        </row>
        <row r="10373">
          <cell r="K10373" t="str">
            <v>00021216P.11</v>
          </cell>
        </row>
        <row r="10374">
          <cell r="K10374" t="str">
            <v>00021217P.11</v>
          </cell>
        </row>
        <row r="10375">
          <cell r="K10375" t="str">
            <v>00021217P.11</v>
          </cell>
        </row>
        <row r="10376">
          <cell r="K10376" t="str">
            <v>00021217P.11</v>
          </cell>
        </row>
        <row r="10377">
          <cell r="K10377" t="str">
            <v>00021217P.11</v>
          </cell>
        </row>
        <row r="10378">
          <cell r="K10378" t="str">
            <v>00021217P.11</v>
          </cell>
        </row>
        <row r="10379">
          <cell r="K10379" t="str">
            <v>00021217P.11</v>
          </cell>
        </row>
        <row r="10380">
          <cell r="K10380" t="str">
            <v>00021218P.11</v>
          </cell>
        </row>
        <row r="10381">
          <cell r="K10381" t="str">
            <v>00021218P.11</v>
          </cell>
        </row>
        <row r="10382">
          <cell r="K10382" t="str">
            <v>00021218P.11</v>
          </cell>
        </row>
        <row r="10383">
          <cell r="K10383" t="str">
            <v>00021218P.11</v>
          </cell>
        </row>
        <row r="10384">
          <cell r="K10384" t="str">
            <v>00021218P.11</v>
          </cell>
        </row>
        <row r="10385">
          <cell r="K10385" t="str">
            <v>00021219P.11</v>
          </cell>
        </row>
        <row r="10386">
          <cell r="K10386" t="str">
            <v>00021220P.11</v>
          </cell>
        </row>
        <row r="10387">
          <cell r="K10387" t="str">
            <v>00021220P.11</v>
          </cell>
        </row>
        <row r="10388">
          <cell r="K10388" t="str">
            <v>00021220P.11</v>
          </cell>
        </row>
        <row r="10389">
          <cell r="K10389" t="str">
            <v>00021221P.11</v>
          </cell>
        </row>
        <row r="10390">
          <cell r="K10390" t="str">
            <v>00021221P.11</v>
          </cell>
        </row>
        <row r="10391">
          <cell r="K10391" t="str">
            <v>00021222P.11</v>
          </cell>
        </row>
        <row r="10392">
          <cell r="K10392" t="str">
            <v>00021222P.11</v>
          </cell>
        </row>
        <row r="10393">
          <cell r="K10393" t="str">
            <v>00021223P.11</v>
          </cell>
        </row>
        <row r="10394">
          <cell r="K10394" t="str">
            <v>00021223P.11</v>
          </cell>
        </row>
        <row r="10395">
          <cell r="K10395" t="str">
            <v>00021223P.11</v>
          </cell>
        </row>
        <row r="10396">
          <cell r="K10396" t="str">
            <v>00021223P.11</v>
          </cell>
        </row>
        <row r="10397">
          <cell r="K10397" t="str">
            <v>00021223P.11</v>
          </cell>
        </row>
        <row r="10398">
          <cell r="K10398" t="str">
            <v>00021224P.11</v>
          </cell>
        </row>
        <row r="10399">
          <cell r="K10399" t="str">
            <v>00021225P.11</v>
          </cell>
        </row>
        <row r="10400">
          <cell r="K10400" t="str">
            <v>00021226P.11</v>
          </cell>
        </row>
        <row r="10401">
          <cell r="K10401" t="str">
            <v>00021226P.11</v>
          </cell>
        </row>
        <row r="10402">
          <cell r="K10402" t="str">
            <v>00021226P.11</v>
          </cell>
        </row>
        <row r="10403">
          <cell r="K10403" t="str">
            <v>00021227P.11</v>
          </cell>
        </row>
        <row r="10404">
          <cell r="K10404" t="str">
            <v>00021228P.11</v>
          </cell>
        </row>
        <row r="10405">
          <cell r="K10405" t="str">
            <v>00021228P.11</v>
          </cell>
        </row>
        <row r="10406">
          <cell r="K10406" t="str">
            <v>00021228P.11</v>
          </cell>
        </row>
        <row r="10407">
          <cell r="K10407" t="str">
            <v>00021228P.11</v>
          </cell>
        </row>
        <row r="10408">
          <cell r="K10408" t="str">
            <v>00021228P.11</v>
          </cell>
        </row>
        <row r="10409">
          <cell r="K10409" t="str">
            <v>00021228P.11</v>
          </cell>
        </row>
        <row r="10410">
          <cell r="K10410" t="str">
            <v>00021228P.11</v>
          </cell>
        </row>
        <row r="10411">
          <cell r="K10411" t="str">
            <v>00021228P.11</v>
          </cell>
        </row>
        <row r="10412">
          <cell r="K10412" t="str">
            <v>00021229P.11</v>
          </cell>
        </row>
        <row r="10413">
          <cell r="K10413" t="str">
            <v>00021229P.11</v>
          </cell>
        </row>
        <row r="10414">
          <cell r="K10414" t="str">
            <v>00021229P.11</v>
          </cell>
        </row>
        <row r="10415">
          <cell r="K10415" t="str">
            <v>00021229P.11</v>
          </cell>
        </row>
        <row r="10416">
          <cell r="K10416" t="str">
            <v>00021229P.11</v>
          </cell>
        </row>
        <row r="10417">
          <cell r="K10417" t="str">
            <v>00021229P.11</v>
          </cell>
        </row>
        <row r="10418">
          <cell r="K10418" t="str">
            <v>00021229P.11</v>
          </cell>
        </row>
        <row r="10419">
          <cell r="K10419" t="str">
            <v>00021229P.11</v>
          </cell>
        </row>
        <row r="10420">
          <cell r="K10420" t="str">
            <v>00021229P.11</v>
          </cell>
        </row>
        <row r="10421">
          <cell r="K10421" t="str">
            <v>00021229P.11</v>
          </cell>
        </row>
        <row r="10422">
          <cell r="K10422" t="str">
            <v>00021229P.11</v>
          </cell>
        </row>
        <row r="10423">
          <cell r="K10423" t="str">
            <v>00021229P.11</v>
          </cell>
        </row>
        <row r="10424">
          <cell r="K10424" t="str">
            <v>00021229P.11</v>
          </cell>
        </row>
        <row r="10425">
          <cell r="K10425" t="str">
            <v>00021229P.11</v>
          </cell>
        </row>
        <row r="10426">
          <cell r="K10426" t="str">
            <v>00021229P.11</v>
          </cell>
        </row>
        <row r="10427">
          <cell r="K10427" t="str">
            <v>00021229P.11</v>
          </cell>
        </row>
        <row r="10428">
          <cell r="K10428" t="str">
            <v>00021229P.11</v>
          </cell>
        </row>
        <row r="10429">
          <cell r="K10429" t="str">
            <v>00021229P.11</v>
          </cell>
        </row>
        <row r="10430">
          <cell r="K10430" t="str">
            <v>00021230P.11</v>
          </cell>
        </row>
        <row r="10431">
          <cell r="K10431" t="str">
            <v>00021231P.11</v>
          </cell>
        </row>
        <row r="10432">
          <cell r="K10432" t="str">
            <v>00021231P.11</v>
          </cell>
        </row>
        <row r="10433">
          <cell r="K10433" t="str">
            <v>00021231P.11</v>
          </cell>
        </row>
        <row r="10434">
          <cell r="K10434" t="str">
            <v>00021231P.11</v>
          </cell>
        </row>
        <row r="10435">
          <cell r="K10435" t="str">
            <v>00021231P.11</v>
          </cell>
        </row>
        <row r="10436">
          <cell r="K10436" t="str">
            <v>00021231P.11</v>
          </cell>
        </row>
        <row r="10437">
          <cell r="K10437" t="str">
            <v>00021231P.11</v>
          </cell>
        </row>
        <row r="10438">
          <cell r="K10438" t="str">
            <v>00021231P.11</v>
          </cell>
        </row>
        <row r="10439">
          <cell r="K10439" t="str">
            <v>00021231P.11</v>
          </cell>
        </row>
        <row r="10440">
          <cell r="K10440" t="str">
            <v>00021232P.11</v>
          </cell>
        </row>
        <row r="10441">
          <cell r="K10441" t="str">
            <v>00021232P.11</v>
          </cell>
        </row>
        <row r="10442">
          <cell r="K10442" t="str">
            <v>00021232P.11</v>
          </cell>
        </row>
        <row r="10443">
          <cell r="K10443" t="str">
            <v>00021232P.11</v>
          </cell>
        </row>
        <row r="10444">
          <cell r="K10444" t="str">
            <v>00021232P.11</v>
          </cell>
        </row>
        <row r="10445">
          <cell r="K10445" t="str">
            <v>00021232P.11</v>
          </cell>
        </row>
        <row r="10446">
          <cell r="K10446" t="str">
            <v>00021232P.11</v>
          </cell>
        </row>
        <row r="10447">
          <cell r="K10447" t="str">
            <v>00021233P.11</v>
          </cell>
        </row>
        <row r="10448">
          <cell r="K10448" t="str">
            <v>00021233P.11</v>
          </cell>
        </row>
        <row r="10449">
          <cell r="K10449" t="str">
            <v>00021233P.11</v>
          </cell>
        </row>
        <row r="10450">
          <cell r="K10450" t="str">
            <v>00021233P.11</v>
          </cell>
        </row>
        <row r="10451">
          <cell r="K10451" t="str">
            <v>00021233P.11</v>
          </cell>
        </row>
        <row r="10452">
          <cell r="K10452" t="str">
            <v>00021233P.11</v>
          </cell>
        </row>
        <row r="10453">
          <cell r="K10453" t="str">
            <v>00021233P.11</v>
          </cell>
        </row>
        <row r="10454">
          <cell r="K10454" t="str">
            <v>00021233P.11</v>
          </cell>
        </row>
        <row r="10455">
          <cell r="K10455" t="str">
            <v>00021234P.11</v>
          </cell>
        </row>
        <row r="10456">
          <cell r="K10456" t="str">
            <v>00021234P.11</v>
          </cell>
        </row>
        <row r="10457">
          <cell r="K10457" t="str">
            <v>00021234P.11</v>
          </cell>
        </row>
        <row r="10458">
          <cell r="K10458" t="str">
            <v>00021234P.11</v>
          </cell>
        </row>
        <row r="10459">
          <cell r="K10459" t="str">
            <v>00021235P.11</v>
          </cell>
        </row>
        <row r="10460">
          <cell r="K10460" t="str">
            <v>00021235P.11</v>
          </cell>
        </row>
        <row r="10461">
          <cell r="K10461" t="str">
            <v>00021236P.11</v>
          </cell>
        </row>
        <row r="10462">
          <cell r="K10462" t="str">
            <v>00021236P.11</v>
          </cell>
        </row>
        <row r="10463">
          <cell r="K10463" t="str">
            <v>00021236P.11</v>
          </cell>
        </row>
        <row r="10464">
          <cell r="K10464" t="str">
            <v>00021236P.11</v>
          </cell>
        </row>
        <row r="10465">
          <cell r="K10465" t="str">
            <v>00021236P.11</v>
          </cell>
        </row>
        <row r="10466">
          <cell r="K10466" t="str">
            <v>00021253P.11</v>
          </cell>
        </row>
        <row r="10467">
          <cell r="K10467" t="str">
            <v>00021253P.11</v>
          </cell>
        </row>
        <row r="10468">
          <cell r="K10468" t="str">
            <v>00021253P.11</v>
          </cell>
        </row>
        <row r="10469">
          <cell r="K10469" t="str">
            <v>00021253P.11</v>
          </cell>
        </row>
        <row r="10470">
          <cell r="K10470" t="str">
            <v>00021241P.11</v>
          </cell>
        </row>
        <row r="10471">
          <cell r="K10471" t="str">
            <v>00021206P.11</v>
          </cell>
        </row>
        <row r="10472">
          <cell r="K10472" t="str">
            <v>00021214P.11</v>
          </cell>
        </row>
        <row r="10473">
          <cell r="K10473" t="str">
            <v>00021214P.11</v>
          </cell>
        </row>
        <row r="10474">
          <cell r="K10474" t="str">
            <v>00021228P.11</v>
          </cell>
        </row>
        <row r="10475">
          <cell r="K10475" t="str">
            <v>00021228P.11</v>
          </cell>
        </row>
        <row r="10476">
          <cell r="K10476" t="str">
            <v>00021228P.11</v>
          </cell>
        </row>
        <row r="10477">
          <cell r="K10477" t="str">
            <v>00021228P.11</v>
          </cell>
        </row>
        <row r="10478">
          <cell r="K10478" t="str">
            <v>00021228P.11</v>
          </cell>
        </row>
        <row r="10479">
          <cell r="K10479" t="str">
            <v>00021228P.11</v>
          </cell>
        </row>
        <row r="10480">
          <cell r="K10480" t="str">
            <v>00021228P.11</v>
          </cell>
        </row>
        <row r="10481">
          <cell r="K10481" t="str">
            <v>00021228P.11</v>
          </cell>
        </row>
        <row r="10482">
          <cell r="K10482" t="str">
            <v>00021230P.11</v>
          </cell>
        </row>
        <row r="10483">
          <cell r="K10483" t="str">
            <v>00021253P.11</v>
          </cell>
        </row>
        <row r="10484">
          <cell r="K10484" t="str">
            <v>00021253P.11</v>
          </cell>
        </row>
        <row r="10485">
          <cell r="K10485" t="str">
            <v>00021259P.11</v>
          </cell>
        </row>
        <row r="10486">
          <cell r="K10486" t="str">
            <v>00021258P.11</v>
          </cell>
        </row>
        <row r="10487">
          <cell r="K10487" t="str">
            <v>00021258P.11</v>
          </cell>
        </row>
        <row r="10488">
          <cell r="K10488" t="str">
            <v>00021213P.11</v>
          </cell>
        </row>
        <row r="10489">
          <cell r="K10489" t="str">
            <v>00021223P.11</v>
          </cell>
        </row>
        <row r="10490">
          <cell r="K10490" t="str">
            <v>00021226P.11</v>
          </cell>
        </row>
        <row r="10491">
          <cell r="K10491" t="str">
            <v>00021226P.11</v>
          </cell>
        </row>
        <row r="10492">
          <cell r="K10492" t="str">
            <v>00021228P.11</v>
          </cell>
        </row>
        <row r="10493">
          <cell r="K10493" t="str">
            <v>00021229P.11</v>
          </cell>
        </row>
        <row r="10494">
          <cell r="K10494" t="str">
            <v>00021229P.11</v>
          </cell>
        </row>
        <row r="10495">
          <cell r="K10495" t="str">
            <v>00021233P.11</v>
          </cell>
        </row>
        <row r="10496">
          <cell r="K10496" t="str">
            <v>00021234P.11</v>
          </cell>
        </row>
        <row r="10497">
          <cell r="K10497" t="str">
            <v>00021236P.11</v>
          </cell>
        </row>
        <row r="10498">
          <cell r="K10498" t="str">
            <v>00021245P.11</v>
          </cell>
        </row>
        <row r="10499">
          <cell r="K10499" t="str">
            <v>00021245P.11</v>
          </cell>
        </row>
        <row r="10500">
          <cell r="K10500" t="str">
            <v>00021253P.11</v>
          </cell>
        </row>
        <row r="10501">
          <cell r="K10501" t="str">
            <v>00021253P.11</v>
          </cell>
        </row>
        <row r="10502">
          <cell r="K10502" t="str">
            <v>00021210P.11</v>
          </cell>
        </row>
        <row r="10503">
          <cell r="K10503" t="str">
            <v>00021210P.11</v>
          </cell>
        </row>
        <row r="10504">
          <cell r="K10504" t="str">
            <v>00021212P.11</v>
          </cell>
        </row>
        <row r="10505">
          <cell r="K10505" t="str">
            <v>00021213P.11</v>
          </cell>
        </row>
        <row r="10506">
          <cell r="K10506" t="str">
            <v>00021217P.11</v>
          </cell>
        </row>
        <row r="10507">
          <cell r="K10507" t="str">
            <v>00021220P.11</v>
          </cell>
        </row>
        <row r="10508">
          <cell r="K10508" t="str">
            <v>00021220P.11</v>
          </cell>
        </row>
        <row r="10509">
          <cell r="K10509" t="str">
            <v>00021222P.11</v>
          </cell>
        </row>
        <row r="10510">
          <cell r="K10510" t="str">
            <v>00021224P.11</v>
          </cell>
        </row>
        <row r="10511">
          <cell r="K10511" t="str">
            <v>00021228P.11</v>
          </cell>
        </row>
        <row r="10512">
          <cell r="K10512" t="str">
            <v>00021228P.11</v>
          </cell>
        </row>
        <row r="10513">
          <cell r="K10513" t="str">
            <v>00021228P.11</v>
          </cell>
        </row>
        <row r="10514">
          <cell r="K10514" t="str">
            <v>00021231P.11</v>
          </cell>
        </row>
        <row r="10515">
          <cell r="K10515" t="str">
            <v>00021231P.11</v>
          </cell>
        </row>
        <row r="10516">
          <cell r="K10516" t="str">
            <v>00021232P.11</v>
          </cell>
        </row>
        <row r="10517">
          <cell r="K10517" t="str">
            <v>00021232P.11</v>
          </cell>
        </row>
        <row r="10518">
          <cell r="K10518" t="str">
            <v>00021232P.11</v>
          </cell>
        </row>
        <row r="10519">
          <cell r="K10519" t="str">
            <v>00021233P.11</v>
          </cell>
        </row>
        <row r="10520">
          <cell r="K10520" t="str">
            <v>00021233P.11</v>
          </cell>
        </row>
        <row r="10521">
          <cell r="K10521" t="str">
            <v>00021233P.11</v>
          </cell>
        </row>
        <row r="10522">
          <cell r="K10522" t="str">
            <v>00021234P.11</v>
          </cell>
        </row>
        <row r="10523">
          <cell r="K10523" t="str">
            <v>00021235P.11</v>
          </cell>
        </row>
        <row r="10524">
          <cell r="K10524" t="str">
            <v>00021236P.11</v>
          </cell>
        </row>
        <row r="10525">
          <cell r="K10525" t="str">
            <v>00021245P.11</v>
          </cell>
        </row>
        <row r="10526">
          <cell r="K10526" t="str">
            <v>00021249P.11</v>
          </cell>
        </row>
        <row r="10527">
          <cell r="K10527" t="str">
            <v>00021250P.11</v>
          </cell>
        </row>
        <row r="10528">
          <cell r="K10528" t="str">
            <v>00021250P.11</v>
          </cell>
        </row>
        <row r="10529">
          <cell r="K10529" t="str">
            <v>00021253P.11</v>
          </cell>
        </row>
        <row r="10530">
          <cell r="K10530" t="str">
            <v>00021253P.11</v>
          </cell>
        </row>
        <row r="10531">
          <cell r="K10531" t="str">
            <v>00021259P.11</v>
          </cell>
        </row>
        <row r="10532">
          <cell r="K10532" t="str">
            <v>00021212P.11</v>
          </cell>
        </row>
        <row r="10533">
          <cell r="K10533" t="str">
            <v>00021213P.11</v>
          </cell>
        </row>
        <row r="10534">
          <cell r="K10534" t="str">
            <v>00021213P.11</v>
          </cell>
        </row>
        <row r="10535">
          <cell r="K10535" t="str">
            <v>00021213P.11</v>
          </cell>
        </row>
        <row r="10536">
          <cell r="K10536" t="str">
            <v>00021217P.11</v>
          </cell>
        </row>
        <row r="10537">
          <cell r="K10537" t="str">
            <v>00021217P.11</v>
          </cell>
        </row>
        <row r="10538">
          <cell r="K10538" t="str">
            <v>00021217P.11</v>
          </cell>
        </row>
        <row r="10539">
          <cell r="K10539" t="str">
            <v>00021217P.11</v>
          </cell>
        </row>
        <row r="10540">
          <cell r="K10540" t="str">
            <v>00021220P.11</v>
          </cell>
        </row>
        <row r="10541">
          <cell r="K10541" t="str">
            <v>00021222P.11</v>
          </cell>
        </row>
        <row r="10542">
          <cell r="K10542" t="str">
            <v>00021222P.11</v>
          </cell>
        </row>
        <row r="10543">
          <cell r="K10543" t="str">
            <v>00021224P.11</v>
          </cell>
        </row>
        <row r="10544">
          <cell r="K10544" t="str">
            <v>00021226P.11</v>
          </cell>
        </row>
        <row r="10545">
          <cell r="K10545" t="str">
            <v>00021226P.11</v>
          </cell>
        </row>
        <row r="10546">
          <cell r="K10546" t="str">
            <v>00021228P.11</v>
          </cell>
        </row>
        <row r="10547">
          <cell r="K10547" t="str">
            <v>00021228P.11</v>
          </cell>
        </row>
        <row r="10548">
          <cell r="K10548" t="str">
            <v>00021228P.11</v>
          </cell>
        </row>
        <row r="10549">
          <cell r="K10549" t="str">
            <v>00021228P.11</v>
          </cell>
        </row>
        <row r="10550">
          <cell r="K10550" t="str">
            <v>00021228P.11</v>
          </cell>
        </row>
        <row r="10551">
          <cell r="K10551" t="str">
            <v>00021228P.11</v>
          </cell>
        </row>
        <row r="10552">
          <cell r="K10552" t="str">
            <v>00021231P.11</v>
          </cell>
        </row>
        <row r="10553">
          <cell r="K10553" t="str">
            <v>00021231P.11</v>
          </cell>
        </row>
        <row r="10554">
          <cell r="K10554" t="str">
            <v>00021234P.11</v>
          </cell>
        </row>
        <row r="10555">
          <cell r="K10555" t="str">
            <v>00021234P.11</v>
          </cell>
        </row>
        <row r="10556">
          <cell r="K10556" t="str">
            <v>00021234P.11</v>
          </cell>
        </row>
        <row r="10557">
          <cell r="K10557" t="str">
            <v>00021234P.11</v>
          </cell>
        </row>
        <row r="10558">
          <cell r="K10558" t="str">
            <v>00021236P.11</v>
          </cell>
        </row>
        <row r="10559">
          <cell r="K10559" t="str">
            <v>00021236P.11</v>
          </cell>
        </row>
        <row r="10560">
          <cell r="K10560" t="str">
            <v>00021236P.11</v>
          </cell>
        </row>
        <row r="10561">
          <cell r="K10561" t="str">
            <v>00021236P.11</v>
          </cell>
        </row>
        <row r="10562">
          <cell r="K10562" t="str">
            <v>00021258P.11</v>
          </cell>
        </row>
        <row r="10563">
          <cell r="K10563" t="str">
            <v>00021253P.11</v>
          </cell>
        </row>
        <row r="10564">
          <cell r="K10564" t="str">
            <v>00021253P.11</v>
          </cell>
        </row>
        <row r="10565">
          <cell r="K10565" t="str">
            <v>00021240P.11</v>
          </cell>
        </row>
        <row r="10566">
          <cell r="K10566" t="str">
            <v>00021245P.11</v>
          </cell>
        </row>
        <row r="10567">
          <cell r="K10567" t="str">
            <v>00021243P.11</v>
          </cell>
        </row>
        <row r="10568">
          <cell r="K10568" t="str">
            <v>00021243P.11</v>
          </cell>
        </row>
        <row r="10569">
          <cell r="K10569" t="str">
            <v>00021250P.11</v>
          </cell>
        </row>
        <row r="10570">
          <cell r="K10570" t="str">
            <v>00021257P.11</v>
          </cell>
        </row>
        <row r="10571">
          <cell r="K10571" t="str">
            <v>00021257P.11</v>
          </cell>
        </row>
        <row r="10572">
          <cell r="K10572" t="str">
            <v>00021209P.11</v>
          </cell>
        </row>
        <row r="10573">
          <cell r="K10573" t="str">
            <v>00021210P.11</v>
          </cell>
        </row>
        <row r="10574">
          <cell r="K10574" t="str">
            <v>00021210P.11</v>
          </cell>
        </row>
        <row r="10575">
          <cell r="K10575" t="str">
            <v>00021210P.11</v>
          </cell>
        </row>
        <row r="10576">
          <cell r="K10576" t="str">
            <v>00021211P.11</v>
          </cell>
        </row>
        <row r="10577">
          <cell r="K10577" t="str">
            <v>00021213P.11</v>
          </cell>
        </row>
        <row r="10578">
          <cell r="K10578" t="str">
            <v>00021213P.11</v>
          </cell>
        </row>
        <row r="10579">
          <cell r="K10579" t="str">
            <v>00021213P.11</v>
          </cell>
        </row>
        <row r="10580">
          <cell r="K10580" t="str">
            <v>00021213P.11</v>
          </cell>
        </row>
        <row r="10581">
          <cell r="K10581" t="str">
            <v>00021215P.11</v>
          </cell>
        </row>
        <row r="10582">
          <cell r="K10582" t="str">
            <v>00021217P.11</v>
          </cell>
        </row>
        <row r="10583">
          <cell r="K10583" t="str">
            <v>00021218P.11</v>
          </cell>
        </row>
        <row r="10584">
          <cell r="K10584" t="str">
            <v>00021220P.11</v>
          </cell>
        </row>
        <row r="10585">
          <cell r="K10585" t="str">
            <v>00021221P.11</v>
          </cell>
        </row>
        <row r="10586">
          <cell r="K10586" t="str">
            <v>00021221P.11</v>
          </cell>
        </row>
        <row r="10587">
          <cell r="K10587" t="str">
            <v>00021221P.11</v>
          </cell>
        </row>
        <row r="10588">
          <cell r="K10588" t="str">
            <v>00021221P.11</v>
          </cell>
        </row>
        <row r="10589">
          <cell r="K10589" t="str">
            <v>00021221P.11</v>
          </cell>
        </row>
        <row r="10590">
          <cell r="K10590" t="str">
            <v>00021221P.11</v>
          </cell>
        </row>
        <row r="10591">
          <cell r="K10591" t="str">
            <v>00021222P.11</v>
          </cell>
        </row>
        <row r="10592">
          <cell r="K10592" t="str">
            <v>00021222P.11</v>
          </cell>
        </row>
        <row r="10593">
          <cell r="K10593" t="str">
            <v>00021222P.11</v>
          </cell>
        </row>
        <row r="10594">
          <cell r="K10594" t="str">
            <v>00021222P.11</v>
          </cell>
        </row>
        <row r="10595">
          <cell r="K10595" t="str">
            <v>00021224P.11</v>
          </cell>
        </row>
        <row r="10596">
          <cell r="K10596" t="str">
            <v>00021224P.11</v>
          </cell>
        </row>
        <row r="10597">
          <cell r="K10597" t="str">
            <v>00021224P.11</v>
          </cell>
        </row>
        <row r="10598">
          <cell r="K10598" t="str">
            <v>00021225P.11</v>
          </cell>
        </row>
        <row r="10599">
          <cell r="K10599" t="str">
            <v>00021225P.11</v>
          </cell>
        </row>
        <row r="10600">
          <cell r="K10600" t="str">
            <v>00021225P.11</v>
          </cell>
        </row>
        <row r="10601">
          <cell r="K10601" t="str">
            <v>00021226P.11</v>
          </cell>
        </row>
        <row r="10602">
          <cell r="K10602" t="str">
            <v>00021226P.11</v>
          </cell>
        </row>
        <row r="10603">
          <cell r="K10603" t="str">
            <v>00021226P.11</v>
          </cell>
        </row>
        <row r="10604">
          <cell r="K10604" t="str">
            <v>00021227P.11</v>
          </cell>
        </row>
        <row r="10605">
          <cell r="K10605" t="str">
            <v>00021227P.11</v>
          </cell>
        </row>
        <row r="10606">
          <cell r="K10606" t="str">
            <v>00021227P.11</v>
          </cell>
        </row>
        <row r="10607">
          <cell r="K10607" t="str">
            <v>00021227P.11</v>
          </cell>
        </row>
        <row r="10608">
          <cell r="K10608" t="str">
            <v>00021228P.11</v>
          </cell>
        </row>
        <row r="10609">
          <cell r="K10609" t="str">
            <v>00021228P.11</v>
          </cell>
        </row>
        <row r="10610">
          <cell r="K10610" t="str">
            <v>00021228P.11</v>
          </cell>
        </row>
        <row r="10611">
          <cell r="K10611" t="str">
            <v>00021228P.11</v>
          </cell>
        </row>
        <row r="10612">
          <cell r="K10612" t="str">
            <v>00021228P.11</v>
          </cell>
        </row>
        <row r="10613">
          <cell r="K10613" t="str">
            <v>00021228P.11</v>
          </cell>
        </row>
        <row r="10614">
          <cell r="K10614" t="str">
            <v>00021228P.11</v>
          </cell>
        </row>
        <row r="10615">
          <cell r="K10615" t="str">
            <v>00021228P.11</v>
          </cell>
        </row>
        <row r="10616">
          <cell r="K10616" t="str">
            <v>00021228P.11</v>
          </cell>
        </row>
        <row r="10617">
          <cell r="K10617" t="str">
            <v>00021229P.11</v>
          </cell>
        </row>
        <row r="10618">
          <cell r="K10618" t="str">
            <v>00021229P.11</v>
          </cell>
        </row>
        <row r="10619">
          <cell r="K10619" t="str">
            <v>00021229P.11</v>
          </cell>
        </row>
        <row r="10620">
          <cell r="K10620" t="str">
            <v>00021229P.11</v>
          </cell>
        </row>
        <row r="10621">
          <cell r="K10621" t="str">
            <v>00021229P.11</v>
          </cell>
        </row>
        <row r="10622">
          <cell r="K10622" t="str">
            <v>00021229P.11</v>
          </cell>
        </row>
        <row r="10623">
          <cell r="K10623" t="str">
            <v>00021229P.11</v>
          </cell>
        </row>
        <row r="10624">
          <cell r="K10624" t="str">
            <v>00021229P.11</v>
          </cell>
        </row>
        <row r="10625">
          <cell r="K10625" t="str">
            <v>00021229P.11</v>
          </cell>
        </row>
        <row r="10626">
          <cell r="K10626" t="str">
            <v>00021229P.11</v>
          </cell>
        </row>
        <row r="10627">
          <cell r="K10627" t="str">
            <v>00021230P.11</v>
          </cell>
        </row>
        <row r="10628">
          <cell r="K10628" t="str">
            <v>00021230P.11</v>
          </cell>
        </row>
        <row r="10629">
          <cell r="K10629" t="str">
            <v>00021231P.11</v>
          </cell>
        </row>
        <row r="10630">
          <cell r="K10630" t="str">
            <v>00021231P.11</v>
          </cell>
        </row>
        <row r="10631">
          <cell r="K10631" t="str">
            <v>00021231P.11</v>
          </cell>
        </row>
        <row r="10632">
          <cell r="K10632" t="str">
            <v>00021232P.11</v>
          </cell>
        </row>
        <row r="10633">
          <cell r="K10633" t="str">
            <v>00021232P.11</v>
          </cell>
        </row>
        <row r="10634">
          <cell r="K10634" t="str">
            <v>00021232P.11</v>
          </cell>
        </row>
        <row r="10635">
          <cell r="K10635" t="str">
            <v>00021232P.11</v>
          </cell>
        </row>
        <row r="10636">
          <cell r="K10636" t="str">
            <v>00021232P.11</v>
          </cell>
        </row>
        <row r="10637">
          <cell r="K10637" t="str">
            <v>00021232P.11</v>
          </cell>
        </row>
        <row r="10638">
          <cell r="K10638" t="str">
            <v>00021232P.11</v>
          </cell>
        </row>
        <row r="10639">
          <cell r="K10639" t="str">
            <v>00021232P.11</v>
          </cell>
        </row>
        <row r="10640">
          <cell r="K10640" t="str">
            <v>00021232P.11</v>
          </cell>
        </row>
        <row r="10641">
          <cell r="K10641" t="str">
            <v>00021233P.11</v>
          </cell>
        </row>
        <row r="10642">
          <cell r="K10642" t="str">
            <v>00021233P.11</v>
          </cell>
        </row>
        <row r="10643">
          <cell r="K10643" t="str">
            <v>00021233P.11</v>
          </cell>
        </row>
        <row r="10644">
          <cell r="K10644" t="str">
            <v>00021233P.11</v>
          </cell>
        </row>
        <row r="10645">
          <cell r="K10645" t="str">
            <v>00021233P.11</v>
          </cell>
        </row>
        <row r="10646">
          <cell r="K10646" t="str">
            <v>00021234P.11</v>
          </cell>
        </row>
        <row r="10647">
          <cell r="K10647" t="str">
            <v>00021234P.11</v>
          </cell>
        </row>
        <row r="10648">
          <cell r="K10648" t="str">
            <v>00021234P.11</v>
          </cell>
        </row>
        <row r="10649">
          <cell r="K10649" t="str">
            <v>00021235P.11</v>
          </cell>
        </row>
        <row r="10650">
          <cell r="K10650" t="str">
            <v>00021235P.11</v>
          </cell>
        </row>
        <row r="10651">
          <cell r="K10651" t="str">
            <v>00021235P.11</v>
          </cell>
        </row>
        <row r="10652">
          <cell r="K10652" t="str">
            <v>00021235P.11</v>
          </cell>
        </row>
        <row r="10653">
          <cell r="K10653" t="str">
            <v>00021235P.11</v>
          </cell>
        </row>
        <row r="10654">
          <cell r="K10654" t="str">
            <v>00021235P.11</v>
          </cell>
        </row>
        <row r="10655">
          <cell r="K10655" t="str">
            <v>00021235P.11</v>
          </cell>
        </row>
        <row r="10656">
          <cell r="K10656" t="str">
            <v>00021235P.11</v>
          </cell>
        </row>
        <row r="10657">
          <cell r="K10657" t="str">
            <v>00021235P.11</v>
          </cell>
        </row>
        <row r="10658">
          <cell r="K10658" t="str">
            <v>00021236P.11</v>
          </cell>
        </row>
        <row r="10659">
          <cell r="K10659" t="str">
            <v>00021258P.11</v>
          </cell>
        </row>
        <row r="10660">
          <cell r="K10660" t="str">
            <v>00021238P.11</v>
          </cell>
        </row>
        <row r="10661">
          <cell r="K10661" t="str">
            <v>00021238P.11</v>
          </cell>
        </row>
        <row r="10662">
          <cell r="K10662" t="str">
            <v>00021239P.11</v>
          </cell>
        </row>
        <row r="10663">
          <cell r="K10663" t="str">
            <v>00021240P.11</v>
          </cell>
        </row>
        <row r="10664">
          <cell r="K10664" t="str">
            <v>00021245P.11</v>
          </cell>
        </row>
        <row r="10665">
          <cell r="K10665" t="str">
            <v>00021245P.11</v>
          </cell>
        </row>
        <row r="10666">
          <cell r="K10666" t="str">
            <v>00021245P.11</v>
          </cell>
        </row>
        <row r="10667">
          <cell r="K10667" t="str">
            <v>00021253P.11</v>
          </cell>
        </row>
        <row r="10668">
          <cell r="K10668" t="str">
            <v>00021259P.11</v>
          </cell>
        </row>
        <row r="10669">
          <cell r="K10669" t="str">
            <v>00021243P.11</v>
          </cell>
        </row>
        <row r="10670">
          <cell r="K10670" t="str">
            <v>00021221P.11</v>
          </cell>
        </row>
        <row r="10671">
          <cell r="K10671" t="str">
            <v>00021231P.11</v>
          </cell>
        </row>
        <row r="10672">
          <cell r="K10672" t="str">
            <v>00021229P.11</v>
          </cell>
        </row>
        <row r="10673">
          <cell r="K10673" t="str">
            <v>00021247P.11</v>
          </cell>
        </row>
        <row r="10674">
          <cell r="K10674" t="str">
            <v>00021254P.13</v>
          </cell>
        </row>
        <row r="10675">
          <cell r="K10675" t="str">
            <v>00021202P.11</v>
          </cell>
        </row>
        <row r="10676">
          <cell r="K10676" t="str">
            <v>00021215P.11</v>
          </cell>
        </row>
        <row r="10677">
          <cell r="K10677" t="str">
            <v>00021203P.11</v>
          </cell>
        </row>
        <row r="10678">
          <cell r="K10678" t="str">
            <v>00021210P.11</v>
          </cell>
        </row>
        <row r="10679">
          <cell r="K10679" t="str">
            <v>00021210P.11</v>
          </cell>
        </row>
        <row r="10680">
          <cell r="K10680" t="str">
            <v>00021251P.11</v>
          </cell>
        </row>
        <row r="10681">
          <cell r="K10681" t="str">
            <v>00021254P.11</v>
          </cell>
        </row>
        <row r="10682">
          <cell r="K10682" t="str">
            <v>00021254P.11</v>
          </cell>
        </row>
        <row r="10683">
          <cell r="K10683" t="str">
            <v>00021260P.11</v>
          </cell>
        </row>
        <row r="10684">
          <cell r="K10684" t="str">
            <v>00021260P.13</v>
          </cell>
        </row>
        <row r="10685">
          <cell r="K10685" t="str">
            <v>00021254P.11</v>
          </cell>
        </row>
        <row r="10686">
          <cell r="K10686" t="str">
            <v>00021254P.11</v>
          </cell>
        </row>
        <row r="10687">
          <cell r="K10687" t="str">
            <v>00021254P.11</v>
          </cell>
        </row>
        <row r="10688">
          <cell r="K10688" t="str">
            <v>00021254P.11</v>
          </cell>
        </row>
        <row r="10689">
          <cell r="K10689" t="str">
            <v>00021256P.13</v>
          </cell>
        </row>
        <row r="10690">
          <cell r="K10690" t="str">
            <v>00021256P.13</v>
          </cell>
        </row>
        <row r="10691">
          <cell r="K10691" t="str">
            <v>00021256P.11</v>
          </cell>
        </row>
        <row r="10692">
          <cell r="K10692" t="str">
            <v>00021256P.13</v>
          </cell>
        </row>
        <row r="10693">
          <cell r="K10693" t="str">
            <v>00021258P.11</v>
          </cell>
        </row>
        <row r="10694">
          <cell r="K10694" t="str">
            <v>00021210P.11</v>
          </cell>
        </row>
        <row r="10695">
          <cell r="K10695" t="str">
            <v>00021213P.11</v>
          </cell>
        </row>
        <row r="10696">
          <cell r="K10696" t="str">
            <v>00021213P.11</v>
          </cell>
        </row>
        <row r="10697">
          <cell r="K10697" t="str">
            <v>00021217P.11</v>
          </cell>
        </row>
        <row r="10698">
          <cell r="K10698" t="str">
            <v>00021218P.11</v>
          </cell>
        </row>
        <row r="10699">
          <cell r="K10699" t="str">
            <v>00021220P.11</v>
          </cell>
        </row>
        <row r="10700">
          <cell r="K10700" t="str">
            <v>00021220P.11</v>
          </cell>
        </row>
        <row r="10701">
          <cell r="K10701" t="str">
            <v>00021221P.11</v>
          </cell>
        </row>
        <row r="10702">
          <cell r="K10702" t="str">
            <v>00021222P.11</v>
          </cell>
        </row>
        <row r="10703">
          <cell r="K10703" t="str">
            <v>00021222P.11</v>
          </cell>
        </row>
        <row r="10704">
          <cell r="K10704" t="str">
            <v>00021225P.11</v>
          </cell>
        </row>
        <row r="10705">
          <cell r="K10705" t="str">
            <v>00021228P.11</v>
          </cell>
        </row>
        <row r="10706">
          <cell r="K10706" t="str">
            <v>00021228P.11</v>
          </cell>
        </row>
        <row r="10707">
          <cell r="K10707" t="str">
            <v>00021229P.11</v>
          </cell>
        </row>
        <row r="10708">
          <cell r="K10708" t="str">
            <v>00021229P.11</v>
          </cell>
        </row>
        <row r="10709">
          <cell r="K10709" t="str">
            <v>00021230P.11</v>
          </cell>
        </row>
        <row r="10710">
          <cell r="K10710" t="str">
            <v>00021231P.11</v>
          </cell>
        </row>
        <row r="10711">
          <cell r="K10711" t="str">
            <v>00021232P.11</v>
          </cell>
        </row>
        <row r="10712">
          <cell r="K10712" t="str">
            <v>00021232P.11</v>
          </cell>
        </row>
        <row r="10713">
          <cell r="K10713" t="str">
            <v>00021232P.11</v>
          </cell>
        </row>
        <row r="10714">
          <cell r="K10714" t="str">
            <v>00021232P.11</v>
          </cell>
        </row>
        <row r="10715">
          <cell r="K10715" t="str">
            <v>00021232P.11</v>
          </cell>
        </row>
        <row r="10716">
          <cell r="K10716" t="str">
            <v>00021233P.11</v>
          </cell>
        </row>
        <row r="10717">
          <cell r="K10717" t="str">
            <v>00021234P.11</v>
          </cell>
        </row>
        <row r="10718">
          <cell r="K10718" t="str">
            <v>00021234P.11</v>
          </cell>
        </row>
        <row r="10719">
          <cell r="K10719" t="str">
            <v>00021245P.11</v>
          </cell>
        </row>
        <row r="10720">
          <cell r="K10720" t="str">
            <v>00021253P.11</v>
          </cell>
        </row>
        <row r="10721">
          <cell r="K10721" t="str">
            <v>00021253P.11</v>
          </cell>
        </row>
        <row r="10722">
          <cell r="K10722" t="str">
            <v>00021259P.11</v>
          </cell>
        </row>
        <row r="10723">
          <cell r="K10723" t="str">
            <v>00021259P.11</v>
          </cell>
        </row>
        <row r="10724">
          <cell r="K10724" t="str">
            <v>00021257P.11</v>
          </cell>
        </row>
        <row r="10725">
          <cell r="K10725" t="str">
            <v>00021228P.11</v>
          </cell>
        </row>
        <row r="10726">
          <cell r="K10726" t="str">
            <v>00021251P.11</v>
          </cell>
        </row>
        <row r="10727">
          <cell r="K10727" t="str">
            <v>00021252P.11</v>
          </cell>
        </row>
        <row r="10728">
          <cell r="K10728" t="str">
            <v>00021201P.12</v>
          </cell>
        </row>
        <row r="10729">
          <cell r="K10729" t="str">
            <v>00021201P.12</v>
          </cell>
        </row>
        <row r="10730">
          <cell r="K10730" t="str">
            <v>00021250P.11</v>
          </cell>
        </row>
        <row r="10731">
          <cell r="K10731" t="str">
            <v>00021250P.11</v>
          </cell>
        </row>
        <row r="10732">
          <cell r="K10732" t="str">
            <v>00021202P.11</v>
          </cell>
        </row>
        <row r="10733">
          <cell r="K10733" t="str">
            <v>00021220P.11</v>
          </cell>
        </row>
        <row r="10734">
          <cell r="K10734" t="str">
            <v>00021222P.11</v>
          </cell>
        </row>
        <row r="10735">
          <cell r="K10735" t="str">
            <v>00021223P.11</v>
          </cell>
        </row>
        <row r="10736">
          <cell r="K10736" t="str">
            <v>00021253P.11</v>
          </cell>
        </row>
        <row r="10737">
          <cell r="K10737" t="str">
            <v>00021250P.11</v>
          </cell>
        </row>
        <row r="10738">
          <cell r="K10738" t="str">
            <v>00021250P.11</v>
          </cell>
        </row>
        <row r="10739">
          <cell r="K10739" t="str">
            <v>00021245P.11</v>
          </cell>
        </row>
        <row r="10740">
          <cell r="K10740" t="str">
            <v>00021245P.11</v>
          </cell>
        </row>
        <row r="10741">
          <cell r="K10741" t="str">
            <v>00021245P.11</v>
          </cell>
        </row>
        <row r="10742">
          <cell r="K10742" t="str">
            <v>00021245P.11</v>
          </cell>
        </row>
        <row r="10743">
          <cell r="K10743" t="str">
            <v>00021245P.11</v>
          </cell>
        </row>
        <row r="10744">
          <cell r="K10744" t="str">
            <v>00021245P.11</v>
          </cell>
        </row>
        <row r="10745">
          <cell r="K10745" t="str">
            <v>00021245P.11</v>
          </cell>
        </row>
        <row r="10746">
          <cell r="K10746" t="str">
            <v>00021245P.11</v>
          </cell>
        </row>
        <row r="10747">
          <cell r="K10747" t="str">
            <v>00021245P.11</v>
          </cell>
        </row>
        <row r="10748">
          <cell r="K10748" t="str">
            <v>00021245P.11</v>
          </cell>
        </row>
        <row r="10749">
          <cell r="K10749" t="str">
            <v>00021245P.11</v>
          </cell>
        </row>
        <row r="10750">
          <cell r="K10750" t="str">
            <v>00021250P.11</v>
          </cell>
        </row>
        <row r="10751">
          <cell r="K10751" t="str">
            <v>00021250P.11</v>
          </cell>
        </row>
        <row r="10752">
          <cell r="K10752" t="str">
            <v>00021259P.11</v>
          </cell>
        </row>
        <row r="10753">
          <cell r="K10753" t="str">
            <v>00111148P.2</v>
          </cell>
        </row>
        <row r="10754">
          <cell r="K10754" t="str">
            <v>00111148P.2</v>
          </cell>
        </row>
        <row r="10755">
          <cell r="K10755" t="str">
            <v>00111148P.2</v>
          </cell>
        </row>
        <row r="10756">
          <cell r="K10756" t="str">
            <v>00111148P.2</v>
          </cell>
        </row>
        <row r="10757">
          <cell r="K10757" t="str">
            <v>00111148P.2</v>
          </cell>
        </row>
        <row r="10758">
          <cell r="K10758" t="str">
            <v>00111148P.2</v>
          </cell>
        </row>
        <row r="10759">
          <cell r="K10759" t="str">
            <v>00111143P.2</v>
          </cell>
        </row>
        <row r="10760">
          <cell r="K10760" t="str">
            <v>00111143P.2</v>
          </cell>
        </row>
        <row r="10761">
          <cell r="K10761" t="str">
            <v>00111143P.2</v>
          </cell>
        </row>
        <row r="10762">
          <cell r="K10762" t="str">
            <v>00111143P.2</v>
          </cell>
        </row>
        <row r="10763">
          <cell r="K10763" t="str">
            <v>00111143P.2</v>
          </cell>
        </row>
        <row r="10764">
          <cell r="K10764" t="str">
            <v>00111143P.2</v>
          </cell>
        </row>
        <row r="10765">
          <cell r="K10765" t="str">
            <v>00111143P.2</v>
          </cell>
        </row>
        <row r="10766">
          <cell r="K10766" t="str">
            <v>00111143P.2</v>
          </cell>
        </row>
        <row r="10767">
          <cell r="K10767" t="str">
            <v>00111143P.2</v>
          </cell>
        </row>
        <row r="10768">
          <cell r="K10768" t="str">
            <v>00111143P.2</v>
          </cell>
        </row>
        <row r="10769">
          <cell r="K10769" t="str">
            <v>00111143P.2</v>
          </cell>
        </row>
        <row r="10770">
          <cell r="K10770" t="str">
            <v>00111143P.2</v>
          </cell>
        </row>
        <row r="10771">
          <cell r="K10771" t="str">
            <v>00111143P.2</v>
          </cell>
        </row>
        <row r="10772">
          <cell r="K10772" t="str">
            <v>00111143P.2</v>
          </cell>
        </row>
        <row r="10773">
          <cell r="K10773" t="str">
            <v>00111143P.2</v>
          </cell>
        </row>
        <row r="10774">
          <cell r="K10774" t="str">
            <v>00111143P.2</v>
          </cell>
        </row>
        <row r="10775">
          <cell r="K10775" t="str">
            <v>00111143P.2</v>
          </cell>
        </row>
        <row r="10776">
          <cell r="K10776" t="str">
            <v>00111143P.2</v>
          </cell>
        </row>
        <row r="10777">
          <cell r="K10777" t="str">
            <v>00111143P.2</v>
          </cell>
        </row>
        <row r="10778">
          <cell r="K10778" t="str">
            <v>00111143P.2</v>
          </cell>
        </row>
        <row r="10779">
          <cell r="K10779" t="str">
            <v>00111103P.2</v>
          </cell>
        </row>
        <row r="10780">
          <cell r="K10780" t="str">
            <v>00111103P.2</v>
          </cell>
        </row>
        <row r="10781">
          <cell r="K10781" t="str">
            <v>00111103P.2</v>
          </cell>
        </row>
        <row r="10782">
          <cell r="K10782" t="str">
            <v>00111103P.2</v>
          </cell>
        </row>
        <row r="10783">
          <cell r="K10783" t="str">
            <v>00111104P.2</v>
          </cell>
        </row>
        <row r="10784">
          <cell r="K10784" t="str">
            <v>00111105P.2</v>
          </cell>
        </row>
        <row r="10785">
          <cell r="K10785" t="str">
            <v>00111105P.2</v>
          </cell>
        </row>
        <row r="10786">
          <cell r="K10786" t="str">
            <v>00111105P.2</v>
          </cell>
        </row>
        <row r="10787">
          <cell r="K10787" t="str">
            <v>00111105P.2</v>
          </cell>
        </row>
        <row r="10788">
          <cell r="K10788" t="str">
            <v>00111105P.2</v>
          </cell>
        </row>
        <row r="10789">
          <cell r="K10789" t="str">
            <v>00111138P.2</v>
          </cell>
        </row>
        <row r="10790">
          <cell r="K10790" t="str">
            <v>00111138P.2</v>
          </cell>
        </row>
        <row r="10791">
          <cell r="K10791" t="str">
            <v>00111138P.2</v>
          </cell>
        </row>
        <row r="10792">
          <cell r="K10792" t="str">
            <v>00111138P.2</v>
          </cell>
        </row>
        <row r="10793">
          <cell r="K10793" t="str">
            <v>00111138P.2</v>
          </cell>
        </row>
        <row r="10794">
          <cell r="K10794" t="str">
            <v>00111138P.2</v>
          </cell>
        </row>
        <row r="10795">
          <cell r="K10795" t="str">
            <v>00111138P.2</v>
          </cell>
        </row>
        <row r="10796">
          <cell r="K10796" t="str">
            <v>00111138P.2</v>
          </cell>
        </row>
        <row r="10797">
          <cell r="K10797" t="str">
            <v>00111138P.2</v>
          </cell>
        </row>
        <row r="10798">
          <cell r="K10798" t="str">
            <v>00111138P.2</v>
          </cell>
        </row>
        <row r="10799">
          <cell r="K10799" t="str">
            <v>00111138P.2</v>
          </cell>
        </row>
        <row r="10800">
          <cell r="K10800" t="str">
            <v>00111138P.2</v>
          </cell>
        </row>
        <row r="10801">
          <cell r="K10801" t="str">
            <v>00111138P.2</v>
          </cell>
        </row>
        <row r="10802">
          <cell r="K10802" t="str">
            <v>00111138P.2</v>
          </cell>
        </row>
        <row r="10803">
          <cell r="K10803" t="str">
            <v>00111138P.2</v>
          </cell>
        </row>
        <row r="10804">
          <cell r="K10804" t="str">
            <v>00111139P.2</v>
          </cell>
        </row>
        <row r="10805">
          <cell r="K10805" t="str">
            <v>00111139P.2</v>
          </cell>
        </row>
        <row r="10806">
          <cell r="K10806" t="str">
            <v>00111139P.2</v>
          </cell>
        </row>
        <row r="10807">
          <cell r="K10807" t="str">
            <v>00111139P.2</v>
          </cell>
        </row>
        <row r="10808">
          <cell r="K10808" t="str">
            <v>00111139P.2</v>
          </cell>
        </row>
        <row r="10809">
          <cell r="K10809" t="str">
            <v>00111139P.2</v>
          </cell>
        </row>
        <row r="10810">
          <cell r="K10810" t="str">
            <v>00111140P.2</v>
          </cell>
        </row>
        <row r="10811">
          <cell r="K10811" t="str">
            <v>00111140P.2</v>
          </cell>
        </row>
        <row r="10812">
          <cell r="K10812" t="str">
            <v>00111140P.2</v>
          </cell>
        </row>
        <row r="10813">
          <cell r="K10813" t="str">
            <v>00111140P.2</v>
          </cell>
        </row>
        <row r="10814">
          <cell r="K10814" t="str">
            <v>00111140P.2</v>
          </cell>
        </row>
        <row r="10815">
          <cell r="K10815" t="str">
            <v>00111140P.2</v>
          </cell>
        </row>
        <row r="10816">
          <cell r="K10816" t="str">
            <v>00111140P.2</v>
          </cell>
        </row>
        <row r="10817">
          <cell r="K10817" t="str">
            <v>00111140P.2</v>
          </cell>
        </row>
        <row r="10818">
          <cell r="K10818" t="str">
            <v>00111140P.2</v>
          </cell>
        </row>
        <row r="10819">
          <cell r="K10819" t="str">
            <v>00111140P.2</v>
          </cell>
        </row>
        <row r="10820">
          <cell r="K10820" t="str">
            <v>00111140P.2</v>
          </cell>
        </row>
        <row r="10821">
          <cell r="K10821" t="str">
            <v>00111158P.2</v>
          </cell>
        </row>
        <row r="10822">
          <cell r="K10822" t="str">
            <v>00111158P.2</v>
          </cell>
        </row>
        <row r="10823">
          <cell r="K10823" t="str">
            <v>00111158P.2</v>
          </cell>
        </row>
        <row r="10824">
          <cell r="K10824" t="str">
            <v>00111158P.2</v>
          </cell>
        </row>
        <row r="10825">
          <cell r="K10825" t="str">
            <v>00111158P.2</v>
          </cell>
        </row>
        <row r="10826">
          <cell r="K10826" t="str">
            <v>00111158P.2</v>
          </cell>
        </row>
        <row r="10827">
          <cell r="K10827" t="str">
            <v>00111158P.2</v>
          </cell>
        </row>
        <row r="10828">
          <cell r="K10828" t="str">
            <v>00111158P.2</v>
          </cell>
        </row>
        <row r="10829">
          <cell r="K10829" t="str">
            <v>00111158P.2</v>
          </cell>
        </row>
        <row r="10830">
          <cell r="K10830" t="str">
            <v>00111158P.2</v>
          </cell>
        </row>
        <row r="10831">
          <cell r="K10831" t="str">
            <v>00111158P.2</v>
          </cell>
        </row>
        <row r="10832">
          <cell r="K10832" t="str">
            <v>00111158P.2</v>
          </cell>
        </row>
        <row r="10833">
          <cell r="K10833" t="str">
            <v>00111158P.2</v>
          </cell>
        </row>
        <row r="10834">
          <cell r="K10834" t="str">
            <v>00111158P.2</v>
          </cell>
        </row>
        <row r="10835">
          <cell r="K10835" t="str">
            <v>00111150P.2</v>
          </cell>
        </row>
        <row r="10836">
          <cell r="K10836" t="str">
            <v>00111150P.2</v>
          </cell>
        </row>
        <row r="10837">
          <cell r="K10837" t="str">
            <v>00111150P.2</v>
          </cell>
        </row>
        <row r="10838">
          <cell r="K10838" t="str">
            <v>00111150P.2</v>
          </cell>
        </row>
        <row r="10839">
          <cell r="K10839" t="str">
            <v>00111150P.2</v>
          </cell>
        </row>
        <row r="10840">
          <cell r="K10840" t="str">
            <v>00111150P.2</v>
          </cell>
        </row>
        <row r="10841">
          <cell r="K10841" t="str">
            <v>00111102P.2</v>
          </cell>
        </row>
        <row r="10842">
          <cell r="K10842" t="str">
            <v>00111102P.2</v>
          </cell>
        </row>
        <row r="10843">
          <cell r="K10843" t="str">
            <v>00111102P.2</v>
          </cell>
        </row>
        <row r="10844">
          <cell r="K10844" t="str">
            <v>00111102P.2</v>
          </cell>
        </row>
        <row r="10845">
          <cell r="K10845" t="str">
            <v>00111102P.2</v>
          </cell>
        </row>
        <row r="10846">
          <cell r="K10846" t="str">
            <v>00111102P.2</v>
          </cell>
        </row>
        <row r="10847">
          <cell r="K10847" t="str">
            <v>00111102P.2</v>
          </cell>
        </row>
        <row r="10848">
          <cell r="K10848" t="str">
            <v>00111102P.2</v>
          </cell>
        </row>
        <row r="10849">
          <cell r="K10849" t="str">
            <v>00111102P.2</v>
          </cell>
        </row>
        <row r="10850">
          <cell r="K10850" t="str">
            <v>00111102P.2</v>
          </cell>
        </row>
        <row r="10851">
          <cell r="K10851" t="str">
            <v>00111102P.2</v>
          </cell>
        </row>
        <row r="10852">
          <cell r="K10852" t="str">
            <v>00111102P.2</v>
          </cell>
        </row>
        <row r="10853">
          <cell r="K10853" t="str">
            <v>00111102P.2</v>
          </cell>
        </row>
        <row r="10854">
          <cell r="K10854" t="str">
            <v>00111102P.2</v>
          </cell>
        </row>
        <row r="10855">
          <cell r="K10855" t="str">
            <v>00111102P.2</v>
          </cell>
        </row>
        <row r="10856">
          <cell r="K10856" t="str">
            <v>00111102P.2</v>
          </cell>
        </row>
        <row r="10857">
          <cell r="K10857" t="str">
            <v>00111102P.2</v>
          </cell>
        </row>
        <row r="10858">
          <cell r="K10858" t="str">
            <v>00111102P.2</v>
          </cell>
        </row>
        <row r="10859">
          <cell r="K10859" t="str">
            <v>00111102P.2</v>
          </cell>
        </row>
        <row r="10860">
          <cell r="K10860" t="str">
            <v>00111102P.2</v>
          </cell>
        </row>
        <row r="10861">
          <cell r="K10861" t="str">
            <v>00111102P.2</v>
          </cell>
        </row>
        <row r="10862">
          <cell r="K10862" t="str">
            <v>00111102P.2</v>
          </cell>
        </row>
        <row r="10863">
          <cell r="K10863" t="str">
            <v>00111102P.2</v>
          </cell>
        </row>
        <row r="10864">
          <cell r="K10864" t="str">
            <v>00111102P.2</v>
          </cell>
        </row>
        <row r="10865">
          <cell r="K10865" t="str">
            <v>00111102P.2</v>
          </cell>
        </row>
        <row r="10866">
          <cell r="K10866" t="str">
            <v>00111102P.2</v>
          </cell>
        </row>
        <row r="10867">
          <cell r="K10867" t="str">
            <v>00111102P.2</v>
          </cell>
        </row>
        <row r="10868">
          <cell r="K10868" t="str">
            <v>00111102P.2</v>
          </cell>
        </row>
        <row r="10869">
          <cell r="K10869" t="str">
            <v>00111102P.2</v>
          </cell>
        </row>
        <row r="10870">
          <cell r="K10870" t="str">
            <v>00111102P.2</v>
          </cell>
        </row>
        <row r="10871">
          <cell r="K10871" t="str">
            <v>00111102P.2</v>
          </cell>
        </row>
        <row r="10872">
          <cell r="K10872" t="str">
            <v>00111102P.2</v>
          </cell>
        </row>
        <row r="10873">
          <cell r="K10873" t="str">
            <v>00111102P.2</v>
          </cell>
        </row>
        <row r="10874">
          <cell r="K10874" t="str">
            <v>00111102P.2</v>
          </cell>
        </row>
        <row r="10875">
          <cell r="K10875" t="str">
            <v>00111102P.2</v>
          </cell>
        </row>
        <row r="10876">
          <cell r="K10876" t="str">
            <v>00111152P.2</v>
          </cell>
        </row>
        <row r="10877">
          <cell r="K10877" t="str">
            <v>00111152P.2</v>
          </cell>
        </row>
        <row r="10878">
          <cell r="K10878" t="str">
            <v>00111152P.2</v>
          </cell>
        </row>
        <row r="10879">
          <cell r="K10879" t="str">
            <v>00111152P.2</v>
          </cell>
        </row>
        <row r="10880">
          <cell r="K10880" t="str">
            <v>00111143P.2</v>
          </cell>
        </row>
        <row r="10881">
          <cell r="K10881" t="str">
            <v>00111143P.2</v>
          </cell>
        </row>
        <row r="10882">
          <cell r="K10882" t="str">
            <v>00111123P.2</v>
          </cell>
        </row>
        <row r="10883">
          <cell r="K10883" t="str">
            <v>00111123P.2</v>
          </cell>
        </row>
        <row r="10884">
          <cell r="K10884" t="str">
            <v>00111123P.2</v>
          </cell>
        </row>
        <row r="10885">
          <cell r="K10885" t="str">
            <v>00111135P.2</v>
          </cell>
        </row>
        <row r="10886">
          <cell r="K10886" t="str">
            <v>00111135P.2</v>
          </cell>
        </row>
        <row r="10887">
          <cell r="K10887" t="str">
            <v>00111135P.2</v>
          </cell>
        </row>
        <row r="10888">
          <cell r="K10888" t="str">
            <v>00111135P.2</v>
          </cell>
        </row>
        <row r="10889">
          <cell r="K10889" t="str">
            <v>00111135P.2</v>
          </cell>
        </row>
        <row r="10890">
          <cell r="K10890" t="str">
            <v>00111135P.2</v>
          </cell>
        </row>
        <row r="10891">
          <cell r="K10891" t="str">
            <v>00111136P.2</v>
          </cell>
        </row>
        <row r="10892">
          <cell r="K10892" t="str">
            <v>00111136P.2</v>
          </cell>
        </row>
        <row r="10893">
          <cell r="K10893" t="str">
            <v>00111136P.2</v>
          </cell>
        </row>
        <row r="10894">
          <cell r="K10894" t="str">
            <v>00111122P.2</v>
          </cell>
        </row>
        <row r="10895">
          <cell r="K10895" t="str">
            <v>00111122P.2</v>
          </cell>
        </row>
        <row r="10896">
          <cell r="K10896" t="str">
            <v>00111122P.2</v>
          </cell>
        </row>
        <row r="10897">
          <cell r="K10897" t="str">
            <v>00111128P.2</v>
          </cell>
        </row>
        <row r="10898">
          <cell r="K10898" t="str">
            <v>00111128P.2</v>
          </cell>
        </row>
        <row r="10899">
          <cell r="K10899" t="str">
            <v>00111128P.2</v>
          </cell>
        </row>
        <row r="10900">
          <cell r="K10900" t="str">
            <v>00111153P.2</v>
          </cell>
        </row>
        <row r="10901">
          <cell r="K10901" t="str">
            <v>00111153P.2</v>
          </cell>
        </row>
        <row r="10902">
          <cell r="K10902" t="str">
            <v>00111152P.2</v>
          </cell>
        </row>
        <row r="10903">
          <cell r="K10903" t="str">
            <v>00111110P.2</v>
          </cell>
        </row>
        <row r="10904">
          <cell r="K10904" t="str">
            <v>00111110P.2</v>
          </cell>
        </row>
        <row r="10905">
          <cell r="K10905" t="str">
            <v>00111110P.2</v>
          </cell>
        </row>
        <row r="10906">
          <cell r="K10906" t="str">
            <v>00111118P.2</v>
          </cell>
        </row>
        <row r="10907">
          <cell r="K10907" t="str">
            <v>00111118P.2</v>
          </cell>
        </row>
        <row r="10908">
          <cell r="K10908" t="str">
            <v>00111118P.2</v>
          </cell>
        </row>
        <row r="10909">
          <cell r="K10909" t="str">
            <v>00111118P.2</v>
          </cell>
        </row>
        <row r="10910">
          <cell r="K10910" t="str">
            <v>00111118P.2</v>
          </cell>
        </row>
        <row r="10911">
          <cell r="K10911" t="str">
            <v>00111126P.2</v>
          </cell>
        </row>
        <row r="10912">
          <cell r="K10912" t="str">
            <v>00111126P.2</v>
          </cell>
        </row>
        <row r="10913">
          <cell r="K10913" t="str">
            <v>00111126P.2</v>
          </cell>
        </row>
        <row r="10914">
          <cell r="K10914" t="str">
            <v>00111126P.2</v>
          </cell>
        </row>
        <row r="10915">
          <cell r="K10915" t="str">
            <v>00111126P.2</v>
          </cell>
        </row>
        <row r="10916">
          <cell r="K10916" t="str">
            <v>00111134P.2</v>
          </cell>
        </row>
        <row r="10917">
          <cell r="K10917" t="str">
            <v>00111134P.2</v>
          </cell>
        </row>
        <row r="10918">
          <cell r="K10918" t="str">
            <v>00111134P.2</v>
          </cell>
        </row>
        <row r="10919">
          <cell r="K10919" t="str">
            <v>00111134P.2</v>
          </cell>
        </row>
        <row r="10920">
          <cell r="K10920" t="str">
            <v>00111134P.2</v>
          </cell>
        </row>
        <row r="10921">
          <cell r="K10921" t="str">
            <v>00111134P.2</v>
          </cell>
        </row>
        <row r="10922">
          <cell r="K10922" t="str">
            <v>00111134P.2</v>
          </cell>
        </row>
        <row r="10923">
          <cell r="K10923" t="str">
            <v>00111143P.2</v>
          </cell>
        </row>
        <row r="10924">
          <cell r="K10924" t="str">
            <v>00111143P.2</v>
          </cell>
        </row>
        <row r="10925">
          <cell r="K10925" t="str">
            <v>00111143P.2</v>
          </cell>
        </row>
        <row r="10926">
          <cell r="K10926" t="str">
            <v>00111143P.2</v>
          </cell>
        </row>
        <row r="10927">
          <cell r="K10927" t="str">
            <v>00111145P.2</v>
          </cell>
        </row>
        <row r="10928">
          <cell r="K10928" t="str">
            <v>00111145P.2</v>
          </cell>
        </row>
        <row r="10929">
          <cell r="K10929" t="str">
            <v>00111145P.2</v>
          </cell>
        </row>
        <row r="10930">
          <cell r="K10930" t="str">
            <v>00111145P.2</v>
          </cell>
        </row>
        <row r="10931">
          <cell r="K10931" t="str">
            <v>00111145P.2</v>
          </cell>
        </row>
        <row r="10932">
          <cell r="K10932" t="str">
            <v>00111145P.2</v>
          </cell>
        </row>
        <row r="10933">
          <cell r="K10933" t="str">
            <v>00111145P.2</v>
          </cell>
        </row>
        <row r="10934">
          <cell r="K10934" t="str">
            <v>00111145P.2</v>
          </cell>
        </row>
        <row r="10935">
          <cell r="K10935" t="str">
            <v>00111145P.2</v>
          </cell>
        </row>
        <row r="10936">
          <cell r="K10936" t="str">
            <v>00111145P.2</v>
          </cell>
        </row>
        <row r="10937">
          <cell r="K10937" t="str">
            <v>00111145P.2</v>
          </cell>
        </row>
        <row r="10938">
          <cell r="K10938" t="str">
            <v>00111145P.2</v>
          </cell>
        </row>
        <row r="10939">
          <cell r="K10939" t="str">
            <v>00111145P.2</v>
          </cell>
        </row>
        <row r="10940">
          <cell r="K10940" t="str">
            <v>00111145P.2</v>
          </cell>
        </row>
        <row r="10941">
          <cell r="K10941" t="str">
            <v>00111145P.2</v>
          </cell>
        </row>
        <row r="10942">
          <cell r="K10942" t="str">
            <v>00111145P.2</v>
          </cell>
        </row>
        <row r="10943">
          <cell r="K10943" t="str">
            <v>00111145P.2</v>
          </cell>
        </row>
        <row r="10944">
          <cell r="K10944" t="str">
            <v>00111145P.2</v>
          </cell>
        </row>
        <row r="10945">
          <cell r="K10945" t="str">
            <v>00111145P.2</v>
          </cell>
        </row>
        <row r="10946">
          <cell r="K10946" t="str">
            <v>00111145P.2</v>
          </cell>
        </row>
        <row r="10947">
          <cell r="K10947" t="str">
            <v>00111145P.2</v>
          </cell>
        </row>
        <row r="10948">
          <cell r="K10948" t="str">
            <v>00111145P.2</v>
          </cell>
        </row>
        <row r="10949">
          <cell r="K10949" t="str">
            <v>00111145P.2</v>
          </cell>
        </row>
        <row r="10950">
          <cell r="K10950" t="str">
            <v>00111145P.2</v>
          </cell>
        </row>
        <row r="10951">
          <cell r="K10951" t="str">
            <v>00111145P.2</v>
          </cell>
        </row>
        <row r="10952">
          <cell r="K10952" t="str">
            <v>00111145P.2</v>
          </cell>
        </row>
        <row r="10953">
          <cell r="K10953" t="str">
            <v>00111145P.2</v>
          </cell>
        </row>
        <row r="10954">
          <cell r="K10954" t="str">
            <v>00111145P.2</v>
          </cell>
        </row>
        <row r="10955">
          <cell r="K10955" t="str">
            <v>00111148P.2</v>
          </cell>
        </row>
        <row r="10956">
          <cell r="K10956" t="str">
            <v>00111148P.2</v>
          </cell>
        </row>
        <row r="10957">
          <cell r="K10957" t="str">
            <v>00111148P.2</v>
          </cell>
        </row>
        <row r="10958">
          <cell r="K10958" t="str">
            <v>00111148P.2</v>
          </cell>
        </row>
        <row r="10959">
          <cell r="K10959" t="str">
            <v>00111148P.2</v>
          </cell>
        </row>
        <row r="10960">
          <cell r="K10960" t="str">
            <v>00111148P.2</v>
          </cell>
        </row>
        <row r="10961">
          <cell r="K10961" t="str">
            <v>00111148P.2</v>
          </cell>
        </row>
        <row r="10962">
          <cell r="K10962" t="str">
            <v>00111149P.2</v>
          </cell>
        </row>
        <row r="10963">
          <cell r="K10963" t="str">
            <v>00111149P.2</v>
          </cell>
        </row>
        <row r="10964">
          <cell r="K10964" t="str">
            <v>00111150P.2</v>
          </cell>
        </row>
        <row r="10965">
          <cell r="K10965" t="str">
            <v>00111150P.2</v>
          </cell>
        </row>
        <row r="10966">
          <cell r="K10966" t="str">
            <v>00111150P.2</v>
          </cell>
        </row>
        <row r="10967">
          <cell r="K10967" t="str">
            <v>00111150P.2</v>
          </cell>
        </row>
        <row r="10968">
          <cell r="K10968" t="str">
            <v>00111150P.2</v>
          </cell>
        </row>
        <row r="10969">
          <cell r="K10969" t="str">
            <v>00111150P.2</v>
          </cell>
        </row>
        <row r="10970">
          <cell r="K10970" t="str">
            <v>00111150P.2</v>
          </cell>
        </row>
        <row r="10971">
          <cell r="K10971" t="str">
            <v>00111157P.2</v>
          </cell>
        </row>
        <row r="10972">
          <cell r="K10972" t="str">
            <v>00111157P.2</v>
          </cell>
        </row>
        <row r="10973">
          <cell r="K10973" t="str">
            <v>00111157P.2</v>
          </cell>
        </row>
        <row r="10974">
          <cell r="K10974" t="str">
            <v>00111157P.2</v>
          </cell>
        </row>
        <row r="10975">
          <cell r="K10975" t="str">
            <v>00111157P.2</v>
          </cell>
        </row>
        <row r="10976">
          <cell r="K10976" t="str">
            <v>00111157P.2</v>
          </cell>
        </row>
        <row r="10977">
          <cell r="K10977" t="str">
            <v>00111157P.2</v>
          </cell>
        </row>
        <row r="10978">
          <cell r="K10978" t="str">
            <v>00111159P.2</v>
          </cell>
        </row>
        <row r="10979">
          <cell r="K10979" t="str">
            <v>00111159P.2</v>
          </cell>
        </row>
        <row r="10980">
          <cell r="K10980" t="str">
            <v>00111159P.2</v>
          </cell>
        </row>
        <row r="10981">
          <cell r="K10981" t="str">
            <v>00111159P.2</v>
          </cell>
        </row>
        <row r="10982">
          <cell r="K10982" t="str">
            <v>00111159P.2</v>
          </cell>
        </row>
        <row r="10983">
          <cell r="K10983" t="str">
            <v>00111159P.2</v>
          </cell>
        </row>
        <row r="10984">
          <cell r="K10984" t="str">
            <v>00111159P.2</v>
          </cell>
        </row>
        <row r="10985">
          <cell r="K10985" t="str">
            <v>00111159P.2</v>
          </cell>
        </row>
        <row r="10986">
          <cell r="K10986" t="str">
            <v>00111159P.2</v>
          </cell>
        </row>
        <row r="10987">
          <cell r="K10987" t="str">
            <v>00111107P.2</v>
          </cell>
        </row>
        <row r="10988">
          <cell r="K10988" t="str">
            <v>00111107P.2</v>
          </cell>
        </row>
        <row r="10989">
          <cell r="K10989" t="str">
            <v>00111107P.2</v>
          </cell>
        </row>
        <row r="10990">
          <cell r="K10990" t="str">
            <v>00111107P.2</v>
          </cell>
        </row>
        <row r="10991">
          <cell r="K10991" t="str">
            <v>00111107P.2</v>
          </cell>
        </row>
        <row r="10992">
          <cell r="K10992" t="str">
            <v>00111144P.2</v>
          </cell>
        </row>
        <row r="10993">
          <cell r="K10993" t="str">
            <v>00111144P.2</v>
          </cell>
        </row>
        <row r="10994">
          <cell r="K10994" t="str">
            <v>00111144P.2</v>
          </cell>
        </row>
        <row r="10995">
          <cell r="K10995" t="str">
            <v>00111144P.2</v>
          </cell>
        </row>
        <row r="10996">
          <cell r="K10996" t="str">
            <v>00111153P.2</v>
          </cell>
        </row>
        <row r="10997">
          <cell r="K10997" t="str">
            <v>00111126P.2</v>
          </cell>
        </row>
        <row r="10998">
          <cell r="K10998" t="str">
            <v>00111126P.2</v>
          </cell>
        </row>
        <row r="10999">
          <cell r="K10999" t="str">
            <v>00111126P.2</v>
          </cell>
        </row>
        <row r="11000">
          <cell r="K11000" t="str">
            <v>00111126P.2</v>
          </cell>
        </row>
        <row r="11001">
          <cell r="K11001" t="str">
            <v>00111126P.2</v>
          </cell>
        </row>
        <row r="11002">
          <cell r="K11002" t="str">
            <v>00111126P.2</v>
          </cell>
        </row>
        <row r="11003">
          <cell r="K11003" t="str">
            <v>00111160P.2</v>
          </cell>
        </row>
        <row r="11004">
          <cell r="K11004" t="str">
            <v>00111160P.2</v>
          </cell>
        </row>
        <row r="11005">
          <cell r="K11005" t="str">
            <v>00111160P.2</v>
          </cell>
        </row>
        <row r="11006">
          <cell r="K11006" t="str">
            <v>00111160P.2</v>
          </cell>
        </row>
        <row r="11007">
          <cell r="K11007" t="str">
            <v>00111160P.2</v>
          </cell>
        </row>
        <row r="11008">
          <cell r="K11008" t="str">
            <v>00111160P.2</v>
          </cell>
        </row>
        <row r="11009">
          <cell r="K11009" t="str">
            <v>00111160P.2</v>
          </cell>
        </row>
        <row r="11010">
          <cell r="K11010" t="str">
            <v>00111160P.2</v>
          </cell>
        </row>
        <row r="11011">
          <cell r="K11011" t="str">
            <v>00111160P.2</v>
          </cell>
        </row>
        <row r="11012">
          <cell r="K11012" t="str">
            <v>00111160P.2</v>
          </cell>
        </row>
        <row r="11013">
          <cell r="K11013" t="str">
            <v>00111160P.2</v>
          </cell>
        </row>
        <row r="11014">
          <cell r="K11014" t="str">
            <v>00111160P.2</v>
          </cell>
        </row>
        <row r="11015">
          <cell r="K11015" t="str">
            <v>00111160P.2</v>
          </cell>
        </row>
        <row r="11016">
          <cell r="K11016" t="str">
            <v>00111160P.2</v>
          </cell>
        </row>
        <row r="11017">
          <cell r="K11017" t="str">
            <v>00111160P.2</v>
          </cell>
        </row>
        <row r="11018">
          <cell r="K11018" t="str">
            <v>00111160P.2</v>
          </cell>
        </row>
        <row r="11019">
          <cell r="K11019" t="str">
            <v>00111160P.2</v>
          </cell>
        </row>
        <row r="11020">
          <cell r="K11020" t="str">
            <v>00111160P.2</v>
          </cell>
        </row>
        <row r="11021">
          <cell r="K11021" t="str">
            <v>00111160P.2</v>
          </cell>
        </row>
        <row r="11022">
          <cell r="K11022" t="str">
            <v>00111160P.2</v>
          </cell>
        </row>
        <row r="11023">
          <cell r="K11023" t="str">
            <v>00111160P.2</v>
          </cell>
        </row>
        <row r="11024">
          <cell r="K11024" t="str">
            <v>00111160P.2</v>
          </cell>
        </row>
        <row r="11025">
          <cell r="K11025" t="str">
            <v>00111160P.2</v>
          </cell>
        </row>
        <row r="11026">
          <cell r="K11026" t="str">
            <v>00111160P.2</v>
          </cell>
        </row>
        <row r="11027">
          <cell r="K11027" t="str">
            <v>00111160P.2</v>
          </cell>
        </row>
        <row r="11028">
          <cell r="K11028" t="str">
            <v>00111160P.2</v>
          </cell>
        </row>
        <row r="11029">
          <cell r="K11029" t="str">
            <v>00111159P.2</v>
          </cell>
        </row>
        <row r="11030">
          <cell r="K11030" t="str">
            <v>00111159P.2</v>
          </cell>
        </row>
        <row r="11031">
          <cell r="K11031" t="str">
            <v>00111159P.2</v>
          </cell>
        </row>
        <row r="11032">
          <cell r="K11032" t="str">
            <v>00111159P.2</v>
          </cell>
        </row>
        <row r="11033">
          <cell r="K11033" t="str">
            <v>00111159P.2</v>
          </cell>
        </row>
        <row r="11034">
          <cell r="K11034" t="str">
            <v>00111159P.2</v>
          </cell>
        </row>
        <row r="11035">
          <cell r="K11035" t="str">
            <v>00111159P.2</v>
          </cell>
        </row>
        <row r="11036">
          <cell r="K11036" t="str">
            <v>00111159P.2</v>
          </cell>
        </row>
        <row r="11037">
          <cell r="K11037" t="str">
            <v>00111110P.2</v>
          </cell>
        </row>
        <row r="11038">
          <cell r="K11038" t="str">
            <v>00111110P.2</v>
          </cell>
        </row>
        <row r="11039">
          <cell r="K11039" t="str">
            <v>00111113P.2</v>
          </cell>
        </row>
        <row r="11040">
          <cell r="K11040" t="str">
            <v>00111117P.2</v>
          </cell>
        </row>
        <row r="11041">
          <cell r="K11041" t="str">
            <v>00111112P.2</v>
          </cell>
        </row>
        <row r="11042">
          <cell r="K11042" t="str">
            <v>00111113P.2</v>
          </cell>
        </row>
        <row r="11043">
          <cell r="K11043" t="str">
            <v>00111114P.2</v>
          </cell>
        </row>
        <row r="11044">
          <cell r="K11044" t="str">
            <v>00111118P.2</v>
          </cell>
        </row>
        <row r="11045">
          <cell r="K11045" t="str">
            <v>00111119P.2</v>
          </cell>
        </row>
        <row r="11046">
          <cell r="K11046" t="str">
            <v>00111119P.2</v>
          </cell>
        </row>
        <row r="11047">
          <cell r="K11047" t="str">
            <v>00111120P.2</v>
          </cell>
        </row>
        <row r="11048">
          <cell r="K11048" t="str">
            <v>00111123P.2</v>
          </cell>
        </row>
        <row r="11049">
          <cell r="K11049" t="str">
            <v>00111126P.2</v>
          </cell>
        </row>
        <row r="11050">
          <cell r="K11050" t="str">
            <v>00111127P.2</v>
          </cell>
        </row>
        <row r="11051">
          <cell r="K11051" t="str">
            <v>00111127P.2</v>
          </cell>
        </row>
        <row r="11052">
          <cell r="K11052" t="str">
            <v>00111129P.2</v>
          </cell>
        </row>
        <row r="11053">
          <cell r="K11053" t="str">
            <v>00111129P.2</v>
          </cell>
        </row>
        <row r="11054">
          <cell r="K11054" t="str">
            <v>00111131P.2</v>
          </cell>
        </row>
        <row r="11055">
          <cell r="K11055" t="str">
            <v>00111134P.2</v>
          </cell>
        </row>
        <row r="11056">
          <cell r="K11056" t="str">
            <v>00111135P.2</v>
          </cell>
        </row>
        <row r="11057">
          <cell r="K11057" t="str">
            <v>00111110P.2</v>
          </cell>
        </row>
        <row r="11058">
          <cell r="K11058" t="str">
            <v>00111113P.2</v>
          </cell>
        </row>
        <row r="11059">
          <cell r="K11059" t="str">
            <v>00111123P.2</v>
          </cell>
        </row>
        <row r="11060">
          <cell r="K11060" t="str">
            <v>00111126P.2</v>
          </cell>
        </row>
        <row r="11061">
          <cell r="K11061" t="str">
            <v>00111128P.2</v>
          </cell>
        </row>
        <row r="11062">
          <cell r="K11062" t="str">
            <v>00111132P.2</v>
          </cell>
        </row>
        <row r="11063">
          <cell r="K11063" t="str">
            <v>00111113P.2</v>
          </cell>
        </row>
        <row r="11064">
          <cell r="K11064" t="str">
            <v>00111116P.2</v>
          </cell>
        </row>
        <row r="11065">
          <cell r="K11065" t="str">
            <v>00111117P.2</v>
          </cell>
        </row>
        <row r="11066">
          <cell r="K11066" t="str">
            <v>00111117P.2</v>
          </cell>
        </row>
        <row r="11067">
          <cell r="K11067" t="str">
            <v>00111118P.2</v>
          </cell>
        </row>
        <row r="11068">
          <cell r="K11068" t="str">
            <v>00111126P.2</v>
          </cell>
        </row>
        <row r="11069">
          <cell r="K11069" t="str">
            <v>00111126P.2</v>
          </cell>
        </row>
        <row r="11070">
          <cell r="K11070" t="str">
            <v>00111129P.2</v>
          </cell>
        </row>
        <row r="11071">
          <cell r="K11071" t="str">
            <v>00111130P.2</v>
          </cell>
        </row>
        <row r="11072">
          <cell r="K11072" t="str">
            <v>00111136P.2</v>
          </cell>
        </row>
        <row r="11073">
          <cell r="K11073" t="str">
            <v>00111136P.2</v>
          </cell>
        </row>
        <row r="11074">
          <cell r="K11074" t="str">
            <v>00111123P.2</v>
          </cell>
        </row>
        <row r="11075">
          <cell r="K11075" t="str">
            <v>00111133P.2</v>
          </cell>
        </row>
        <row r="11076">
          <cell r="K11076" t="str">
            <v>00111110P.2</v>
          </cell>
        </row>
        <row r="11077">
          <cell r="K11077" t="str">
            <v>00111111P.2</v>
          </cell>
        </row>
        <row r="11078">
          <cell r="K11078" t="str">
            <v>00111113P.2</v>
          </cell>
        </row>
        <row r="11079">
          <cell r="K11079" t="str">
            <v>00111126P.2</v>
          </cell>
        </row>
        <row r="11080">
          <cell r="K11080" t="str">
            <v>00111127P.2</v>
          </cell>
        </row>
        <row r="11081">
          <cell r="K11081" t="str">
            <v>00111132P.2</v>
          </cell>
        </row>
        <row r="11082">
          <cell r="K11082" t="str">
            <v>00111121P.2</v>
          </cell>
        </row>
        <row r="11083">
          <cell r="K11083" t="str">
            <v>00111123P.2</v>
          </cell>
        </row>
        <row r="11084">
          <cell r="K11084" t="str">
            <v>00111130P.2</v>
          </cell>
        </row>
        <row r="11085">
          <cell r="K11085" t="str">
            <v>00111115P.2</v>
          </cell>
        </row>
        <row r="11086">
          <cell r="K11086" t="str">
            <v>00111116P.2</v>
          </cell>
        </row>
        <row r="11087">
          <cell r="K11087" t="str">
            <v>00111118P.2</v>
          </cell>
        </row>
        <row r="11088">
          <cell r="K11088" t="str">
            <v>00111118P.2</v>
          </cell>
        </row>
        <row r="11089">
          <cell r="K11089" t="str">
            <v>00111119P.2</v>
          </cell>
        </row>
        <row r="11090">
          <cell r="K11090" t="str">
            <v>00111120P.2</v>
          </cell>
        </row>
        <row r="11091">
          <cell r="K11091" t="str">
            <v>00111121P.2</v>
          </cell>
        </row>
        <row r="11092">
          <cell r="K11092" t="str">
            <v>00111121P.2</v>
          </cell>
        </row>
        <row r="11093">
          <cell r="K11093" t="str">
            <v>00111124P.2</v>
          </cell>
        </row>
        <row r="11094">
          <cell r="K11094" t="str">
            <v>00111127P.2</v>
          </cell>
        </row>
        <row r="11095">
          <cell r="K11095" t="str">
            <v>00111129P.2</v>
          </cell>
        </row>
        <row r="11096">
          <cell r="K11096" t="str">
            <v>00111131P.2</v>
          </cell>
        </row>
        <row r="11097">
          <cell r="K11097" t="str">
            <v>00111132P.2</v>
          </cell>
        </row>
        <row r="11098">
          <cell r="K11098" t="str">
            <v>00111110P.2</v>
          </cell>
        </row>
        <row r="11099">
          <cell r="K11099" t="str">
            <v>00111117P.2</v>
          </cell>
        </row>
        <row r="11100">
          <cell r="K11100" t="str">
            <v>00111118P.2</v>
          </cell>
        </row>
        <row r="11101">
          <cell r="K11101" t="str">
            <v>00111120P.2</v>
          </cell>
        </row>
        <row r="11102">
          <cell r="K11102" t="str">
            <v>00111129P.2</v>
          </cell>
        </row>
        <row r="11103">
          <cell r="K11103" t="str">
            <v>00111129P.2</v>
          </cell>
        </row>
        <row r="11104">
          <cell r="K11104" t="str">
            <v>00111132P.2</v>
          </cell>
        </row>
        <row r="11105">
          <cell r="K11105" t="str">
            <v>00111116P.2</v>
          </cell>
        </row>
        <row r="11106">
          <cell r="K11106" t="str">
            <v>00111118P.2</v>
          </cell>
        </row>
        <row r="11107">
          <cell r="K11107" t="str">
            <v>00111112P.2</v>
          </cell>
        </row>
        <row r="11108">
          <cell r="K11108" t="str">
            <v>00111113P.2</v>
          </cell>
        </row>
        <row r="11109">
          <cell r="K11109" t="str">
            <v>00111114P.2</v>
          </cell>
        </row>
        <row r="11110">
          <cell r="K11110" t="str">
            <v>00111122P.2</v>
          </cell>
        </row>
        <row r="11111">
          <cell r="K11111" t="str">
            <v>00111127P.2</v>
          </cell>
        </row>
        <row r="11112">
          <cell r="K11112" t="str">
            <v>00111127P.2</v>
          </cell>
        </row>
        <row r="11113">
          <cell r="K11113" t="str">
            <v>00111133P.2</v>
          </cell>
        </row>
        <row r="11114">
          <cell r="K11114" t="str">
            <v>00111121P.2</v>
          </cell>
        </row>
        <row r="11115">
          <cell r="K11115" t="str">
            <v>00111125P.2</v>
          </cell>
        </row>
        <row r="11116">
          <cell r="K11116" t="str">
            <v>00111113P.2</v>
          </cell>
        </row>
        <row r="11117">
          <cell r="K11117" t="str">
            <v>00111116P.2</v>
          </cell>
        </row>
        <row r="11118">
          <cell r="K11118" t="str">
            <v>00111120P.2</v>
          </cell>
        </row>
        <row r="11119">
          <cell r="K11119" t="str">
            <v>00111120P.2</v>
          </cell>
        </row>
        <row r="11120">
          <cell r="K11120" t="str">
            <v>00111128P.2</v>
          </cell>
        </row>
        <row r="11121">
          <cell r="K11121" t="str">
            <v>00111132P.2</v>
          </cell>
        </row>
        <row r="11122">
          <cell r="K11122" t="str">
            <v>00111136P.2</v>
          </cell>
        </row>
        <row r="11123">
          <cell r="K11123" t="str">
            <v>00111136P.2</v>
          </cell>
        </row>
        <row r="11124">
          <cell r="K11124" t="str">
            <v>00111129P.2</v>
          </cell>
        </row>
        <row r="11125">
          <cell r="K11125" t="str">
            <v>00111112P.2</v>
          </cell>
        </row>
        <row r="11126">
          <cell r="K11126" t="str">
            <v>00111123P.2</v>
          </cell>
        </row>
        <row r="11127">
          <cell r="K11127" t="str">
            <v>00111113P.2</v>
          </cell>
        </row>
        <row r="11128">
          <cell r="K11128" t="str">
            <v>00111115P.2</v>
          </cell>
        </row>
        <row r="11129">
          <cell r="K11129" t="str">
            <v>00111123P.2</v>
          </cell>
        </row>
        <row r="11130">
          <cell r="K11130" t="str">
            <v>00111126P.2</v>
          </cell>
        </row>
        <row r="11131">
          <cell r="K11131" t="str">
            <v>00111121P.2</v>
          </cell>
        </row>
        <row r="11132">
          <cell r="K11132" t="str">
            <v>00111123P.2</v>
          </cell>
        </row>
        <row r="11133">
          <cell r="K11133" t="str">
            <v>00111123P.2</v>
          </cell>
        </row>
        <row r="11134">
          <cell r="K11134" t="str">
            <v>00111130P.2</v>
          </cell>
        </row>
        <row r="11135">
          <cell r="K11135" t="str">
            <v>00111114P.2</v>
          </cell>
        </row>
        <row r="11136">
          <cell r="K11136" t="str">
            <v>00111119P.2</v>
          </cell>
        </row>
        <row r="11137">
          <cell r="K11137" t="str">
            <v>00111135P.2</v>
          </cell>
        </row>
        <row r="11138">
          <cell r="K11138" t="str">
            <v>00111110P.2</v>
          </cell>
        </row>
        <row r="11139">
          <cell r="K11139" t="str">
            <v>00111116P.2</v>
          </cell>
        </row>
        <row r="11140">
          <cell r="K11140" t="str">
            <v>00111116P.2</v>
          </cell>
        </row>
        <row r="11141">
          <cell r="K11141" t="str">
            <v>00111121P.2</v>
          </cell>
        </row>
        <row r="11142">
          <cell r="K11142" t="str">
            <v>00111124P.2</v>
          </cell>
        </row>
        <row r="11143">
          <cell r="K11143" t="str">
            <v>00111135P.2</v>
          </cell>
        </row>
        <row r="11144">
          <cell r="K11144" t="str">
            <v>00111120P.2</v>
          </cell>
        </row>
        <row r="11145">
          <cell r="K11145" t="str">
            <v>00111133P.2</v>
          </cell>
        </row>
        <row r="11146">
          <cell r="K11146" t="str">
            <v>00111116P.2</v>
          </cell>
        </row>
        <row r="11147">
          <cell r="K11147" t="str">
            <v>00111127P.2</v>
          </cell>
        </row>
        <row r="11148">
          <cell r="K11148" t="str">
            <v>00111130P.2</v>
          </cell>
        </row>
        <row r="11149">
          <cell r="K11149" t="str">
            <v>00111123P.2</v>
          </cell>
        </row>
        <row r="11150">
          <cell r="K11150" t="str">
            <v>00111136P.2</v>
          </cell>
        </row>
        <row r="11151">
          <cell r="K11151" t="str">
            <v>00111115P.2</v>
          </cell>
        </row>
        <row r="11152">
          <cell r="K11152" t="str">
            <v>00111118P.2</v>
          </cell>
        </row>
        <row r="11153">
          <cell r="K11153" t="str">
            <v>00111132P.2</v>
          </cell>
        </row>
        <row r="11154">
          <cell r="K11154" t="str">
            <v>00111135P.2</v>
          </cell>
        </row>
        <row r="11155">
          <cell r="K11155" t="str">
            <v>00111110P.2</v>
          </cell>
        </row>
        <row r="11156">
          <cell r="K11156" t="str">
            <v>00111111P.2</v>
          </cell>
        </row>
        <row r="11157">
          <cell r="K11157" t="str">
            <v>00111111P.2</v>
          </cell>
        </row>
        <row r="11158">
          <cell r="K11158" t="str">
            <v>00111120P.2</v>
          </cell>
        </row>
        <row r="11159">
          <cell r="K11159" t="str">
            <v>00111128P.2</v>
          </cell>
        </row>
        <row r="11160">
          <cell r="K11160" t="str">
            <v>00111129P.2</v>
          </cell>
        </row>
        <row r="11161">
          <cell r="K11161" t="str">
            <v>00111135P.2</v>
          </cell>
        </row>
        <row r="11162">
          <cell r="K11162" t="str">
            <v>00111136P.2</v>
          </cell>
        </row>
        <row r="11163">
          <cell r="K11163" t="str">
            <v>00111130P.2</v>
          </cell>
        </row>
        <row r="11164">
          <cell r="K11164" t="str">
            <v>00111133P.2</v>
          </cell>
        </row>
        <row r="11165">
          <cell r="K11165" t="str">
            <v>00111136P.2</v>
          </cell>
        </row>
        <row r="11166">
          <cell r="K11166" t="str">
            <v>00111113P.2</v>
          </cell>
        </row>
        <row r="11167">
          <cell r="K11167" t="str">
            <v>00111114P.2</v>
          </cell>
        </row>
        <row r="11168">
          <cell r="K11168" t="str">
            <v>00111115P.2</v>
          </cell>
        </row>
        <row r="11169">
          <cell r="K11169" t="str">
            <v>00111127P.2</v>
          </cell>
        </row>
        <row r="11170">
          <cell r="K11170" t="str">
            <v>00111132P.2</v>
          </cell>
        </row>
        <row r="11171">
          <cell r="K11171" t="str">
            <v>00111112P.2</v>
          </cell>
        </row>
        <row r="11172">
          <cell r="K11172" t="str">
            <v>00111112P.2</v>
          </cell>
        </row>
        <row r="11173">
          <cell r="K11173" t="str">
            <v>00111114P.2</v>
          </cell>
        </row>
        <row r="11174">
          <cell r="K11174" t="str">
            <v>00111126P.2</v>
          </cell>
        </row>
        <row r="11175">
          <cell r="K11175" t="str">
            <v>00111135P.2</v>
          </cell>
        </row>
        <row r="11176">
          <cell r="K11176" t="str">
            <v>00111131P.2</v>
          </cell>
        </row>
        <row r="11177">
          <cell r="K11177" t="str">
            <v>00111110P.2</v>
          </cell>
        </row>
        <row r="11178">
          <cell r="K11178" t="str">
            <v>00111120P.2</v>
          </cell>
        </row>
        <row r="11179">
          <cell r="K11179" t="str">
            <v>00111125P.2</v>
          </cell>
        </row>
        <row r="11180">
          <cell r="K11180" t="str">
            <v>00111126P.2</v>
          </cell>
        </row>
        <row r="11181">
          <cell r="K11181" t="str">
            <v>00111115P.2</v>
          </cell>
        </row>
        <row r="11182">
          <cell r="K11182" t="str">
            <v>00111126P.2</v>
          </cell>
        </row>
        <row r="11183">
          <cell r="K11183" t="str">
            <v>00111128P.2</v>
          </cell>
        </row>
        <row r="11184">
          <cell r="K11184" t="str">
            <v>00111132P.2</v>
          </cell>
        </row>
        <row r="11185">
          <cell r="K11185" t="str">
            <v>00111134P.2</v>
          </cell>
        </row>
        <row r="11186">
          <cell r="K11186" t="str">
            <v>00111135P.2</v>
          </cell>
        </row>
        <row r="11187">
          <cell r="K11187" t="str">
            <v>00111117P.2</v>
          </cell>
        </row>
        <row r="11188">
          <cell r="K11188" t="str">
            <v>00111124P.2</v>
          </cell>
        </row>
        <row r="11189">
          <cell r="K11189" t="str">
            <v>00111126P.2</v>
          </cell>
        </row>
        <row r="11190">
          <cell r="K11190" t="str">
            <v>00111134P.2</v>
          </cell>
        </row>
        <row r="11191">
          <cell r="K11191" t="str">
            <v>00111121P.2</v>
          </cell>
        </row>
        <row r="11192">
          <cell r="K11192" t="str">
            <v>00111117P.2</v>
          </cell>
        </row>
        <row r="11193">
          <cell r="K11193" t="str">
            <v>00111135P.2</v>
          </cell>
        </row>
        <row r="11194">
          <cell r="K11194" t="str">
            <v>00111117P.2</v>
          </cell>
        </row>
        <row r="11195">
          <cell r="K11195" t="str">
            <v>00111130P.2</v>
          </cell>
        </row>
        <row r="11196">
          <cell r="K11196" t="str">
            <v>00111133P.2</v>
          </cell>
        </row>
        <row r="11197">
          <cell r="K11197" t="str">
            <v>00111130P.2</v>
          </cell>
        </row>
        <row r="11198">
          <cell r="K11198" t="str">
            <v>00111114P.2</v>
          </cell>
        </row>
        <row r="11199">
          <cell r="K11199" t="str">
            <v>00111126P.2</v>
          </cell>
        </row>
        <row r="11200">
          <cell r="K11200" t="str">
            <v>00111128P.2</v>
          </cell>
        </row>
        <row r="11201">
          <cell r="K11201" t="str">
            <v>00111136P.2</v>
          </cell>
        </row>
        <row r="11202">
          <cell r="K11202" t="str">
            <v>00111115P.2</v>
          </cell>
        </row>
        <row r="11203">
          <cell r="K11203" t="str">
            <v>00111133P.2</v>
          </cell>
        </row>
        <row r="11204">
          <cell r="K11204" t="str">
            <v>00111115P.2</v>
          </cell>
        </row>
        <row r="11205">
          <cell r="K11205" t="str">
            <v>00111118P.2</v>
          </cell>
        </row>
        <row r="11206">
          <cell r="K11206" t="str">
            <v>00111133P.2</v>
          </cell>
        </row>
        <row r="11207">
          <cell r="K11207" t="str">
            <v>00111114P.2</v>
          </cell>
        </row>
        <row r="11208">
          <cell r="K11208" t="str">
            <v>00111121P.2</v>
          </cell>
        </row>
        <row r="11209">
          <cell r="K11209" t="str">
            <v>00111126P.2</v>
          </cell>
        </row>
        <row r="11210">
          <cell r="K11210" t="str">
            <v>00111126P.2</v>
          </cell>
        </row>
        <row r="11211">
          <cell r="K11211" t="str">
            <v>00111133P.2</v>
          </cell>
        </row>
        <row r="11212">
          <cell r="K11212" t="str">
            <v>00111111P.2</v>
          </cell>
        </row>
        <row r="11213">
          <cell r="K11213" t="str">
            <v>00111130P.2</v>
          </cell>
        </row>
        <row r="11214">
          <cell r="K11214" t="str">
            <v>00111132P.2</v>
          </cell>
        </row>
        <row r="11215">
          <cell r="K11215" t="str">
            <v>00111133P.2</v>
          </cell>
        </row>
        <row r="11216">
          <cell r="K11216" t="str">
            <v>00111110P.2</v>
          </cell>
        </row>
        <row r="11217">
          <cell r="K11217" t="str">
            <v>00111112P.2</v>
          </cell>
        </row>
        <row r="11218">
          <cell r="K11218" t="str">
            <v>00111117P.2</v>
          </cell>
        </row>
        <row r="11219">
          <cell r="K11219" t="str">
            <v>00111122P.2</v>
          </cell>
        </row>
        <row r="11220">
          <cell r="K11220" t="str">
            <v>00111123P.2</v>
          </cell>
        </row>
        <row r="11221">
          <cell r="K11221" t="str">
            <v>00111127P.2</v>
          </cell>
        </row>
        <row r="11222">
          <cell r="K11222" t="str">
            <v>00111131P.2</v>
          </cell>
        </row>
        <row r="11223">
          <cell r="K11223" t="str">
            <v>00111127P.2</v>
          </cell>
        </row>
        <row r="11224">
          <cell r="K11224" t="str">
            <v>00111131P.2</v>
          </cell>
        </row>
        <row r="11225">
          <cell r="K11225" t="str">
            <v>00111129P.2</v>
          </cell>
        </row>
        <row r="11226">
          <cell r="K11226" t="str">
            <v>00111110P.2</v>
          </cell>
        </row>
        <row r="11227">
          <cell r="K11227" t="str">
            <v>00111114P.2</v>
          </cell>
        </row>
        <row r="11228">
          <cell r="K11228" t="str">
            <v>00111132P.2</v>
          </cell>
        </row>
        <row r="11229">
          <cell r="K11229" t="str">
            <v>00111136P.2</v>
          </cell>
        </row>
        <row r="11230">
          <cell r="K11230" t="str">
            <v>00111129P.2</v>
          </cell>
        </row>
        <row r="11231">
          <cell r="K11231" t="str">
            <v>00111112P.2</v>
          </cell>
        </row>
        <row r="11232">
          <cell r="K11232" t="str">
            <v>00111117P.2</v>
          </cell>
        </row>
        <row r="11233">
          <cell r="K11233" t="str">
            <v>00111112P.2</v>
          </cell>
        </row>
        <row r="11234">
          <cell r="K11234" t="str">
            <v>00111132P.2</v>
          </cell>
        </row>
        <row r="11235">
          <cell r="K11235" t="str">
            <v>00111119P.2</v>
          </cell>
        </row>
        <row r="11236">
          <cell r="K11236" t="str">
            <v>00111127P.2</v>
          </cell>
        </row>
        <row r="11237">
          <cell r="K11237" t="str">
            <v>00111115P.2</v>
          </cell>
        </row>
        <row r="11238">
          <cell r="K11238" t="str">
            <v>00111116P.2</v>
          </cell>
        </row>
        <row r="11239">
          <cell r="K11239" t="str">
            <v>00111110P.2</v>
          </cell>
        </row>
        <row r="11240">
          <cell r="K11240" t="str">
            <v>00111120P.2</v>
          </cell>
        </row>
        <row r="11241">
          <cell r="K11241" t="str">
            <v>00111125P.2</v>
          </cell>
        </row>
        <row r="11242">
          <cell r="K11242" t="str">
            <v>00111132P.2</v>
          </cell>
        </row>
        <row r="11243">
          <cell r="K11243" t="str">
            <v>00111135P.2</v>
          </cell>
        </row>
        <row r="11244">
          <cell r="K11244" t="str">
            <v>00111136P.2</v>
          </cell>
        </row>
        <row r="11245">
          <cell r="K11245" t="str">
            <v>00111110P.2</v>
          </cell>
        </row>
        <row r="11246">
          <cell r="K11246" t="str">
            <v>00111124P.2</v>
          </cell>
        </row>
        <row r="11247">
          <cell r="K11247" t="str">
            <v>00111135P.2</v>
          </cell>
        </row>
        <row r="11248">
          <cell r="K11248" t="str">
            <v>00111133P.2</v>
          </cell>
        </row>
        <row r="11249">
          <cell r="K11249" t="str">
            <v>00111124P.2</v>
          </cell>
        </row>
        <row r="11250">
          <cell r="K11250" t="str">
            <v>00111126P.2</v>
          </cell>
        </row>
        <row r="11251">
          <cell r="K11251" t="str">
            <v>00111131P.2</v>
          </cell>
        </row>
        <row r="11252">
          <cell r="K11252" t="str">
            <v>00111119P.2</v>
          </cell>
        </row>
        <row r="11253">
          <cell r="K11253" t="str">
            <v>00111127P.2</v>
          </cell>
        </row>
        <row r="11254">
          <cell r="K11254" t="str">
            <v>00111116P.2</v>
          </cell>
        </row>
        <row r="11255">
          <cell r="K11255" t="str">
            <v>00111110P.2</v>
          </cell>
        </row>
        <row r="11256">
          <cell r="K11256" t="str">
            <v>00111113P.2</v>
          </cell>
        </row>
        <row r="11257">
          <cell r="K11257" t="str">
            <v>00111128P.2</v>
          </cell>
        </row>
        <row r="11258">
          <cell r="K11258" t="str">
            <v>00111133P.2</v>
          </cell>
        </row>
        <row r="11259">
          <cell r="K11259" t="str">
            <v>00111114P.2</v>
          </cell>
        </row>
        <row r="11260">
          <cell r="K11260" t="str">
            <v>00111125P.2</v>
          </cell>
        </row>
        <row r="11261">
          <cell r="K11261" t="str">
            <v>00111136P.2</v>
          </cell>
        </row>
        <row r="11262">
          <cell r="K11262" t="str">
            <v>00111113P.2</v>
          </cell>
        </row>
        <row r="11263">
          <cell r="K11263" t="str">
            <v>00111113P.2</v>
          </cell>
        </row>
        <row r="11264">
          <cell r="K11264" t="str">
            <v>00111133P.2</v>
          </cell>
        </row>
        <row r="11265">
          <cell r="K11265" t="str">
            <v>00111130P.2</v>
          </cell>
        </row>
        <row r="11266">
          <cell r="K11266" t="str">
            <v>00111133P.2</v>
          </cell>
        </row>
        <row r="11267">
          <cell r="K11267" t="str">
            <v>00111134P.2</v>
          </cell>
        </row>
        <row r="11268">
          <cell r="K11268" t="str">
            <v>00111112P.2</v>
          </cell>
        </row>
        <row r="11269">
          <cell r="K11269" t="str">
            <v>00111120P.2</v>
          </cell>
        </row>
        <row r="11270">
          <cell r="K11270" t="str">
            <v>00111126P.2</v>
          </cell>
        </row>
        <row r="11271">
          <cell r="K11271" t="str">
            <v>00111129P.2</v>
          </cell>
        </row>
        <row r="11272">
          <cell r="K11272" t="str">
            <v>00111129P.2</v>
          </cell>
        </row>
        <row r="11273">
          <cell r="K11273" t="str">
            <v>00111129P.2</v>
          </cell>
        </row>
        <row r="11274">
          <cell r="K11274" t="str">
            <v>00111130P.2</v>
          </cell>
        </row>
        <row r="11275">
          <cell r="K11275" t="str">
            <v>00111133P.2</v>
          </cell>
        </row>
        <row r="11276">
          <cell r="K11276" t="str">
            <v>00111118P.2</v>
          </cell>
        </row>
        <row r="11277">
          <cell r="K11277" t="str">
            <v>00111135P.2</v>
          </cell>
        </row>
        <row r="11278">
          <cell r="K11278" t="str">
            <v>00111112P.2</v>
          </cell>
        </row>
        <row r="11279">
          <cell r="K11279" t="str">
            <v>00111114P.2</v>
          </cell>
        </row>
        <row r="11280">
          <cell r="K11280" t="str">
            <v>00111134P.2</v>
          </cell>
        </row>
        <row r="11281">
          <cell r="K11281" t="str">
            <v>00111128P.2</v>
          </cell>
        </row>
        <row r="11282">
          <cell r="K11282" t="str">
            <v>00111113P.2</v>
          </cell>
        </row>
        <row r="11283">
          <cell r="K11283" t="str">
            <v>00111116P.2</v>
          </cell>
        </row>
        <row r="11284">
          <cell r="K11284" t="str">
            <v>00111132P.2</v>
          </cell>
        </row>
        <row r="11285">
          <cell r="K11285" t="str">
            <v>00111118P.2</v>
          </cell>
        </row>
        <row r="11286">
          <cell r="K11286" t="str">
            <v>00111121P.2</v>
          </cell>
        </row>
        <row r="11287">
          <cell r="K11287" t="str">
            <v>00111110P.2</v>
          </cell>
        </row>
        <row r="11288">
          <cell r="K11288" t="str">
            <v>00111116P.2</v>
          </cell>
        </row>
        <row r="11289">
          <cell r="K11289" t="str">
            <v>00111127P.2</v>
          </cell>
        </row>
        <row r="11290">
          <cell r="K11290" t="str">
            <v>00111135P.2</v>
          </cell>
        </row>
        <row r="11291">
          <cell r="K11291" t="str">
            <v>00111131P.2</v>
          </cell>
        </row>
        <row r="11292">
          <cell r="K11292" t="str">
            <v>00111110P.2</v>
          </cell>
        </row>
        <row r="11293">
          <cell r="K11293" t="str">
            <v>00111122P.2</v>
          </cell>
        </row>
        <row r="11294">
          <cell r="K11294" t="str">
            <v>00111128P.2</v>
          </cell>
        </row>
        <row r="11295">
          <cell r="K11295" t="str">
            <v>00111117P.2</v>
          </cell>
        </row>
        <row r="11296">
          <cell r="K11296" t="str">
            <v>00111119P.2</v>
          </cell>
        </row>
        <row r="11297">
          <cell r="K11297" t="str">
            <v>00111116P.2</v>
          </cell>
        </row>
        <row r="11298">
          <cell r="K11298" t="str">
            <v>00111134P.2</v>
          </cell>
        </row>
        <row r="11299">
          <cell r="K11299" t="str">
            <v>00111136P.2</v>
          </cell>
        </row>
        <row r="11300">
          <cell r="K11300" t="str">
            <v>00111126P.2</v>
          </cell>
        </row>
        <row r="11301">
          <cell r="K11301" t="str">
            <v>00111121P.2</v>
          </cell>
        </row>
        <row r="11302">
          <cell r="K11302" t="str">
            <v>00111134P.2</v>
          </cell>
        </row>
        <row r="11303">
          <cell r="K11303" t="str">
            <v>00111126P.2</v>
          </cell>
        </row>
        <row r="11304">
          <cell r="K11304" t="str">
            <v>00111136P.2</v>
          </cell>
        </row>
        <row r="11305">
          <cell r="K11305" t="str">
            <v>00111111P.2</v>
          </cell>
        </row>
        <row r="11306">
          <cell r="K11306" t="str">
            <v>00111124P.2</v>
          </cell>
        </row>
        <row r="11307">
          <cell r="K11307" t="str">
            <v>00111133P.2</v>
          </cell>
        </row>
        <row r="11308">
          <cell r="K11308" t="str">
            <v>00111113P.2</v>
          </cell>
        </row>
        <row r="11309">
          <cell r="K11309" t="str">
            <v>00111121P.2</v>
          </cell>
        </row>
        <row r="11310">
          <cell r="K11310" t="str">
            <v>00111123P.2</v>
          </cell>
        </row>
        <row r="11311">
          <cell r="K11311" t="str">
            <v>00111121P.2</v>
          </cell>
        </row>
        <row r="11312">
          <cell r="K11312" t="str">
            <v>00111133P.2</v>
          </cell>
        </row>
        <row r="11313">
          <cell r="K11313" t="str">
            <v>00111116P.2</v>
          </cell>
        </row>
        <row r="11314">
          <cell r="K11314" t="str">
            <v>00111123P.2</v>
          </cell>
        </row>
        <row r="11315">
          <cell r="K11315" t="str">
            <v>00111134P.2</v>
          </cell>
        </row>
        <row r="11316">
          <cell r="K11316" t="str">
            <v>00111113P.2</v>
          </cell>
        </row>
        <row r="11317">
          <cell r="K11317" t="str">
            <v>00111114P.2</v>
          </cell>
        </row>
        <row r="11318">
          <cell r="K11318" t="str">
            <v>00111135P.2</v>
          </cell>
        </row>
        <row r="11319">
          <cell r="K11319" t="str">
            <v>00111120P.2</v>
          </cell>
        </row>
        <row r="11320">
          <cell r="K11320" t="str">
            <v>00111128P.2</v>
          </cell>
        </row>
        <row r="11321">
          <cell r="K11321" t="str">
            <v>00111127P.2</v>
          </cell>
        </row>
        <row r="11322">
          <cell r="K11322" t="str">
            <v>00111121P.2</v>
          </cell>
        </row>
        <row r="11323">
          <cell r="K11323" t="str">
            <v>00111136P.2</v>
          </cell>
        </row>
        <row r="11324">
          <cell r="K11324" t="str">
            <v>00111123P.2</v>
          </cell>
        </row>
        <row r="11325">
          <cell r="K11325" t="str">
            <v>00111132P.2</v>
          </cell>
        </row>
        <row r="11326">
          <cell r="K11326" t="str">
            <v>00111126P.2</v>
          </cell>
        </row>
        <row r="11327">
          <cell r="K11327" t="str">
            <v>00111134P.2</v>
          </cell>
        </row>
        <row r="11328">
          <cell r="K11328" t="str">
            <v>00111116P.2</v>
          </cell>
        </row>
        <row r="11329">
          <cell r="K11329" t="str">
            <v>00111122P.2</v>
          </cell>
        </row>
        <row r="11330">
          <cell r="K11330" t="str">
            <v>00111135P.2</v>
          </cell>
        </row>
        <row r="11331">
          <cell r="K11331" t="str">
            <v>00111133P.2</v>
          </cell>
        </row>
        <row r="11332">
          <cell r="K11332" t="str">
            <v>00111121P.2</v>
          </cell>
        </row>
        <row r="11333">
          <cell r="K11333" t="str">
            <v>00111114P.2</v>
          </cell>
        </row>
        <row r="11334">
          <cell r="K11334" t="str">
            <v>00111117P.2</v>
          </cell>
        </row>
        <row r="11335">
          <cell r="K11335" t="str">
            <v>00111131P.2</v>
          </cell>
        </row>
        <row r="11336">
          <cell r="K11336" t="str">
            <v>00111118P.2</v>
          </cell>
        </row>
        <row r="11337">
          <cell r="K11337" t="str">
            <v>00111118P.2</v>
          </cell>
        </row>
        <row r="11338">
          <cell r="K11338" t="str">
            <v>00111128P.2</v>
          </cell>
        </row>
        <row r="11339">
          <cell r="K11339" t="str">
            <v>00111116P.2</v>
          </cell>
        </row>
        <row r="11340">
          <cell r="K11340" t="str">
            <v>00111117P.2</v>
          </cell>
        </row>
        <row r="11341">
          <cell r="K11341" t="str">
            <v>00111117P.2</v>
          </cell>
        </row>
        <row r="11342">
          <cell r="K11342" t="str">
            <v>00111111P.2</v>
          </cell>
        </row>
        <row r="11343">
          <cell r="K11343" t="str">
            <v>00111134P.2</v>
          </cell>
        </row>
        <row r="11344">
          <cell r="K11344" t="str">
            <v>00111112P.2</v>
          </cell>
        </row>
        <row r="11345">
          <cell r="K11345" t="str">
            <v>00111135P.2</v>
          </cell>
        </row>
        <row r="11346">
          <cell r="K11346" t="str">
            <v>00111120P.2</v>
          </cell>
        </row>
        <row r="11347">
          <cell r="K11347" t="str">
            <v>00111130P.2</v>
          </cell>
        </row>
        <row r="11348">
          <cell r="K11348" t="str">
            <v>00111135P.2</v>
          </cell>
        </row>
        <row r="11349">
          <cell r="K11349" t="str">
            <v>00111123P.2</v>
          </cell>
        </row>
        <row r="11350">
          <cell r="K11350" t="str">
            <v>00111130P.2</v>
          </cell>
        </row>
        <row r="11351">
          <cell r="K11351" t="str">
            <v>00111129P.2</v>
          </cell>
        </row>
        <row r="11352">
          <cell r="K11352" t="str">
            <v>00111110P.2</v>
          </cell>
        </row>
        <row r="11353">
          <cell r="K11353" t="str">
            <v>00111128P.2</v>
          </cell>
        </row>
        <row r="11354">
          <cell r="K11354" t="str">
            <v>00111127P.2</v>
          </cell>
        </row>
        <row r="11355">
          <cell r="K11355" t="str">
            <v>00111113P.2</v>
          </cell>
        </row>
        <row r="11356">
          <cell r="K11356" t="str">
            <v>00111135P.2</v>
          </cell>
        </row>
        <row r="11357">
          <cell r="K11357" t="str">
            <v>00111113P.2</v>
          </cell>
        </row>
        <row r="11358">
          <cell r="K11358" t="str">
            <v>00111131P.2</v>
          </cell>
        </row>
        <row r="11359">
          <cell r="K11359" t="str">
            <v>00111133P.2</v>
          </cell>
        </row>
        <row r="11360">
          <cell r="K11360" t="str">
            <v>00111125P.2</v>
          </cell>
        </row>
        <row r="11361">
          <cell r="K11361" t="str">
            <v>00111129P.2</v>
          </cell>
        </row>
        <row r="11362">
          <cell r="K11362" t="str">
            <v>00111134P.2</v>
          </cell>
        </row>
        <row r="11363">
          <cell r="K11363" t="str">
            <v>00111113P.2</v>
          </cell>
        </row>
        <row r="11364">
          <cell r="K11364" t="str">
            <v>00111117P.2</v>
          </cell>
        </row>
        <row r="11365">
          <cell r="K11365" t="str">
            <v>00111121P.2</v>
          </cell>
        </row>
        <row r="11366">
          <cell r="K11366" t="str">
            <v>00111110P.2</v>
          </cell>
        </row>
        <row r="11367">
          <cell r="K11367" t="str">
            <v>00111120P.2</v>
          </cell>
        </row>
        <row r="11368">
          <cell r="K11368" t="str">
            <v>00111121P.2</v>
          </cell>
        </row>
        <row r="11369">
          <cell r="K11369" t="str">
            <v>00111129P.2</v>
          </cell>
        </row>
        <row r="11370">
          <cell r="K11370" t="str">
            <v>00111135P.2</v>
          </cell>
        </row>
        <row r="11371">
          <cell r="K11371" t="str">
            <v>00111118P.2</v>
          </cell>
        </row>
        <row r="11372">
          <cell r="K11372" t="str">
            <v>00111125P.2</v>
          </cell>
        </row>
        <row r="11373">
          <cell r="K11373" t="str">
            <v>00111114P.2</v>
          </cell>
        </row>
        <row r="11374">
          <cell r="K11374" t="str">
            <v>00111133P.2</v>
          </cell>
        </row>
        <row r="11375">
          <cell r="K11375" t="str">
            <v>00111134P.2</v>
          </cell>
        </row>
        <row r="11376">
          <cell r="K11376" t="str">
            <v>00111116P.2</v>
          </cell>
        </row>
        <row r="11377">
          <cell r="K11377" t="str">
            <v>00111126P.2</v>
          </cell>
        </row>
        <row r="11378">
          <cell r="K11378" t="str">
            <v>00111126P.2</v>
          </cell>
        </row>
        <row r="11379">
          <cell r="K11379" t="str">
            <v>00111129P.2</v>
          </cell>
        </row>
        <row r="11380">
          <cell r="K11380" t="str">
            <v>00111135P.2</v>
          </cell>
        </row>
        <row r="11381">
          <cell r="K11381" t="str">
            <v>00111128P.2</v>
          </cell>
        </row>
        <row r="11382">
          <cell r="K11382" t="str">
            <v>00111115P.2</v>
          </cell>
        </row>
        <row r="11383">
          <cell r="K11383" t="str">
            <v>00111121P.2</v>
          </cell>
        </row>
        <row r="11384">
          <cell r="K11384" t="str">
            <v>00111126P.2</v>
          </cell>
        </row>
        <row r="11385">
          <cell r="K11385" t="str">
            <v>00111133P.2</v>
          </cell>
        </row>
        <row r="11386">
          <cell r="K11386" t="str">
            <v>00111135P.2</v>
          </cell>
        </row>
        <row r="11387">
          <cell r="K11387" t="str">
            <v>00111132P.2</v>
          </cell>
        </row>
        <row r="11388">
          <cell r="K11388" t="str">
            <v>00111133P.2</v>
          </cell>
        </row>
        <row r="11389">
          <cell r="K11389" t="str">
            <v>00111131P.2</v>
          </cell>
        </row>
        <row r="11390">
          <cell r="K11390" t="str">
            <v>00111136P.2</v>
          </cell>
        </row>
        <row r="11391">
          <cell r="K11391" t="str">
            <v>00111136P.2</v>
          </cell>
        </row>
        <row r="11392">
          <cell r="K11392" t="str">
            <v>00111131P.2</v>
          </cell>
        </row>
        <row r="11393">
          <cell r="K11393" t="str">
            <v>00111113P.2</v>
          </cell>
        </row>
        <row r="11394">
          <cell r="K11394" t="str">
            <v>00111118P.2</v>
          </cell>
        </row>
        <row r="11395">
          <cell r="K11395" t="str">
            <v>00111118P.2</v>
          </cell>
        </row>
        <row r="11396">
          <cell r="K11396" t="str">
            <v>00111131P.2</v>
          </cell>
        </row>
        <row r="11397">
          <cell r="K11397" t="str">
            <v>00111132P.2</v>
          </cell>
        </row>
        <row r="11398">
          <cell r="K11398" t="str">
            <v>00111134P.2</v>
          </cell>
        </row>
        <row r="11399">
          <cell r="K11399" t="str">
            <v>00111126P.2</v>
          </cell>
        </row>
        <row r="11400">
          <cell r="K11400" t="str">
            <v>00111133P.2</v>
          </cell>
        </row>
        <row r="11401">
          <cell r="K11401" t="str">
            <v>00111113P.2</v>
          </cell>
        </row>
        <row r="11402">
          <cell r="K11402" t="str">
            <v>00111116P.2</v>
          </cell>
        </row>
        <row r="11403">
          <cell r="K11403" t="str">
            <v>00111118P.2</v>
          </cell>
        </row>
        <row r="11404">
          <cell r="K11404" t="str">
            <v>00111125P.2</v>
          </cell>
        </row>
        <row r="11405">
          <cell r="K11405" t="str">
            <v>00111128P.2</v>
          </cell>
        </row>
        <row r="11406">
          <cell r="K11406" t="str">
            <v>00111123P.2</v>
          </cell>
        </row>
        <row r="11407">
          <cell r="K11407" t="str">
            <v>00111114P.2</v>
          </cell>
        </row>
        <row r="11408">
          <cell r="K11408" t="str">
            <v>00111117P.2</v>
          </cell>
        </row>
        <row r="11409">
          <cell r="K11409" t="str">
            <v>00111121P.2</v>
          </cell>
        </row>
        <row r="11410">
          <cell r="K11410" t="str">
            <v>00111130P.2</v>
          </cell>
        </row>
        <row r="11411">
          <cell r="K11411" t="str">
            <v>00111117P.2</v>
          </cell>
        </row>
        <row r="11412">
          <cell r="K11412" t="str">
            <v>00111122P.2</v>
          </cell>
        </row>
        <row r="11413">
          <cell r="K11413" t="str">
            <v>00111136P.2</v>
          </cell>
        </row>
        <row r="11414">
          <cell r="K11414" t="str">
            <v>00111113P.2</v>
          </cell>
        </row>
        <row r="11415">
          <cell r="K11415" t="str">
            <v>00111114P.2</v>
          </cell>
        </row>
        <row r="11416">
          <cell r="K11416" t="str">
            <v>00111118P.2</v>
          </cell>
        </row>
        <row r="11417">
          <cell r="K11417" t="str">
            <v>00111132P.2</v>
          </cell>
        </row>
        <row r="11418">
          <cell r="K11418" t="str">
            <v>00111132P.2</v>
          </cell>
        </row>
        <row r="11419">
          <cell r="K11419" t="str">
            <v>00111131P.2</v>
          </cell>
        </row>
        <row r="11420">
          <cell r="K11420" t="str">
            <v>00111132P.2</v>
          </cell>
        </row>
        <row r="11421">
          <cell r="K11421" t="str">
            <v>00111128P.2</v>
          </cell>
        </row>
        <row r="11422">
          <cell r="K11422" t="str">
            <v>00111126P.2</v>
          </cell>
        </row>
        <row r="11423">
          <cell r="K11423" t="str">
            <v>00111118P.2</v>
          </cell>
        </row>
        <row r="11424">
          <cell r="K11424" t="str">
            <v>00111135P.2</v>
          </cell>
        </row>
        <row r="11425">
          <cell r="K11425" t="str">
            <v>00111134P.2</v>
          </cell>
        </row>
        <row r="11426">
          <cell r="K11426" t="str">
            <v>00111112P.2</v>
          </cell>
        </row>
        <row r="11427">
          <cell r="K11427" t="str">
            <v>00111136P.2</v>
          </cell>
        </row>
        <row r="11428">
          <cell r="K11428" t="str">
            <v>00111110P.2</v>
          </cell>
        </row>
        <row r="11429">
          <cell r="K11429" t="str">
            <v>00111118P.2</v>
          </cell>
        </row>
        <row r="11430">
          <cell r="K11430" t="str">
            <v>00111129P.2</v>
          </cell>
        </row>
        <row r="11431">
          <cell r="K11431" t="str">
            <v>00111115P.2</v>
          </cell>
        </row>
        <row r="11432">
          <cell r="K11432" t="str">
            <v>00111121P.2</v>
          </cell>
        </row>
        <row r="11433">
          <cell r="K11433" t="str">
            <v>00111121P.2</v>
          </cell>
        </row>
        <row r="11434">
          <cell r="K11434" t="str">
            <v>00111118P.2</v>
          </cell>
        </row>
        <row r="11435">
          <cell r="K11435" t="str">
            <v>00111113P.2</v>
          </cell>
        </row>
        <row r="11436">
          <cell r="K11436" t="str">
            <v>00111129P.2</v>
          </cell>
        </row>
        <row r="11437">
          <cell r="K11437" t="str">
            <v>00111128P.2</v>
          </cell>
        </row>
        <row r="11438">
          <cell r="K11438" t="str">
            <v>00111125P.2</v>
          </cell>
        </row>
        <row r="11439">
          <cell r="K11439" t="str">
            <v>00111124P.2</v>
          </cell>
        </row>
        <row r="11440">
          <cell r="K11440" t="str">
            <v>00111113P.2</v>
          </cell>
        </row>
        <row r="11441">
          <cell r="K11441" t="str">
            <v>00111121P.2</v>
          </cell>
        </row>
        <row r="11442">
          <cell r="K11442" t="str">
            <v>00111128P.2</v>
          </cell>
        </row>
        <row r="11443">
          <cell r="K11443" t="str">
            <v>00111110P.2</v>
          </cell>
        </row>
        <row r="11444">
          <cell r="K11444" t="str">
            <v>00111126P.2</v>
          </cell>
        </row>
        <row r="11445">
          <cell r="K11445" t="str">
            <v>00111122P.2</v>
          </cell>
        </row>
        <row r="11446">
          <cell r="K11446" t="str">
            <v>00111111P.2</v>
          </cell>
        </row>
        <row r="11447">
          <cell r="K11447" t="str">
            <v>00111122P.2</v>
          </cell>
        </row>
        <row r="11448">
          <cell r="K11448" t="str">
            <v>00111127P.2</v>
          </cell>
        </row>
        <row r="11449">
          <cell r="K11449" t="str">
            <v>00111131P.2</v>
          </cell>
        </row>
        <row r="11450">
          <cell r="K11450" t="str">
            <v>00111133P.2</v>
          </cell>
        </row>
        <row r="11451">
          <cell r="K11451" t="str">
            <v>00111117P.2</v>
          </cell>
        </row>
        <row r="11452">
          <cell r="K11452" t="str">
            <v>00111127P.2</v>
          </cell>
        </row>
        <row r="11453">
          <cell r="K11453" t="str">
            <v>00111135P.2</v>
          </cell>
        </row>
        <row r="11454">
          <cell r="K11454" t="str">
            <v>00111118P.2</v>
          </cell>
        </row>
        <row r="11455">
          <cell r="K11455" t="str">
            <v>00111133P.2</v>
          </cell>
        </row>
        <row r="11456">
          <cell r="K11456" t="str">
            <v>00111118P.2</v>
          </cell>
        </row>
        <row r="11457">
          <cell r="K11457" t="str">
            <v>00111110P.2</v>
          </cell>
        </row>
        <row r="11458">
          <cell r="K11458" t="str">
            <v>00111117P.2</v>
          </cell>
        </row>
        <row r="11459">
          <cell r="K11459" t="str">
            <v>00111135P.2</v>
          </cell>
        </row>
        <row r="11460">
          <cell r="K11460" t="str">
            <v>00111114P.2</v>
          </cell>
        </row>
        <row r="11461">
          <cell r="K11461" t="str">
            <v>00111119P.2</v>
          </cell>
        </row>
        <row r="11462">
          <cell r="K11462" t="str">
            <v>00111124P.2</v>
          </cell>
        </row>
        <row r="11463">
          <cell r="K11463" t="str">
            <v>00111131P.2</v>
          </cell>
        </row>
        <row r="11464">
          <cell r="K11464" t="str">
            <v>00111127P.2</v>
          </cell>
        </row>
        <row r="11465">
          <cell r="K11465" t="str">
            <v>00111116P.2</v>
          </cell>
        </row>
        <row r="11466">
          <cell r="K11466" t="str">
            <v>00111113P.2</v>
          </cell>
        </row>
        <row r="11467">
          <cell r="K11467" t="str">
            <v>00111129P.2</v>
          </cell>
        </row>
        <row r="11468">
          <cell r="K11468" t="str">
            <v>00111126P.2</v>
          </cell>
        </row>
        <row r="11469">
          <cell r="K11469" t="str">
            <v>00111123P.2</v>
          </cell>
        </row>
        <row r="11470">
          <cell r="K11470" t="str">
            <v>00111132P.2</v>
          </cell>
        </row>
        <row r="11471">
          <cell r="K11471" t="str">
            <v>00111110P.2</v>
          </cell>
        </row>
        <row r="11472">
          <cell r="K11472" t="str">
            <v>00111110P.2</v>
          </cell>
        </row>
        <row r="11473">
          <cell r="K11473" t="str">
            <v>00111113P.2</v>
          </cell>
        </row>
        <row r="11474">
          <cell r="K11474" t="str">
            <v>00111113P.2</v>
          </cell>
        </row>
        <row r="11475">
          <cell r="K11475" t="str">
            <v>00111125P.2</v>
          </cell>
        </row>
        <row r="11476">
          <cell r="K11476" t="str">
            <v>00111131P.2</v>
          </cell>
        </row>
        <row r="11477">
          <cell r="K11477" t="str">
            <v>00111125P.2</v>
          </cell>
        </row>
        <row r="11478">
          <cell r="K11478" t="str">
            <v>00111131P.2</v>
          </cell>
        </row>
        <row r="11479">
          <cell r="K11479" t="str">
            <v>00111131P.2</v>
          </cell>
        </row>
        <row r="11480">
          <cell r="K11480" t="str">
            <v>00111110P.2</v>
          </cell>
        </row>
        <row r="11481">
          <cell r="K11481" t="str">
            <v>00111117P.2</v>
          </cell>
        </row>
        <row r="11482">
          <cell r="K11482" t="str">
            <v>00111110P.2</v>
          </cell>
        </row>
        <row r="11483">
          <cell r="K11483" t="str">
            <v>00111113P.2</v>
          </cell>
        </row>
        <row r="11484">
          <cell r="K11484" t="str">
            <v>00111117P.2</v>
          </cell>
        </row>
        <row r="11485">
          <cell r="K11485" t="str">
            <v>00111121P.2</v>
          </cell>
        </row>
        <row r="11486">
          <cell r="K11486" t="str">
            <v>00111118P.2</v>
          </cell>
        </row>
        <row r="11487">
          <cell r="K11487" t="str">
            <v>00111136P.2</v>
          </cell>
        </row>
        <row r="11488">
          <cell r="K11488" t="str">
            <v>00111111P.2</v>
          </cell>
        </row>
        <row r="11489">
          <cell r="K11489" t="str">
            <v>00111134P.2</v>
          </cell>
        </row>
        <row r="11490">
          <cell r="K11490" t="str">
            <v>00111112P.2</v>
          </cell>
        </row>
        <row r="11491">
          <cell r="K11491" t="str">
            <v>00111114P.2</v>
          </cell>
        </row>
        <row r="11492">
          <cell r="K11492" t="str">
            <v>00111124P.2</v>
          </cell>
        </row>
        <row r="11493">
          <cell r="K11493" t="str">
            <v>00111130P.2</v>
          </cell>
        </row>
        <row r="11494">
          <cell r="K11494" t="str">
            <v>00111110P.2</v>
          </cell>
        </row>
        <row r="11495">
          <cell r="K11495" t="str">
            <v>00111110P.2</v>
          </cell>
        </row>
        <row r="11496">
          <cell r="K11496" t="str">
            <v>00111127P.2</v>
          </cell>
        </row>
        <row r="11497">
          <cell r="K11497" t="str">
            <v>00111124P.2</v>
          </cell>
        </row>
        <row r="11498">
          <cell r="K11498" t="str">
            <v>00111119P.2</v>
          </cell>
        </row>
        <row r="11499">
          <cell r="K11499" t="str">
            <v>00111135P.2</v>
          </cell>
        </row>
        <row r="11500">
          <cell r="K11500" t="str">
            <v>00111135P.2</v>
          </cell>
        </row>
        <row r="11501">
          <cell r="K11501" t="str">
            <v>00111118P.2</v>
          </cell>
        </row>
        <row r="11502">
          <cell r="K11502" t="str">
            <v>00111127P.2</v>
          </cell>
        </row>
        <row r="11503">
          <cell r="K11503" t="str">
            <v>00111121P.2</v>
          </cell>
        </row>
        <row r="11504">
          <cell r="K11504" t="str">
            <v>00111113P.2</v>
          </cell>
        </row>
        <row r="11505">
          <cell r="K11505" t="str">
            <v>00111120P.2</v>
          </cell>
        </row>
        <row r="11506">
          <cell r="K11506" t="str">
            <v>00111114P.2</v>
          </cell>
        </row>
        <row r="11507">
          <cell r="K11507" t="str">
            <v>00111118P.2</v>
          </cell>
        </row>
        <row r="11508">
          <cell r="K11508" t="str">
            <v>00111121P.2</v>
          </cell>
        </row>
        <row r="11509">
          <cell r="K11509" t="str">
            <v>00111121P.2</v>
          </cell>
        </row>
        <row r="11510">
          <cell r="K11510" t="str">
            <v>00111131P.2</v>
          </cell>
        </row>
        <row r="11511">
          <cell r="K11511" t="str">
            <v>00111113P.2</v>
          </cell>
        </row>
        <row r="11512">
          <cell r="K11512" t="str">
            <v>00111117P.2</v>
          </cell>
        </row>
        <row r="11513">
          <cell r="K11513" t="str">
            <v>00111134P.2</v>
          </cell>
        </row>
        <row r="11514">
          <cell r="K11514" t="str">
            <v>00111117P.2</v>
          </cell>
        </row>
        <row r="11515">
          <cell r="K11515" t="str">
            <v>00111111P.2</v>
          </cell>
        </row>
        <row r="11516">
          <cell r="K11516" t="str">
            <v>00111128P.2</v>
          </cell>
        </row>
        <row r="11517">
          <cell r="K11517" t="str">
            <v>00111123P.2</v>
          </cell>
        </row>
        <row r="11518">
          <cell r="K11518" t="str">
            <v>00111114P.2</v>
          </cell>
        </row>
        <row r="11519">
          <cell r="K11519" t="str">
            <v>00111132P.2</v>
          </cell>
        </row>
        <row r="11520">
          <cell r="K11520" t="str">
            <v>00111114P.2</v>
          </cell>
        </row>
        <row r="11521">
          <cell r="K11521" t="str">
            <v>00111120P.2</v>
          </cell>
        </row>
        <row r="11522">
          <cell r="K11522" t="str">
            <v>00111126P.2</v>
          </cell>
        </row>
        <row r="11523">
          <cell r="K11523" t="str">
            <v>00111123P.2</v>
          </cell>
        </row>
        <row r="11524">
          <cell r="K11524" t="str">
            <v>00111130P.2</v>
          </cell>
        </row>
        <row r="11525">
          <cell r="K11525" t="str">
            <v>00111124P.2</v>
          </cell>
        </row>
        <row r="11526">
          <cell r="K11526" t="str">
            <v>00111122P.2</v>
          </cell>
        </row>
        <row r="11527">
          <cell r="K11527" t="str">
            <v>00111132P.2</v>
          </cell>
        </row>
        <row r="11528">
          <cell r="K11528" t="str">
            <v>00111134P.2</v>
          </cell>
        </row>
        <row r="11529">
          <cell r="K11529" t="str">
            <v>00111136P.2</v>
          </cell>
        </row>
        <row r="11530">
          <cell r="K11530" t="str">
            <v>00111133P.2</v>
          </cell>
        </row>
        <row r="11531">
          <cell r="K11531" t="str">
            <v>00111117P.2</v>
          </cell>
        </row>
        <row r="11532">
          <cell r="K11532" t="str">
            <v>00111121P.2</v>
          </cell>
        </row>
        <row r="11533">
          <cell r="K11533" t="str">
            <v>00111128P.2</v>
          </cell>
        </row>
        <row r="11534">
          <cell r="K11534" t="str">
            <v>00111136P.2</v>
          </cell>
        </row>
        <row r="11535">
          <cell r="K11535" t="str">
            <v>00111134P.2</v>
          </cell>
        </row>
        <row r="11536">
          <cell r="K11536" t="str">
            <v>00111119P.2</v>
          </cell>
        </row>
        <row r="11537">
          <cell r="K11537" t="str">
            <v>00111112P.2</v>
          </cell>
        </row>
        <row r="11538">
          <cell r="K11538" t="str">
            <v>00111114P.2</v>
          </cell>
        </row>
        <row r="11539">
          <cell r="K11539" t="str">
            <v>00111117P.2</v>
          </cell>
        </row>
        <row r="11540">
          <cell r="K11540" t="str">
            <v>00111136P.2</v>
          </cell>
        </row>
        <row r="11541">
          <cell r="K11541" t="str">
            <v>00111122P.2</v>
          </cell>
        </row>
        <row r="11542">
          <cell r="K11542" t="str">
            <v>00111120P.2</v>
          </cell>
        </row>
        <row r="11543">
          <cell r="K11543" t="str">
            <v>00111132P.2</v>
          </cell>
        </row>
        <row r="11544">
          <cell r="K11544" t="str">
            <v>00111129P.2</v>
          </cell>
        </row>
        <row r="11545">
          <cell r="K11545" t="str">
            <v>00111132P.2</v>
          </cell>
        </row>
        <row r="11546">
          <cell r="K11546" t="str">
            <v>00111128P.2</v>
          </cell>
        </row>
        <row r="11547">
          <cell r="K11547" t="str">
            <v>00111111P.2</v>
          </cell>
        </row>
        <row r="11548">
          <cell r="K11548" t="str">
            <v>00111128P.2</v>
          </cell>
        </row>
        <row r="11549">
          <cell r="K11549" t="str">
            <v>00111130P.2</v>
          </cell>
        </row>
        <row r="11550">
          <cell r="K11550" t="str">
            <v>00111126P.2</v>
          </cell>
        </row>
        <row r="11551">
          <cell r="K11551" t="str">
            <v>00111117P.2</v>
          </cell>
        </row>
        <row r="11552">
          <cell r="K11552" t="str">
            <v>00111125P.2</v>
          </cell>
        </row>
        <row r="11553">
          <cell r="K11553" t="str">
            <v>00111122P.2</v>
          </cell>
        </row>
        <row r="11554">
          <cell r="K11554" t="str">
            <v>00111131P.2</v>
          </cell>
        </row>
        <row r="11555">
          <cell r="K11555" t="str">
            <v>00111123P.2</v>
          </cell>
        </row>
        <row r="11556">
          <cell r="K11556" t="str">
            <v>00111113P.2</v>
          </cell>
        </row>
        <row r="11557">
          <cell r="K11557" t="str">
            <v>00111126P.2</v>
          </cell>
        </row>
        <row r="11558">
          <cell r="K11558" t="str">
            <v>00111119P.2</v>
          </cell>
        </row>
        <row r="11559">
          <cell r="K11559" t="str">
            <v>00111128P.2</v>
          </cell>
        </row>
        <row r="11560">
          <cell r="K11560" t="str">
            <v>00111132P.2</v>
          </cell>
        </row>
        <row r="11561">
          <cell r="K11561" t="str">
            <v>00111114P.2</v>
          </cell>
        </row>
        <row r="11562">
          <cell r="K11562" t="str">
            <v>00111113P.2</v>
          </cell>
        </row>
        <row r="11563">
          <cell r="K11563" t="str">
            <v>00111117P.2</v>
          </cell>
        </row>
        <row r="11564">
          <cell r="K11564" t="str">
            <v>00111113P.2</v>
          </cell>
        </row>
        <row r="11565">
          <cell r="K11565" t="str">
            <v>00111128P.2</v>
          </cell>
        </row>
        <row r="11566">
          <cell r="K11566" t="str">
            <v>00111113P.2</v>
          </cell>
        </row>
        <row r="11567">
          <cell r="K11567" t="str">
            <v>00111128P.2</v>
          </cell>
        </row>
        <row r="11568">
          <cell r="K11568" t="str">
            <v>00111120P.2</v>
          </cell>
        </row>
        <row r="11569">
          <cell r="K11569" t="str">
            <v>00111111P.2</v>
          </cell>
        </row>
        <row r="11570">
          <cell r="K11570" t="str">
            <v>00111121P.2</v>
          </cell>
        </row>
        <row r="11571">
          <cell r="K11571" t="str">
            <v>00111123P.2</v>
          </cell>
        </row>
        <row r="11572">
          <cell r="K11572" t="str">
            <v>00111110P.2</v>
          </cell>
        </row>
        <row r="11573">
          <cell r="K11573" t="str">
            <v>00111134P.2</v>
          </cell>
        </row>
        <row r="11574">
          <cell r="K11574" t="str">
            <v>00111124P.2</v>
          </cell>
        </row>
        <row r="11575">
          <cell r="K11575" t="str">
            <v>00111117P.2</v>
          </cell>
        </row>
        <row r="11576">
          <cell r="K11576" t="str">
            <v>00111123P.2</v>
          </cell>
        </row>
        <row r="11577">
          <cell r="K11577" t="str">
            <v>00111117P.2</v>
          </cell>
        </row>
        <row r="11578">
          <cell r="K11578" t="str">
            <v>00111135P.2</v>
          </cell>
        </row>
        <row r="11579">
          <cell r="K11579" t="str">
            <v>00111122P.2</v>
          </cell>
        </row>
        <row r="11580">
          <cell r="K11580" t="str">
            <v>00111127P.2</v>
          </cell>
        </row>
        <row r="11581">
          <cell r="K11581" t="str">
            <v>00111130P.2</v>
          </cell>
        </row>
        <row r="11582">
          <cell r="K11582" t="str">
            <v>00111128P.2</v>
          </cell>
        </row>
        <row r="11583">
          <cell r="K11583" t="str">
            <v>00111121P.2</v>
          </cell>
        </row>
        <row r="11584">
          <cell r="K11584" t="str">
            <v>00111117P.2</v>
          </cell>
        </row>
        <row r="11585">
          <cell r="K11585" t="str">
            <v>00111133P.2</v>
          </cell>
        </row>
        <row r="11586">
          <cell r="K11586" t="str">
            <v>00111122P.2</v>
          </cell>
        </row>
        <row r="11587">
          <cell r="K11587" t="str">
            <v>00111131P.2</v>
          </cell>
        </row>
        <row r="11588">
          <cell r="K11588" t="str">
            <v>00111128P.2</v>
          </cell>
        </row>
        <row r="11589">
          <cell r="K11589" t="str">
            <v>00111113P.2</v>
          </cell>
        </row>
        <row r="11590">
          <cell r="K11590" t="str">
            <v>00111128P.2</v>
          </cell>
        </row>
        <row r="11591">
          <cell r="K11591" t="str">
            <v>00111132P.2</v>
          </cell>
        </row>
        <row r="11592">
          <cell r="K11592" t="str">
            <v>00111133P.2</v>
          </cell>
        </row>
        <row r="11593">
          <cell r="K11593" t="str">
            <v>00111136P.2</v>
          </cell>
        </row>
        <row r="11594">
          <cell r="K11594" t="str">
            <v>00111135P.2</v>
          </cell>
        </row>
        <row r="11595">
          <cell r="K11595" t="str">
            <v>00111111P.2</v>
          </cell>
        </row>
        <row r="11596">
          <cell r="K11596" t="str">
            <v>00111121P.2</v>
          </cell>
        </row>
        <row r="11597">
          <cell r="K11597" t="str">
            <v>00111132P.2</v>
          </cell>
        </row>
        <row r="11598">
          <cell r="K11598" t="str">
            <v>00111134P.2</v>
          </cell>
        </row>
        <row r="11599">
          <cell r="K11599" t="str">
            <v>00111130P.2</v>
          </cell>
        </row>
        <row r="11600">
          <cell r="K11600" t="str">
            <v>00111115P.2</v>
          </cell>
        </row>
        <row r="11601">
          <cell r="K11601" t="str">
            <v>00111117P.2</v>
          </cell>
        </row>
        <row r="11602">
          <cell r="K11602" t="str">
            <v>00111133P.2</v>
          </cell>
        </row>
        <row r="11603">
          <cell r="K11603" t="str">
            <v>00111114P.2</v>
          </cell>
        </row>
        <row r="11604">
          <cell r="K11604" t="str">
            <v>00111134P.2</v>
          </cell>
        </row>
        <row r="11605">
          <cell r="K11605" t="str">
            <v>00111134P.2</v>
          </cell>
        </row>
        <row r="11606">
          <cell r="K11606" t="str">
            <v>00111135P.2</v>
          </cell>
        </row>
        <row r="11607">
          <cell r="K11607" t="str">
            <v>00111113P.2</v>
          </cell>
        </row>
        <row r="11608">
          <cell r="K11608" t="str">
            <v>00111130P.2</v>
          </cell>
        </row>
        <row r="11609">
          <cell r="K11609" t="str">
            <v>00111132P.2</v>
          </cell>
        </row>
        <row r="11610">
          <cell r="K11610" t="str">
            <v>00111128P.2</v>
          </cell>
        </row>
        <row r="11611">
          <cell r="K11611" t="str">
            <v>00111118P.2</v>
          </cell>
        </row>
        <row r="11612">
          <cell r="K11612" t="str">
            <v>00111135P.2</v>
          </cell>
        </row>
        <row r="11613">
          <cell r="K11613" t="str">
            <v>00111126P.2</v>
          </cell>
        </row>
        <row r="11614">
          <cell r="K11614" t="str">
            <v>00111130P.2</v>
          </cell>
        </row>
        <row r="11615">
          <cell r="K11615" t="str">
            <v>00111118P.2</v>
          </cell>
        </row>
        <row r="11616">
          <cell r="K11616" t="str">
            <v>00111133P.2</v>
          </cell>
        </row>
        <row r="11617">
          <cell r="K11617" t="str">
            <v>00111123P.2</v>
          </cell>
        </row>
        <row r="11618">
          <cell r="K11618" t="str">
            <v>00111113P.2</v>
          </cell>
        </row>
        <row r="11619">
          <cell r="K11619" t="str">
            <v>00111124P.2</v>
          </cell>
        </row>
        <row r="11620">
          <cell r="K11620" t="str">
            <v>00111128P.2</v>
          </cell>
        </row>
        <row r="11621">
          <cell r="K11621" t="str">
            <v>00111120P.2</v>
          </cell>
        </row>
        <row r="11622">
          <cell r="K11622" t="str">
            <v>00111131P.2</v>
          </cell>
        </row>
        <row r="11623">
          <cell r="K11623" t="str">
            <v>00111121P.2</v>
          </cell>
        </row>
        <row r="11624">
          <cell r="K11624" t="str">
            <v>00111127P.2</v>
          </cell>
        </row>
        <row r="11625">
          <cell r="K11625" t="str">
            <v>00111116P.2</v>
          </cell>
        </row>
        <row r="11626">
          <cell r="K11626" t="str">
            <v>00111133P.2</v>
          </cell>
        </row>
        <row r="11627">
          <cell r="K11627" t="str">
            <v>00111117P.2</v>
          </cell>
        </row>
        <row r="11628">
          <cell r="K11628" t="str">
            <v>00111116P.2</v>
          </cell>
        </row>
        <row r="11629">
          <cell r="K11629" t="str">
            <v>00111129P.2</v>
          </cell>
        </row>
        <row r="11630">
          <cell r="K11630" t="str">
            <v>00111118P.2</v>
          </cell>
        </row>
        <row r="11631">
          <cell r="K11631" t="str">
            <v>00111134P.2</v>
          </cell>
        </row>
        <row r="11632">
          <cell r="K11632" t="str">
            <v>00111128P.2</v>
          </cell>
        </row>
        <row r="11633">
          <cell r="K11633" t="str">
            <v>00111131P.2</v>
          </cell>
        </row>
        <row r="11634">
          <cell r="K11634" t="str">
            <v>00111113P.2</v>
          </cell>
        </row>
        <row r="11635">
          <cell r="K11635" t="str">
            <v>00111131P.2</v>
          </cell>
        </row>
        <row r="11636">
          <cell r="K11636" t="str">
            <v>00111135P.2</v>
          </cell>
        </row>
        <row r="11637">
          <cell r="K11637" t="str">
            <v>00111128P.2</v>
          </cell>
        </row>
        <row r="11638">
          <cell r="K11638" t="str">
            <v>00111128P.2</v>
          </cell>
        </row>
        <row r="11639">
          <cell r="K11639" t="str">
            <v>00111121P.2</v>
          </cell>
        </row>
        <row r="11640">
          <cell r="K11640" t="str">
            <v>00111120P.2</v>
          </cell>
        </row>
        <row r="11641">
          <cell r="K11641" t="str">
            <v>00111115P.2</v>
          </cell>
        </row>
        <row r="11642">
          <cell r="K11642" t="str">
            <v>00111118P.2</v>
          </cell>
        </row>
        <row r="11643">
          <cell r="K11643" t="str">
            <v>00111110P.2</v>
          </cell>
        </row>
        <row r="11644">
          <cell r="K11644" t="str">
            <v>00111132P.2</v>
          </cell>
        </row>
        <row r="11645">
          <cell r="K11645" t="str">
            <v>00111126P.2</v>
          </cell>
        </row>
        <row r="11646">
          <cell r="K11646" t="str">
            <v>00111136P.2</v>
          </cell>
        </row>
        <row r="11647">
          <cell r="K11647" t="str">
            <v>00111128P.2</v>
          </cell>
        </row>
        <row r="11648">
          <cell r="K11648" t="str">
            <v>00111114P.2</v>
          </cell>
        </row>
        <row r="11649">
          <cell r="K11649" t="str">
            <v>00111133P.2</v>
          </cell>
        </row>
        <row r="11650">
          <cell r="K11650" t="str">
            <v>00111134P.2</v>
          </cell>
        </row>
        <row r="11651">
          <cell r="K11651" t="str">
            <v>00111113P.2</v>
          </cell>
        </row>
        <row r="11652">
          <cell r="K11652" t="str">
            <v>00111122P.2</v>
          </cell>
        </row>
        <row r="11653">
          <cell r="K11653" t="str">
            <v>00111122P.2</v>
          </cell>
        </row>
        <row r="11654">
          <cell r="K11654" t="str">
            <v>00111127P.2</v>
          </cell>
        </row>
        <row r="11655">
          <cell r="K11655" t="str">
            <v>00111136P.2</v>
          </cell>
        </row>
        <row r="11656">
          <cell r="K11656" t="str">
            <v>00111129P.2</v>
          </cell>
        </row>
        <row r="11657">
          <cell r="K11657" t="str">
            <v>00111131P.2</v>
          </cell>
        </row>
        <row r="11658">
          <cell r="K11658" t="str">
            <v>00111122P.2</v>
          </cell>
        </row>
        <row r="11659">
          <cell r="K11659" t="str">
            <v>00111121P.2</v>
          </cell>
        </row>
        <row r="11660">
          <cell r="K11660" t="str">
            <v>00111114P.2</v>
          </cell>
        </row>
        <row r="11661">
          <cell r="K11661" t="str">
            <v>00111127P.2</v>
          </cell>
        </row>
        <row r="11662">
          <cell r="K11662" t="str">
            <v>00111120P.2</v>
          </cell>
        </row>
        <row r="11663">
          <cell r="K11663" t="str">
            <v>00111129P.2</v>
          </cell>
        </row>
        <row r="11664">
          <cell r="K11664" t="str">
            <v>00111116P.2</v>
          </cell>
        </row>
        <row r="11665">
          <cell r="K11665" t="str">
            <v>00111132P.2</v>
          </cell>
        </row>
        <row r="11666">
          <cell r="K11666" t="str">
            <v>00111122P.2</v>
          </cell>
        </row>
        <row r="11667">
          <cell r="K11667" t="str">
            <v>00111123P.2</v>
          </cell>
        </row>
        <row r="11668">
          <cell r="K11668" t="str">
            <v>00111113P.2</v>
          </cell>
        </row>
        <row r="11669">
          <cell r="K11669" t="str">
            <v>00111116P.2</v>
          </cell>
        </row>
        <row r="11670">
          <cell r="K11670" t="str">
            <v>00111123P.2</v>
          </cell>
        </row>
        <row r="11671">
          <cell r="K11671" t="str">
            <v>00111135P.2</v>
          </cell>
        </row>
        <row r="11672">
          <cell r="K11672" t="str">
            <v>00111113P.2</v>
          </cell>
        </row>
        <row r="11673">
          <cell r="K11673" t="str">
            <v>00111132P.2</v>
          </cell>
        </row>
        <row r="11674">
          <cell r="K11674" t="str">
            <v>00111114P.2</v>
          </cell>
        </row>
        <row r="11675">
          <cell r="K11675" t="str">
            <v>00111125P.2</v>
          </cell>
        </row>
        <row r="11676">
          <cell r="K11676" t="str">
            <v>00111117P.2</v>
          </cell>
        </row>
        <row r="11677">
          <cell r="K11677" t="str">
            <v>00111123P.2</v>
          </cell>
        </row>
        <row r="11678">
          <cell r="K11678" t="str">
            <v>00111116P.2</v>
          </cell>
        </row>
        <row r="11679">
          <cell r="K11679" t="str">
            <v>00111133P.2</v>
          </cell>
        </row>
        <row r="11680">
          <cell r="K11680" t="str">
            <v>00111126P.2</v>
          </cell>
        </row>
        <row r="11681">
          <cell r="K11681" t="str">
            <v>00111134P.2</v>
          </cell>
        </row>
        <row r="11682">
          <cell r="K11682" t="str">
            <v>00111120P.2</v>
          </cell>
        </row>
        <row r="11683">
          <cell r="K11683" t="str">
            <v>00111136P.2</v>
          </cell>
        </row>
        <row r="11684">
          <cell r="K11684" t="str">
            <v>00111125P.2</v>
          </cell>
        </row>
        <row r="11685">
          <cell r="K11685" t="str">
            <v>00111123P.2</v>
          </cell>
        </row>
        <row r="11686">
          <cell r="K11686" t="str">
            <v>00111131P.2</v>
          </cell>
        </row>
        <row r="11687">
          <cell r="K11687" t="str">
            <v>00111117P.2</v>
          </cell>
        </row>
        <row r="11688">
          <cell r="K11688" t="str">
            <v>00111113P.2</v>
          </cell>
        </row>
        <row r="11689">
          <cell r="K11689" t="str">
            <v>00111132P.2</v>
          </cell>
        </row>
        <row r="11690">
          <cell r="K11690" t="str">
            <v>00111113P.2</v>
          </cell>
        </row>
        <row r="11691">
          <cell r="K11691" t="str">
            <v>00111112P.2</v>
          </cell>
        </row>
        <row r="11692">
          <cell r="K11692" t="str">
            <v>00111114P.2</v>
          </cell>
        </row>
        <row r="11693">
          <cell r="K11693" t="str">
            <v>00111128P.2</v>
          </cell>
        </row>
        <row r="11694">
          <cell r="K11694" t="str">
            <v>00111129P.2</v>
          </cell>
        </row>
        <row r="11695">
          <cell r="K11695" t="str">
            <v>00111129P.2</v>
          </cell>
        </row>
        <row r="11696">
          <cell r="K11696" t="str">
            <v>00111128P.2</v>
          </cell>
        </row>
        <row r="11697">
          <cell r="K11697" t="str">
            <v>00111132P.2</v>
          </cell>
        </row>
        <row r="11698">
          <cell r="K11698" t="str">
            <v>00111113P.2</v>
          </cell>
        </row>
        <row r="11699">
          <cell r="K11699" t="str">
            <v>00111126P.2</v>
          </cell>
        </row>
        <row r="11700">
          <cell r="K11700" t="str">
            <v>00111110P.2</v>
          </cell>
        </row>
        <row r="11701">
          <cell r="K11701" t="str">
            <v>00111123P.2</v>
          </cell>
        </row>
        <row r="11702">
          <cell r="K11702" t="str">
            <v>00111113P.2</v>
          </cell>
        </row>
        <row r="11703">
          <cell r="K11703" t="str">
            <v>00111120P.2</v>
          </cell>
        </row>
        <row r="11704">
          <cell r="K11704" t="str">
            <v>00111118P.2</v>
          </cell>
        </row>
        <row r="11705">
          <cell r="K11705" t="str">
            <v>00111120P.2</v>
          </cell>
        </row>
        <row r="11706">
          <cell r="K11706" t="str">
            <v>00111123P.2</v>
          </cell>
        </row>
        <row r="11707">
          <cell r="K11707" t="str">
            <v>00111118P.2</v>
          </cell>
        </row>
        <row r="11708">
          <cell r="K11708" t="str">
            <v>00111123P.2</v>
          </cell>
        </row>
        <row r="11709">
          <cell r="K11709" t="str">
            <v>00111128P.2</v>
          </cell>
        </row>
        <row r="11710">
          <cell r="K11710" t="str">
            <v>00111123P.2</v>
          </cell>
        </row>
        <row r="11711">
          <cell r="K11711" t="str">
            <v>00111121P.2</v>
          </cell>
        </row>
        <row r="11712">
          <cell r="K11712" t="str">
            <v>00111113P.2</v>
          </cell>
        </row>
        <row r="11713">
          <cell r="K11713" t="str">
            <v>00111118P.2</v>
          </cell>
        </row>
        <row r="11714">
          <cell r="K11714" t="str">
            <v>00111113P.2</v>
          </cell>
        </row>
        <row r="11715">
          <cell r="K11715" t="str">
            <v>00111112P.2</v>
          </cell>
        </row>
        <row r="11716">
          <cell r="K11716" t="str">
            <v>00111111P.2</v>
          </cell>
        </row>
        <row r="11717">
          <cell r="K11717" t="str">
            <v>00111127P.2</v>
          </cell>
        </row>
        <row r="11718">
          <cell r="K11718" t="str">
            <v>00111125P.2</v>
          </cell>
        </row>
        <row r="11719">
          <cell r="K11719" t="str">
            <v>00111126P.2</v>
          </cell>
        </row>
        <row r="11720">
          <cell r="K11720" t="str">
            <v>00111113P.2</v>
          </cell>
        </row>
        <row r="11721">
          <cell r="K11721" t="str">
            <v>00111113P.2</v>
          </cell>
        </row>
        <row r="11722">
          <cell r="K11722" t="str">
            <v>00111135P.2</v>
          </cell>
        </row>
        <row r="11723">
          <cell r="K11723" t="str">
            <v>00111121P.2</v>
          </cell>
        </row>
        <row r="11724">
          <cell r="K11724" t="str">
            <v>00111122P.2</v>
          </cell>
        </row>
        <row r="11725">
          <cell r="K11725" t="str">
            <v>00111124P.2</v>
          </cell>
        </row>
        <row r="11726">
          <cell r="K11726" t="str">
            <v>00111128P.2</v>
          </cell>
        </row>
        <row r="11727">
          <cell r="K11727" t="str">
            <v>00111113P.2</v>
          </cell>
        </row>
        <row r="11728">
          <cell r="K11728" t="str">
            <v>00111121P.2</v>
          </cell>
        </row>
        <row r="11729">
          <cell r="K11729" t="str">
            <v>00111126P.2</v>
          </cell>
        </row>
        <row r="11730">
          <cell r="K11730" t="str">
            <v>00111114P.2</v>
          </cell>
        </row>
        <row r="11731">
          <cell r="K11731" t="str">
            <v>00111124P.2</v>
          </cell>
        </row>
        <row r="11732">
          <cell r="K11732" t="str">
            <v>00111129P.2</v>
          </cell>
        </row>
        <row r="11733">
          <cell r="K11733" t="str">
            <v>00111112P.2</v>
          </cell>
        </row>
        <row r="11734">
          <cell r="K11734" t="str">
            <v>00111130P.2</v>
          </cell>
        </row>
        <row r="11735">
          <cell r="K11735" t="str">
            <v>00111128P.2</v>
          </cell>
        </row>
        <row r="11736">
          <cell r="K11736" t="str">
            <v>00111111P.2</v>
          </cell>
        </row>
        <row r="11737">
          <cell r="K11737" t="str">
            <v>00111136P.2</v>
          </cell>
        </row>
        <row r="11738">
          <cell r="K11738" t="str">
            <v>00111114P.2</v>
          </cell>
        </row>
        <row r="11739">
          <cell r="K11739" t="str">
            <v>00111113P.2</v>
          </cell>
        </row>
        <row r="11740">
          <cell r="K11740" t="str">
            <v>00111129P.2</v>
          </cell>
        </row>
        <row r="11741">
          <cell r="K11741" t="str">
            <v>00111136P.2</v>
          </cell>
        </row>
        <row r="11742">
          <cell r="K11742" t="str">
            <v>00111135P.2</v>
          </cell>
        </row>
        <row r="11743">
          <cell r="K11743" t="str">
            <v>00111123P.2</v>
          </cell>
        </row>
        <row r="11744">
          <cell r="K11744" t="str">
            <v>00111129P.2</v>
          </cell>
        </row>
        <row r="11745">
          <cell r="K11745" t="str">
            <v>00111128P.2</v>
          </cell>
        </row>
        <row r="11746">
          <cell r="K11746" t="str">
            <v>00111113P.2</v>
          </cell>
        </row>
        <row r="11747">
          <cell r="K11747" t="str">
            <v>00111135P.2</v>
          </cell>
        </row>
        <row r="11748">
          <cell r="K11748" t="str">
            <v>00111126P.2</v>
          </cell>
        </row>
        <row r="11749">
          <cell r="K11749" t="str">
            <v>00111117P.2</v>
          </cell>
        </row>
        <row r="11750">
          <cell r="K11750" t="str">
            <v>00111127P.2</v>
          </cell>
        </row>
        <row r="11751">
          <cell r="K11751" t="str">
            <v>00111128P.2</v>
          </cell>
        </row>
        <row r="11752">
          <cell r="K11752" t="str">
            <v>00111133P.2</v>
          </cell>
        </row>
        <row r="11753">
          <cell r="K11753" t="str">
            <v>00111115P.2</v>
          </cell>
        </row>
        <row r="11754">
          <cell r="K11754" t="str">
            <v>00111113P.2</v>
          </cell>
        </row>
        <row r="11755">
          <cell r="K11755" t="str">
            <v>00111135P.2</v>
          </cell>
        </row>
        <row r="11756">
          <cell r="K11756" t="str">
            <v>00111128P.2</v>
          </cell>
        </row>
        <row r="11757">
          <cell r="K11757" t="str">
            <v>00111133P.2</v>
          </cell>
        </row>
        <row r="11758">
          <cell r="K11758" t="str">
            <v>00111125P.2</v>
          </cell>
        </row>
        <row r="11759">
          <cell r="K11759" t="str">
            <v>00111113P.2</v>
          </cell>
        </row>
        <row r="11760">
          <cell r="K11760" t="str">
            <v>00111134P.2</v>
          </cell>
        </row>
        <row r="11761">
          <cell r="K11761" t="str">
            <v>00111128P.2</v>
          </cell>
        </row>
        <row r="11762">
          <cell r="K11762" t="str">
            <v>00111116P.2</v>
          </cell>
        </row>
        <row r="11763">
          <cell r="K11763" t="str">
            <v>00111113P.2</v>
          </cell>
        </row>
        <row r="11764">
          <cell r="K11764" t="str">
            <v>00111114P.2</v>
          </cell>
        </row>
        <row r="11765">
          <cell r="K11765" t="str">
            <v>00111112P.2</v>
          </cell>
        </row>
        <row r="11766">
          <cell r="K11766" t="str">
            <v>00111112P.2</v>
          </cell>
        </row>
        <row r="11767">
          <cell r="K11767" t="str">
            <v>00111132P.2</v>
          </cell>
        </row>
        <row r="11768">
          <cell r="K11768" t="str">
            <v>00111130P.2</v>
          </cell>
        </row>
        <row r="11769">
          <cell r="K11769" t="str">
            <v>00111110P.2</v>
          </cell>
        </row>
        <row r="11770">
          <cell r="K11770" t="str">
            <v>00111127P.2</v>
          </cell>
        </row>
        <row r="11771">
          <cell r="K11771" t="str">
            <v>00111134P.2</v>
          </cell>
        </row>
        <row r="11772">
          <cell r="K11772" t="str">
            <v>00111134P.2</v>
          </cell>
        </row>
        <row r="11773">
          <cell r="K11773" t="str">
            <v>00111134P.2</v>
          </cell>
        </row>
        <row r="11774">
          <cell r="K11774" t="str">
            <v>00111120P.2</v>
          </cell>
        </row>
        <row r="11775">
          <cell r="K11775" t="str">
            <v>00111133P.2</v>
          </cell>
        </row>
        <row r="11776">
          <cell r="K11776" t="str">
            <v>00111112P.2</v>
          </cell>
        </row>
        <row r="11777">
          <cell r="K11777" t="str">
            <v>00111130P.2</v>
          </cell>
        </row>
        <row r="11778">
          <cell r="K11778" t="str">
            <v>00111112P.2</v>
          </cell>
        </row>
        <row r="11779">
          <cell r="K11779" t="str">
            <v>00111125P.2</v>
          </cell>
        </row>
        <row r="11780">
          <cell r="K11780" t="str">
            <v>00111122P.2</v>
          </cell>
        </row>
        <row r="11781">
          <cell r="K11781" t="str">
            <v>00111122P.2</v>
          </cell>
        </row>
        <row r="11782">
          <cell r="K11782" t="str">
            <v>00111115P.2</v>
          </cell>
        </row>
        <row r="11783">
          <cell r="K11783" t="str">
            <v>00111129P.2</v>
          </cell>
        </row>
        <row r="11784">
          <cell r="K11784" t="str">
            <v>00111118P.2</v>
          </cell>
        </row>
        <row r="11785">
          <cell r="K11785" t="str">
            <v>00111129P.2</v>
          </cell>
        </row>
        <row r="11786">
          <cell r="K11786" t="str">
            <v>00111126P.2</v>
          </cell>
        </row>
        <row r="11787">
          <cell r="K11787" t="str">
            <v>00111129P.2</v>
          </cell>
        </row>
        <row r="11788">
          <cell r="K11788" t="str">
            <v>00111130P.2</v>
          </cell>
        </row>
        <row r="11789">
          <cell r="K11789" t="str">
            <v>00111134P.2</v>
          </cell>
        </row>
        <row r="11790">
          <cell r="K11790" t="str">
            <v>00111128P.2</v>
          </cell>
        </row>
        <row r="11791">
          <cell r="K11791" t="str">
            <v>00111126P.2</v>
          </cell>
        </row>
        <row r="11792">
          <cell r="K11792" t="str">
            <v>00111117P.2</v>
          </cell>
        </row>
        <row r="11793">
          <cell r="K11793" t="str">
            <v>00111131P.2</v>
          </cell>
        </row>
        <row r="11794">
          <cell r="K11794" t="str">
            <v>00111135P.2</v>
          </cell>
        </row>
        <row r="11795">
          <cell r="K11795" t="str">
            <v>00111133P.2</v>
          </cell>
        </row>
        <row r="11796">
          <cell r="K11796" t="str">
            <v>00111126P.2</v>
          </cell>
        </row>
        <row r="11797">
          <cell r="K11797" t="str">
            <v>00111113P.2</v>
          </cell>
        </row>
        <row r="11798">
          <cell r="K11798" t="str">
            <v>00111114P.2</v>
          </cell>
        </row>
        <row r="11799">
          <cell r="K11799" t="str">
            <v>00111133P.2</v>
          </cell>
        </row>
        <row r="11800">
          <cell r="K11800" t="str">
            <v>00111126P.2</v>
          </cell>
        </row>
        <row r="11801">
          <cell r="K11801" t="str">
            <v>00111129P.2</v>
          </cell>
        </row>
        <row r="11802">
          <cell r="K11802" t="str">
            <v>00111128P.2</v>
          </cell>
        </row>
        <row r="11803">
          <cell r="K11803" t="str">
            <v>00111136P.2</v>
          </cell>
        </row>
        <row r="11804">
          <cell r="K11804" t="str">
            <v>00111136P.2</v>
          </cell>
        </row>
        <row r="11805">
          <cell r="K11805" t="str">
            <v>00111132P.2</v>
          </cell>
        </row>
        <row r="11806">
          <cell r="K11806" t="str">
            <v>00111134P.2</v>
          </cell>
        </row>
        <row r="11807">
          <cell r="K11807" t="str">
            <v>00111136P.2</v>
          </cell>
        </row>
        <row r="11808">
          <cell r="K11808" t="str">
            <v>00111120P.2</v>
          </cell>
        </row>
        <row r="11809">
          <cell r="K11809" t="str">
            <v>00111116P.2</v>
          </cell>
        </row>
        <row r="11810">
          <cell r="K11810" t="str">
            <v>00111113P.2</v>
          </cell>
        </row>
        <row r="11811">
          <cell r="K11811" t="str">
            <v>00111132P.2</v>
          </cell>
        </row>
        <row r="11812">
          <cell r="K11812" t="str">
            <v>00111112P.2</v>
          </cell>
        </row>
        <row r="11813">
          <cell r="K11813" t="str">
            <v>00111131P.2</v>
          </cell>
        </row>
        <row r="11814">
          <cell r="K11814" t="str">
            <v>00111129P.2</v>
          </cell>
        </row>
        <row r="11815">
          <cell r="K11815" t="str">
            <v>00111132P.2</v>
          </cell>
        </row>
        <row r="11816">
          <cell r="K11816" t="str">
            <v>00111116P.2</v>
          </cell>
        </row>
        <row r="11817">
          <cell r="K11817" t="str">
            <v>00111128P.2</v>
          </cell>
        </row>
        <row r="11818">
          <cell r="K11818" t="str">
            <v>00111110P.2</v>
          </cell>
        </row>
        <row r="11819">
          <cell r="K11819" t="str">
            <v>00111117P.2</v>
          </cell>
        </row>
        <row r="11820">
          <cell r="K11820" t="str">
            <v>00111112P.2</v>
          </cell>
        </row>
        <row r="11821">
          <cell r="K11821" t="str">
            <v>00111110P.2</v>
          </cell>
        </row>
        <row r="11822">
          <cell r="K11822" t="str">
            <v>00111126P.2</v>
          </cell>
        </row>
        <row r="11823">
          <cell r="K11823" t="str">
            <v>00111113P.2</v>
          </cell>
        </row>
        <row r="11824">
          <cell r="K11824" t="str">
            <v>00111131P.2</v>
          </cell>
        </row>
        <row r="11825">
          <cell r="K11825" t="str">
            <v>00111130P.2</v>
          </cell>
        </row>
        <row r="11826">
          <cell r="K11826" t="str">
            <v>00111131P.2</v>
          </cell>
        </row>
        <row r="11827">
          <cell r="K11827" t="str">
            <v>00111132P.2</v>
          </cell>
        </row>
        <row r="11828">
          <cell r="K11828" t="str">
            <v>00111128P.2</v>
          </cell>
        </row>
        <row r="11829">
          <cell r="K11829" t="str">
            <v>00111128P.2</v>
          </cell>
        </row>
        <row r="11830">
          <cell r="K11830" t="str">
            <v>00111117P.2</v>
          </cell>
        </row>
        <row r="11831">
          <cell r="K11831" t="str">
            <v>00111128P.2</v>
          </cell>
        </row>
        <row r="11832">
          <cell r="K11832" t="str">
            <v>00111110P.2</v>
          </cell>
        </row>
        <row r="11833">
          <cell r="K11833" t="str">
            <v>00111128P.2</v>
          </cell>
        </row>
        <row r="11834">
          <cell r="K11834" t="str">
            <v>00111128P.2</v>
          </cell>
        </row>
        <row r="11835">
          <cell r="K11835" t="str">
            <v>00111113P.2</v>
          </cell>
        </row>
        <row r="11836">
          <cell r="K11836" t="str">
            <v>00111131P.2</v>
          </cell>
        </row>
        <row r="11837">
          <cell r="K11837" t="str">
            <v>00111121P.2</v>
          </cell>
        </row>
        <row r="11838">
          <cell r="K11838" t="str">
            <v>00111123P.2</v>
          </cell>
        </row>
        <row r="11839">
          <cell r="K11839" t="str">
            <v>00111128P.2</v>
          </cell>
        </row>
        <row r="11840">
          <cell r="K11840" t="str">
            <v>00111132P.2</v>
          </cell>
        </row>
        <row r="11841">
          <cell r="K11841" t="str">
            <v>00111135P.2</v>
          </cell>
        </row>
        <row r="11842">
          <cell r="K11842" t="str">
            <v>00111124P.2</v>
          </cell>
        </row>
        <row r="11843">
          <cell r="K11843" t="str">
            <v>00111129P.2</v>
          </cell>
        </row>
        <row r="11844">
          <cell r="K11844" t="str">
            <v>00111120P.2</v>
          </cell>
        </row>
        <row r="11845">
          <cell r="K11845" t="str">
            <v>00111117P.2</v>
          </cell>
        </row>
        <row r="11846">
          <cell r="K11846" t="str">
            <v>00111124P.2</v>
          </cell>
        </row>
        <row r="11847">
          <cell r="K11847" t="str">
            <v>00111130P.2</v>
          </cell>
        </row>
        <row r="11848">
          <cell r="K11848" t="str">
            <v>00111120P.2</v>
          </cell>
        </row>
        <row r="11849">
          <cell r="K11849" t="str">
            <v>00111111P.2</v>
          </cell>
        </row>
        <row r="11850">
          <cell r="K11850" t="str">
            <v>00111113P.2</v>
          </cell>
        </row>
        <row r="11851">
          <cell r="K11851" t="str">
            <v>00111122P.2</v>
          </cell>
        </row>
        <row r="11852">
          <cell r="K11852" t="str">
            <v>00111112P.2</v>
          </cell>
        </row>
        <row r="11853">
          <cell r="K11853" t="str">
            <v>00111119P.2</v>
          </cell>
        </row>
        <row r="11854">
          <cell r="K11854" t="str">
            <v>00111132P.2</v>
          </cell>
        </row>
        <row r="11855">
          <cell r="K11855" t="str">
            <v>00111134P.2</v>
          </cell>
        </row>
        <row r="11856">
          <cell r="K11856" t="str">
            <v>00111110P.2</v>
          </cell>
        </row>
        <row r="11857">
          <cell r="K11857" t="str">
            <v>00111110P.2</v>
          </cell>
        </row>
        <row r="11858">
          <cell r="K11858" t="str">
            <v>00111120P.2</v>
          </cell>
        </row>
        <row r="11859">
          <cell r="K11859" t="str">
            <v>00111129P.2</v>
          </cell>
        </row>
        <row r="11860">
          <cell r="K11860" t="str">
            <v>00111129P.2</v>
          </cell>
        </row>
        <row r="11861">
          <cell r="K11861" t="str">
            <v>00111120P.2</v>
          </cell>
        </row>
        <row r="11862">
          <cell r="K11862" t="str">
            <v>00111134P.2</v>
          </cell>
        </row>
        <row r="11863">
          <cell r="K11863" t="str">
            <v>00111123P.2</v>
          </cell>
        </row>
        <row r="11864">
          <cell r="K11864" t="str">
            <v>00111110P.2</v>
          </cell>
        </row>
        <row r="11865">
          <cell r="K11865" t="str">
            <v>00111133P.2</v>
          </cell>
        </row>
        <row r="11866">
          <cell r="K11866" t="str">
            <v>00111128P.2</v>
          </cell>
        </row>
        <row r="11867">
          <cell r="K11867" t="str">
            <v>00111123P.2</v>
          </cell>
        </row>
        <row r="11868">
          <cell r="K11868" t="str">
            <v>00111125P.2</v>
          </cell>
        </row>
        <row r="11869">
          <cell r="K11869" t="str">
            <v>00111128P.2</v>
          </cell>
        </row>
        <row r="11870">
          <cell r="K11870" t="str">
            <v>00111130P.2</v>
          </cell>
        </row>
        <row r="11871">
          <cell r="K11871" t="str">
            <v>00111129P.2</v>
          </cell>
        </row>
        <row r="11872">
          <cell r="K11872" t="str">
            <v>00111130P.2</v>
          </cell>
        </row>
        <row r="11873">
          <cell r="K11873" t="str">
            <v>00111114P.2</v>
          </cell>
        </row>
        <row r="11874">
          <cell r="K11874" t="str">
            <v>00111127P.2</v>
          </cell>
        </row>
        <row r="11875">
          <cell r="K11875" t="str">
            <v>00111128P.2</v>
          </cell>
        </row>
        <row r="11876">
          <cell r="K11876" t="str">
            <v>00111134P.2</v>
          </cell>
        </row>
        <row r="11877">
          <cell r="K11877" t="str">
            <v>00111130P.2</v>
          </cell>
        </row>
        <row r="11878">
          <cell r="K11878" t="str">
            <v>00111122P.2</v>
          </cell>
        </row>
        <row r="11879">
          <cell r="K11879" t="str">
            <v>00111125P.2</v>
          </cell>
        </row>
        <row r="11880">
          <cell r="K11880" t="str">
            <v>00111132P.2</v>
          </cell>
        </row>
        <row r="11881">
          <cell r="K11881" t="str">
            <v>00111134P.2</v>
          </cell>
        </row>
        <row r="11882">
          <cell r="K11882" t="str">
            <v>00111128P.2</v>
          </cell>
        </row>
        <row r="11883">
          <cell r="K11883" t="str">
            <v>00111134P.2</v>
          </cell>
        </row>
        <row r="11884">
          <cell r="K11884" t="str">
            <v>00111128P.2</v>
          </cell>
        </row>
        <row r="11885">
          <cell r="K11885" t="str">
            <v>00111132P.2</v>
          </cell>
        </row>
        <row r="11886">
          <cell r="K11886" t="str">
            <v>00111127P.2</v>
          </cell>
        </row>
        <row r="11887">
          <cell r="K11887" t="str">
            <v>00111116P.2</v>
          </cell>
        </row>
        <row r="11888">
          <cell r="K11888" t="str">
            <v>00111128P.2</v>
          </cell>
        </row>
        <row r="11889">
          <cell r="K11889" t="str">
            <v>00111133P.2</v>
          </cell>
        </row>
        <row r="11890">
          <cell r="K11890" t="str">
            <v>00111134P.2</v>
          </cell>
        </row>
        <row r="11891">
          <cell r="K11891" t="str">
            <v>00111118P.2</v>
          </cell>
        </row>
        <row r="11892">
          <cell r="K11892" t="str">
            <v>00111113P.2</v>
          </cell>
        </row>
        <row r="11893">
          <cell r="K11893" t="str">
            <v>00111130P.2</v>
          </cell>
        </row>
        <row r="11894">
          <cell r="K11894" t="str">
            <v>00111130P.2</v>
          </cell>
        </row>
        <row r="11895">
          <cell r="K11895" t="str">
            <v>00111118P.2</v>
          </cell>
        </row>
        <row r="11896">
          <cell r="K11896" t="str">
            <v>00111131P.2</v>
          </cell>
        </row>
        <row r="11897">
          <cell r="K11897" t="str">
            <v>00111128P.2</v>
          </cell>
        </row>
        <row r="11898">
          <cell r="K11898" t="str">
            <v>00111128P.2</v>
          </cell>
        </row>
        <row r="11899">
          <cell r="K11899" t="str">
            <v>00111133P.2</v>
          </cell>
        </row>
        <row r="11900">
          <cell r="K11900" t="str">
            <v>00111131P.2</v>
          </cell>
        </row>
        <row r="11901">
          <cell r="K11901" t="str">
            <v>00111113P.2</v>
          </cell>
        </row>
        <row r="11902">
          <cell r="K11902" t="str">
            <v>00111114P.2</v>
          </cell>
        </row>
        <row r="11903">
          <cell r="K11903" t="str">
            <v>00111133P.2</v>
          </cell>
        </row>
        <row r="11904">
          <cell r="K11904" t="str">
            <v>00111151P.2</v>
          </cell>
        </row>
        <row r="11905">
          <cell r="K11905" t="str">
            <v>00111151P.2</v>
          </cell>
        </row>
        <row r="11906">
          <cell r="K11906" t="str">
            <v>00111151P.2</v>
          </cell>
        </row>
        <row r="11907">
          <cell r="K11907" t="str">
            <v>00111151P.2</v>
          </cell>
        </row>
        <row r="11908">
          <cell r="K11908" t="str">
            <v>00111151P.2</v>
          </cell>
        </row>
        <row r="11909">
          <cell r="K11909" t="str">
            <v>00111151P.2</v>
          </cell>
        </row>
        <row r="11910">
          <cell r="K11910" t="str">
            <v>00111151P.2</v>
          </cell>
        </row>
        <row r="11911">
          <cell r="K11911" t="str">
            <v>00111151P.2</v>
          </cell>
        </row>
        <row r="11912">
          <cell r="K11912" t="str">
            <v>00111151P.2</v>
          </cell>
        </row>
        <row r="11913">
          <cell r="K11913" t="str">
            <v>00111151P.2</v>
          </cell>
        </row>
        <row r="11914">
          <cell r="K11914" t="str">
            <v>00111151P.2</v>
          </cell>
        </row>
        <row r="11915">
          <cell r="K11915" t="str">
            <v>00111151P.2</v>
          </cell>
        </row>
        <row r="11916">
          <cell r="K11916" t="str">
            <v>00111151P.2</v>
          </cell>
        </row>
        <row r="11917">
          <cell r="K11917" t="str">
            <v>00111151P.2</v>
          </cell>
        </row>
        <row r="11918">
          <cell r="K11918" t="str">
            <v>00111151P.2</v>
          </cell>
        </row>
        <row r="11919">
          <cell r="K11919" t="str">
            <v>00111151P.2</v>
          </cell>
        </row>
        <row r="11920">
          <cell r="K11920" t="str">
            <v>00111151P.2</v>
          </cell>
        </row>
        <row r="11921">
          <cell r="K11921" t="str">
            <v>00111151P.2</v>
          </cell>
        </row>
        <row r="11922">
          <cell r="K11922" t="str">
            <v>00111151P.2</v>
          </cell>
        </row>
        <row r="11923">
          <cell r="K11923" t="str">
            <v>00111151P.2</v>
          </cell>
        </row>
        <row r="11924">
          <cell r="K11924" t="str">
            <v>00111151P.2</v>
          </cell>
        </row>
        <row r="11925">
          <cell r="K11925" t="str">
            <v>00111151P.2</v>
          </cell>
        </row>
        <row r="11926">
          <cell r="K11926" t="str">
            <v>00111151P.2</v>
          </cell>
        </row>
        <row r="11927">
          <cell r="K11927" t="str">
            <v>00111151P.2</v>
          </cell>
        </row>
        <row r="11928">
          <cell r="K11928" t="str">
            <v>00111151P.2</v>
          </cell>
        </row>
        <row r="11929">
          <cell r="K11929" t="str">
            <v>00111151P.2</v>
          </cell>
        </row>
        <row r="11930">
          <cell r="K11930" t="str">
            <v>00111151P.2</v>
          </cell>
        </row>
        <row r="11931">
          <cell r="K11931" t="str">
            <v>00111151P.2</v>
          </cell>
        </row>
        <row r="11932">
          <cell r="K11932" t="str">
            <v>00111151P.2</v>
          </cell>
        </row>
        <row r="11933">
          <cell r="K11933" t="str">
            <v>00111151P.2</v>
          </cell>
        </row>
        <row r="11934">
          <cell r="K11934" t="str">
            <v>00111151P.2</v>
          </cell>
        </row>
        <row r="11935">
          <cell r="K11935" t="str">
            <v>00111151P.2</v>
          </cell>
        </row>
        <row r="11936">
          <cell r="K11936" t="str">
            <v>00111151P.2</v>
          </cell>
        </row>
        <row r="11937">
          <cell r="K11937" t="str">
            <v>00111151P.2</v>
          </cell>
        </row>
        <row r="11938">
          <cell r="K11938" t="str">
            <v>00111151P.2</v>
          </cell>
        </row>
        <row r="11939">
          <cell r="K11939" t="str">
            <v>00111151P.2</v>
          </cell>
        </row>
        <row r="11940">
          <cell r="K11940" t="str">
            <v>00111151P.2</v>
          </cell>
        </row>
        <row r="11941">
          <cell r="K11941" t="str">
            <v>00111151P.2</v>
          </cell>
        </row>
        <row r="11942">
          <cell r="K11942" t="str">
            <v>00111151P.2</v>
          </cell>
        </row>
        <row r="11943">
          <cell r="K11943" t="str">
            <v>00111108P.2</v>
          </cell>
        </row>
        <row r="11944">
          <cell r="K11944" t="str">
            <v>00111108P.2</v>
          </cell>
        </row>
        <row r="11945">
          <cell r="K11945" t="str">
            <v>00111108P.2</v>
          </cell>
        </row>
        <row r="11946">
          <cell r="K11946" t="str">
            <v>00111108P.2</v>
          </cell>
        </row>
        <row r="11947">
          <cell r="K11947" t="str">
            <v>00111108P.2</v>
          </cell>
        </row>
        <row r="11948">
          <cell r="K11948" t="str">
            <v>00111108P.2</v>
          </cell>
        </row>
        <row r="11949">
          <cell r="K11949" t="str">
            <v>00111108P.2</v>
          </cell>
        </row>
        <row r="11950">
          <cell r="K11950" t="str">
            <v>00111108P.2</v>
          </cell>
        </row>
        <row r="11951">
          <cell r="K11951" t="str">
            <v>00111108P.2</v>
          </cell>
        </row>
        <row r="11952">
          <cell r="K11952" t="str">
            <v>00111108P.2</v>
          </cell>
        </row>
        <row r="11953">
          <cell r="K11953" t="str">
            <v>00111108P.2</v>
          </cell>
        </row>
        <row r="11954">
          <cell r="K11954" t="str">
            <v>00111108P.2</v>
          </cell>
        </row>
        <row r="11955">
          <cell r="K11955" t="str">
            <v>00111108P.2</v>
          </cell>
        </row>
        <row r="11956">
          <cell r="K11956" t="str">
            <v>00111108P.2</v>
          </cell>
        </row>
        <row r="11957">
          <cell r="K11957" t="str">
            <v>00111108P.2</v>
          </cell>
        </row>
        <row r="11958">
          <cell r="K11958" t="str">
            <v>00021108P.2</v>
          </cell>
        </row>
        <row r="11959">
          <cell r="K11959" t="str">
            <v>00021108P.2</v>
          </cell>
        </row>
        <row r="11960">
          <cell r="K11960" t="str">
            <v>00111108P.2</v>
          </cell>
        </row>
        <row r="11961">
          <cell r="K11961" t="str">
            <v>00111108P.2</v>
          </cell>
        </row>
        <row r="11962">
          <cell r="K11962" t="str">
            <v>00111130P.2</v>
          </cell>
        </row>
        <row r="11963">
          <cell r="K11963" t="str">
            <v>00111130P.2</v>
          </cell>
        </row>
        <row r="11964">
          <cell r="K11964" t="str">
            <v>00111130P.2</v>
          </cell>
        </row>
        <row r="11965">
          <cell r="K11965" t="str">
            <v>00111130P.2</v>
          </cell>
        </row>
        <row r="11966">
          <cell r="K11966" t="str">
            <v>00111130P.2</v>
          </cell>
        </row>
        <row r="11967">
          <cell r="K11967" t="str">
            <v>00111130P.2</v>
          </cell>
        </row>
        <row r="11968">
          <cell r="K11968" t="str">
            <v>00111130P.2</v>
          </cell>
        </row>
        <row r="11969">
          <cell r="K11969" t="str">
            <v>00111130P.2</v>
          </cell>
        </row>
        <row r="11970">
          <cell r="K11970" t="str">
            <v>00111110P.2</v>
          </cell>
        </row>
        <row r="11971">
          <cell r="K11971" t="str">
            <v>00111110P.2</v>
          </cell>
        </row>
        <row r="11972">
          <cell r="K11972" t="str">
            <v>00111110P.2</v>
          </cell>
        </row>
        <row r="11973">
          <cell r="K11973" t="str">
            <v>00111110P.2</v>
          </cell>
        </row>
        <row r="11974">
          <cell r="K11974" t="str">
            <v>00111110P.2</v>
          </cell>
        </row>
        <row r="11975">
          <cell r="K11975" t="str">
            <v>00111110P.2</v>
          </cell>
        </row>
        <row r="11976">
          <cell r="K11976" t="str">
            <v>00111110P.2</v>
          </cell>
        </row>
        <row r="11977">
          <cell r="K11977" t="str">
            <v>00111110P.2</v>
          </cell>
        </row>
        <row r="11978">
          <cell r="K11978" t="str">
            <v>00111110P.2</v>
          </cell>
        </row>
        <row r="11979">
          <cell r="K11979" t="str">
            <v>00111112P.2</v>
          </cell>
        </row>
        <row r="11980">
          <cell r="K11980" t="str">
            <v>00111112P.2</v>
          </cell>
        </row>
        <row r="11981">
          <cell r="K11981" t="str">
            <v>00111112P.2</v>
          </cell>
        </row>
        <row r="11982">
          <cell r="K11982" t="str">
            <v>00111112P.2</v>
          </cell>
        </row>
        <row r="11983">
          <cell r="K11983" t="str">
            <v>00111112P.2</v>
          </cell>
        </row>
        <row r="11984">
          <cell r="K11984" t="str">
            <v>00111112P.2</v>
          </cell>
        </row>
        <row r="11985">
          <cell r="K11985" t="str">
            <v>00111112P.2</v>
          </cell>
        </row>
        <row r="11986">
          <cell r="K11986" t="str">
            <v>00111112P.2</v>
          </cell>
        </row>
        <row r="11987">
          <cell r="K11987" t="str">
            <v>00111112P.2</v>
          </cell>
        </row>
        <row r="11988">
          <cell r="K11988" t="str">
            <v>00111113P.2</v>
          </cell>
        </row>
        <row r="11989">
          <cell r="K11989" t="str">
            <v>00111113P.2</v>
          </cell>
        </row>
        <row r="11990">
          <cell r="K11990" t="str">
            <v>00111113P.2</v>
          </cell>
        </row>
        <row r="11991">
          <cell r="K11991" t="str">
            <v>00111113P.2</v>
          </cell>
        </row>
        <row r="11992">
          <cell r="K11992" t="str">
            <v>00111113P.2</v>
          </cell>
        </row>
        <row r="11993">
          <cell r="K11993" t="str">
            <v>00111113P.2</v>
          </cell>
        </row>
        <row r="11994">
          <cell r="K11994" t="str">
            <v>00111113P.2</v>
          </cell>
        </row>
        <row r="11995">
          <cell r="K11995" t="str">
            <v>00111113P.2</v>
          </cell>
        </row>
        <row r="11996">
          <cell r="K11996" t="str">
            <v>00111113P.2</v>
          </cell>
        </row>
        <row r="11997">
          <cell r="K11997" t="str">
            <v>00111113P.2</v>
          </cell>
        </row>
        <row r="11998">
          <cell r="K11998" t="str">
            <v>00111114P.2</v>
          </cell>
        </row>
        <row r="11999">
          <cell r="K11999" t="str">
            <v>00111114P.2</v>
          </cell>
        </row>
        <row r="12000">
          <cell r="K12000" t="str">
            <v>00111114P.2</v>
          </cell>
        </row>
        <row r="12001">
          <cell r="K12001" t="str">
            <v>00111114P.2</v>
          </cell>
        </row>
        <row r="12002">
          <cell r="K12002" t="str">
            <v>00111114P.2</v>
          </cell>
        </row>
        <row r="12003">
          <cell r="K12003" t="str">
            <v>00111114P.2</v>
          </cell>
        </row>
        <row r="12004">
          <cell r="K12004" t="str">
            <v>00111114P.2</v>
          </cell>
        </row>
        <row r="12005">
          <cell r="K12005" t="str">
            <v>00111114P.2</v>
          </cell>
        </row>
        <row r="12006">
          <cell r="K12006" t="str">
            <v>00111114P.2</v>
          </cell>
        </row>
        <row r="12007">
          <cell r="K12007" t="str">
            <v>00111114P.2</v>
          </cell>
        </row>
        <row r="12008">
          <cell r="K12008" t="str">
            <v>00111114P.2</v>
          </cell>
        </row>
        <row r="12009">
          <cell r="K12009" t="str">
            <v>00111122P.2</v>
          </cell>
        </row>
        <row r="12010">
          <cell r="K12010" t="str">
            <v>00111122P.2</v>
          </cell>
        </row>
        <row r="12011">
          <cell r="K12011" t="str">
            <v>00111122P.2</v>
          </cell>
        </row>
        <row r="12012">
          <cell r="K12012" t="str">
            <v>00111122P.2</v>
          </cell>
        </row>
        <row r="12013">
          <cell r="K12013" t="str">
            <v>00111122P.2</v>
          </cell>
        </row>
        <row r="12014">
          <cell r="K12014" t="str">
            <v>00111122P.2</v>
          </cell>
        </row>
        <row r="12015">
          <cell r="K12015" t="str">
            <v>00111122P.2</v>
          </cell>
        </row>
        <row r="12016">
          <cell r="K12016" t="str">
            <v>00111122P.2</v>
          </cell>
        </row>
        <row r="12017">
          <cell r="K12017" t="str">
            <v>00111122P.2</v>
          </cell>
        </row>
        <row r="12018">
          <cell r="K12018" t="str">
            <v>00111126P.2</v>
          </cell>
        </row>
        <row r="12019">
          <cell r="K12019" t="str">
            <v>00111111P.2</v>
          </cell>
        </row>
        <row r="12020">
          <cell r="K12020" t="str">
            <v>00111111P.2</v>
          </cell>
        </row>
        <row r="12021">
          <cell r="K12021" t="str">
            <v>00111111P.2</v>
          </cell>
        </row>
        <row r="12022">
          <cell r="K12022" t="str">
            <v>00111111P.2</v>
          </cell>
        </row>
        <row r="12023">
          <cell r="K12023" t="str">
            <v>00111111P.2</v>
          </cell>
        </row>
        <row r="12024">
          <cell r="K12024" t="str">
            <v>00111111P.2</v>
          </cell>
        </row>
        <row r="12025">
          <cell r="K12025" t="str">
            <v>00111111P.2</v>
          </cell>
        </row>
        <row r="12026">
          <cell r="K12026" t="str">
            <v>00111111P.2</v>
          </cell>
        </row>
        <row r="12027">
          <cell r="K12027" t="str">
            <v>00111111P.2</v>
          </cell>
        </row>
        <row r="12028">
          <cell r="K12028" t="str">
            <v>00111111P.2</v>
          </cell>
        </row>
        <row r="12029">
          <cell r="K12029" t="str">
            <v>00111115P.2</v>
          </cell>
        </row>
        <row r="12030">
          <cell r="K12030" t="str">
            <v>00111115P.2</v>
          </cell>
        </row>
        <row r="12031">
          <cell r="K12031" t="str">
            <v>00111115P.2</v>
          </cell>
        </row>
        <row r="12032">
          <cell r="K12032" t="str">
            <v>00111115P.2</v>
          </cell>
        </row>
        <row r="12033">
          <cell r="K12033" t="str">
            <v>00111115P.2</v>
          </cell>
        </row>
        <row r="12034">
          <cell r="K12034" t="str">
            <v>00111115P.2</v>
          </cell>
        </row>
        <row r="12035">
          <cell r="K12035" t="str">
            <v>00111116P.2</v>
          </cell>
        </row>
        <row r="12036">
          <cell r="K12036" t="str">
            <v>00111116P.2</v>
          </cell>
        </row>
        <row r="12037">
          <cell r="K12037" t="str">
            <v>00111116P.2</v>
          </cell>
        </row>
        <row r="12038">
          <cell r="K12038" t="str">
            <v>00111116P.2</v>
          </cell>
        </row>
        <row r="12039">
          <cell r="K12039" t="str">
            <v>00111116P.2</v>
          </cell>
        </row>
        <row r="12040">
          <cell r="K12040" t="str">
            <v>00111117P.2</v>
          </cell>
        </row>
        <row r="12041">
          <cell r="K12041" t="str">
            <v>00111117P.2</v>
          </cell>
        </row>
        <row r="12042">
          <cell r="K12042" t="str">
            <v>00111117P.2</v>
          </cell>
        </row>
        <row r="12043">
          <cell r="K12043" t="str">
            <v>00111117P.2</v>
          </cell>
        </row>
        <row r="12044">
          <cell r="K12044" t="str">
            <v>00111117P.2</v>
          </cell>
        </row>
        <row r="12045">
          <cell r="K12045" t="str">
            <v>00111117P.2</v>
          </cell>
        </row>
        <row r="12046">
          <cell r="K12046" t="str">
            <v>00111117P.2</v>
          </cell>
        </row>
        <row r="12047">
          <cell r="K12047" t="str">
            <v>00111117P.2</v>
          </cell>
        </row>
        <row r="12048">
          <cell r="K12048" t="str">
            <v>00111117P.2</v>
          </cell>
        </row>
        <row r="12049">
          <cell r="K12049" t="str">
            <v>00111117P.2</v>
          </cell>
        </row>
        <row r="12050">
          <cell r="K12050" t="str">
            <v>00111117P.2</v>
          </cell>
        </row>
        <row r="12051">
          <cell r="K12051" t="str">
            <v>00111118P.2</v>
          </cell>
        </row>
        <row r="12052">
          <cell r="K12052" t="str">
            <v>00111118P.2</v>
          </cell>
        </row>
        <row r="12053">
          <cell r="K12053" t="str">
            <v>00111118P.2</v>
          </cell>
        </row>
        <row r="12054">
          <cell r="K12054" t="str">
            <v>00111118P.2</v>
          </cell>
        </row>
        <row r="12055">
          <cell r="K12055" t="str">
            <v>00111118P.2</v>
          </cell>
        </row>
        <row r="12056">
          <cell r="K12056" t="str">
            <v>00111118P.2</v>
          </cell>
        </row>
        <row r="12057">
          <cell r="K12057" t="str">
            <v>00111118P.2</v>
          </cell>
        </row>
        <row r="12058">
          <cell r="K12058" t="str">
            <v>00111118P.2</v>
          </cell>
        </row>
        <row r="12059">
          <cell r="K12059" t="str">
            <v>00111118P.2</v>
          </cell>
        </row>
        <row r="12060">
          <cell r="K12060" t="str">
            <v>00111119P.2</v>
          </cell>
        </row>
        <row r="12061">
          <cell r="K12061" t="str">
            <v>00111119P.2</v>
          </cell>
        </row>
        <row r="12062">
          <cell r="K12062" t="str">
            <v>00111119P.2</v>
          </cell>
        </row>
        <row r="12063">
          <cell r="K12063" t="str">
            <v>00111119P.2</v>
          </cell>
        </row>
        <row r="12064">
          <cell r="K12064" t="str">
            <v>00111119P.2</v>
          </cell>
        </row>
        <row r="12065">
          <cell r="K12065" t="str">
            <v>00111119P.2</v>
          </cell>
        </row>
        <row r="12066">
          <cell r="K12066" t="str">
            <v>00111119P.2</v>
          </cell>
        </row>
        <row r="12067">
          <cell r="K12067" t="str">
            <v>00111120P.2</v>
          </cell>
        </row>
        <row r="12068">
          <cell r="K12068" t="str">
            <v>00111120P.2</v>
          </cell>
        </row>
        <row r="12069">
          <cell r="K12069" t="str">
            <v>00111120P.2</v>
          </cell>
        </row>
        <row r="12070">
          <cell r="K12070" t="str">
            <v>00111120P.2</v>
          </cell>
        </row>
        <row r="12071">
          <cell r="K12071" t="str">
            <v>00111120P.2</v>
          </cell>
        </row>
        <row r="12072">
          <cell r="K12072" t="str">
            <v>00111120P.2</v>
          </cell>
        </row>
        <row r="12073">
          <cell r="K12073" t="str">
            <v>00111120P.2</v>
          </cell>
        </row>
        <row r="12074">
          <cell r="K12074" t="str">
            <v>00111120P.2</v>
          </cell>
        </row>
        <row r="12075">
          <cell r="K12075" t="str">
            <v>00111120P.2</v>
          </cell>
        </row>
        <row r="12076">
          <cell r="K12076" t="str">
            <v>00111120P.2</v>
          </cell>
        </row>
        <row r="12077">
          <cell r="K12077" t="str">
            <v>00111120P.2</v>
          </cell>
        </row>
        <row r="12078">
          <cell r="K12078" t="str">
            <v>00111122P.2</v>
          </cell>
        </row>
        <row r="12079">
          <cell r="K12079" t="str">
            <v>00111122P.2</v>
          </cell>
        </row>
        <row r="12080">
          <cell r="K12080" t="str">
            <v>00111122P.2</v>
          </cell>
        </row>
        <row r="12081">
          <cell r="K12081" t="str">
            <v>00111122P.2</v>
          </cell>
        </row>
        <row r="12082">
          <cell r="K12082" t="str">
            <v>00111122P.2</v>
          </cell>
        </row>
        <row r="12083">
          <cell r="K12083" t="str">
            <v>00111122P.2</v>
          </cell>
        </row>
        <row r="12084">
          <cell r="K12084" t="str">
            <v>00111122P.2</v>
          </cell>
        </row>
        <row r="12085">
          <cell r="K12085" t="str">
            <v>00111122P.2</v>
          </cell>
        </row>
        <row r="12086">
          <cell r="K12086" t="str">
            <v>00111125P.2</v>
          </cell>
        </row>
        <row r="12087">
          <cell r="K12087" t="str">
            <v>00111125P.2</v>
          </cell>
        </row>
        <row r="12088">
          <cell r="K12088" t="str">
            <v>00111125P.2</v>
          </cell>
        </row>
        <row r="12089">
          <cell r="K12089" t="str">
            <v>00111125P.2</v>
          </cell>
        </row>
        <row r="12090">
          <cell r="K12090" t="str">
            <v>00111125P.2</v>
          </cell>
        </row>
        <row r="12091">
          <cell r="K12091" t="str">
            <v>00111125P.2</v>
          </cell>
        </row>
        <row r="12092">
          <cell r="K12092" t="str">
            <v>00111125P.2</v>
          </cell>
        </row>
        <row r="12093">
          <cell r="K12093" t="str">
            <v>00111125P.2</v>
          </cell>
        </row>
        <row r="12094">
          <cell r="K12094" t="str">
            <v>00111125P.2</v>
          </cell>
        </row>
        <row r="12095">
          <cell r="K12095" t="str">
            <v>00111125P.2</v>
          </cell>
        </row>
        <row r="12096">
          <cell r="K12096" t="str">
            <v>00111126P.2</v>
          </cell>
        </row>
        <row r="12097">
          <cell r="K12097" t="str">
            <v>00111126P.2</v>
          </cell>
        </row>
        <row r="12098">
          <cell r="K12098" t="str">
            <v>00111126P.2</v>
          </cell>
        </row>
        <row r="12099">
          <cell r="K12099" t="str">
            <v>00111126P.2</v>
          </cell>
        </row>
        <row r="12100">
          <cell r="K12100" t="str">
            <v>00111126P.2</v>
          </cell>
        </row>
        <row r="12101">
          <cell r="K12101" t="str">
            <v>00111126P.2</v>
          </cell>
        </row>
        <row r="12102">
          <cell r="K12102" t="str">
            <v>00111126P.2</v>
          </cell>
        </row>
        <row r="12103">
          <cell r="K12103" t="str">
            <v>00111126P.2</v>
          </cell>
        </row>
        <row r="12104">
          <cell r="K12104" t="str">
            <v>00111128P.2</v>
          </cell>
        </row>
        <row r="12105">
          <cell r="K12105" t="str">
            <v>00111128P.2</v>
          </cell>
        </row>
        <row r="12106">
          <cell r="K12106" t="str">
            <v>00111128P.2</v>
          </cell>
        </row>
        <row r="12107">
          <cell r="K12107" t="str">
            <v>00111128P.2</v>
          </cell>
        </row>
        <row r="12108">
          <cell r="K12108" t="str">
            <v>00111128P.2</v>
          </cell>
        </row>
        <row r="12109">
          <cell r="K12109" t="str">
            <v>00111128P.2</v>
          </cell>
        </row>
        <row r="12110">
          <cell r="K12110" t="str">
            <v>00111128P.2</v>
          </cell>
        </row>
        <row r="12111">
          <cell r="K12111" t="str">
            <v>00111128P.2</v>
          </cell>
        </row>
        <row r="12112">
          <cell r="K12112" t="str">
            <v>00111128P.2</v>
          </cell>
        </row>
        <row r="12113">
          <cell r="K12113" t="str">
            <v>00111128P.2</v>
          </cell>
        </row>
        <row r="12114">
          <cell r="K12114" t="str">
            <v>00111128P.2</v>
          </cell>
        </row>
        <row r="12115">
          <cell r="K12115" t="str">
            <v>00111128P.2</v>
          </cell>
        </row>
        <row r="12116">
          <cell r="K12116" t="str">
            <v>00111128P.2</v>
          </cell>
        </row>
        <row r="12117">
          <cell r="K12117" t="str">
            <v>00111128P.2</v>
          </cell>
        </row>
        <row r="12118">
          <cell r="K12118" t="str">
            <v>00111129P.2</v>
          </cell>
        </row>
        <row r="12119">
          <cell r="K12119" t="str">
            <v>00111129P.2</v>
          </cell>
        </row>
        <row r="12120">
          <cell r="K12120" t="str">
            <v>00111129P.2</v>
          </cell>
        </row>
        <row r="12121">
          <cell r="K12121" t="str">
            <v>00111129P.2</v>
          </cell>
        </row>
        <row r="12122">
          <cell r="K12122" t="str">
            <v>00111129P.2</v>
          </cell>
        </row>
        <row r="12123">
          <cell r="K12123" t="str">
            <v>00111129P.2</v>
          </cell>
        </row>
        <row r="12124">
          <cell r="K12124" t="str">
            <v>00111129P.2</v>
          </cell>
        </row>
        <row r="12125">
          <cell r="K12125" t="str">
            <v>00111129P.2</v>
          </cell>
        </row>
        <row r="12126">
          <cell r="K12126" t="str">
            <v>00111129P.2</v>
          </cell>
        </row>
        <row r="12127">
          <cell r="K12127" t="str">
            <v>00111129P.2</v>
          </cell>
        </row>
        <row r="12128">
          <cell r="K12128" t="str">
            <v>00111129P.2</v>
          </cell>
        </row>
        <row r="12129">
          <cell r="K12129" t="str">
            <v>00111129P.2</v>
          </cell>
        </row>
        <row r="12130">
          <cell r="K12130" t="str">
            <v>00111129P.2</v>
          </cell>
        </row>
        <row r="12131">
          <cell r="K12131" t="str">
            <v>00111129P.2</v>
          </cell>
        </row>
        <row r="12132">
          <cell r="K12132" t="str">
            <v>00111130P.2</v>
          </cell>
        </row>
        <row r="12133">
          <cell r="K12133" t="str">
            <v>00111130P.2</v>
          </cell>
        </row>
        <row r="12134">
          <cell r="K12134" t="str">
            <v>00111130P.2</v>
          </cell>
        </row>
        <row r="12135">
          <cell r="K12135" t="str">
            <v>00111130P.2</v>
          </cell>
        </row>
        <row r="12136">
          <cell r="K12136" t="str">
            <v>00111130P.2</v>
          </cell>
        </row>
        <row r="12137">
          <cell r="K12137" t="str">
            <v>00111130P.2</v>
          </cell>
        </row>
        <row r="12138">
          <cell r="K12138" t="str">
            <v>00111130P.2</v>
          </cell>
        </row>
        <row r="12139">
          <cell r="K12139" t="str">
            <v>00111130P.2</v>
          </cell>
        </row>
        <row r="12140">
          <cell r="K12140" t="str">
            <v>00111130P.2</v>
          </cell>
        </row>
        <row r="12141">
          <cell r="K12141" t="str">
            <v>00111130P.2</v>
          </cell>
        </row>
        <row r="12142">
          <cell r="K12142" t="str">
            <v>00111131P.2</v>
          </cell>
        </row>
        <row r="12143">
          <cell r="K12143" t="str">
            <v>00111131P.2</v>
          </cell>
        </row>
        <row r="12144">
          <cell r="K12144" t="str">
            <v>00111131P.2</v>
          </cell>
        </row>
        <row r="12145">
          <cell r="K12145" t="str">
            <v>00111131P.2</v>
          </cell>
        </row>
        <row r="12146">
          <cell r="K12146" t="str">
            <v>00111131P.2</v>
          </cell>
        </row>
        <row r="12147">
          <cell r="K12147" t="str">
            <v>00111131P.2</v>
          </cell>
        </row>
        <row r="12148">
          <cell r="K12148" t="str">
            <v>00111131P.2</v>
          </cell>
        </row>
        <row r="12149">
          <cell r="K12149" t="str">
            <v>00111131P.2</v>
          </cell>
        </row>
        <row r="12150">
          <cell r="K12150" t="str">
            <v>00111135P.2</v>
          </cell>
        </row>
        <row r="12151">
          <cell r="K12151" t="str">
            <v>00111135P.2</v>
          </cell>
        </row>
        <row r="12152">
          <cell r="K12152" t="str">
            <v>00111135P.2</v>
          </cell>
        </row>
        <row r="12153">
          <cell r="K12153" t="str">
            <v>00111153P.2</v>
          </cell>
        </row>
        <row r="12154">
          <cell r="K12154" t="str">
            <v>00111153P.2</v>
          </cell>
        </row>
        <row r="12155">
          <cell r="K12155" t="str">
            <v>00111153P.2</v>
          </cell>
        </row>
        <row r="12156">
          <cell r="K12156" t="str">
            <v>00111153P.2</v>
          </cell>
        </row>
        <row r="12157">
          <cell r="K12157" t="str">
            <v>00111153P.2</v>
          </cell>
        </row>
        <row r="12158">
          <cell r="K12158" t="str">
            <v>00111143P.2</v>
          </cell>
        </row>
        <row r="12159">
          <cell r="K12159" t="str">
            <v>00111143P.2</v>
          </cell>
        </row>
        <row r="12160">
          <cell r="K12160" t="str">
            <v>00111143P.2</v>
          </cell>
        </row>
        <row r="12161">
          <cell r="K12161" t="str">
            <v>00111143P.2</v>
          </cell>
        </row>
        <row r="12162">
          <cell r="K12162" t="str">
            <v>00111150P.2</v>
          </cell>
        </row>
        <row r="12163">
          <cell r="K12163" t="str">
            <v>00111150P.2</v>
          </cell>
        </row>
        <row r="12164">
          <cell r="K12164" t="str">
            <v>00111150P.2</v>
          </cell>
        </row>
        <row r="12165">
          <cell r="K12165" t="str">
            <v>00111150P.2</v>
          </cell>
        </row>
        <row r="12166">
          <cell r="K12166" t="str">
            <v>00111110P.2</v>
          </cell>
        </row>
        <row r="12167">
          <cell r="K12167" t="str">
            <v>00111110P.2</v>
          </cell>
        </row>
        <row r="12168">
          <cell r="K12168" t="str">
            <v>00111110P.2</v>
          </cell>
        </row>
        <row r="12169">
          <cell r="K12169" t="str">
            <v>00111110P.2</v>
          </cell>
        </row>
        <row r="12170">
          <cell r="K12170" t="str">
            <v>00111110P.2</v>
          </cell>
        </row>
        <row r="12171">
          <cell r="K12171" t="str">
            <v>00111110P.2</v>
          </cell>
        </row>
        <row r="12172">
          <cell r="K12172" t="str">
            <v>00111110P.2</v>
          </cell>
        </row>
        <row r="12173">
          <cell r="K12173" t="str">
            <v>00111110P.2</v>
          </cell>
        </row>
        <row r="12174">
          <cell r="K12174" t="str">
            <v>00111110P.2</v>
          </cell>
        </row>
        <row r="12175">
          <cell r="K12175" t="str">
            <v>00111110P.2</v>
          </cell>
        </row>
        <row r="12176">
          <cell r="K12176" t="str">
            <v>00111111P.2</v>
          </cell>
        </row>
        <row r="12177">
          <cell r="K12177" t="str">
            <v>00111111P.2</v>
          </cell>
        </row>
        <row r="12178">
          <cell r="K12178" t="str">
            <v>00111111P.2</v>
          </cell>
        </row>
        <row r="12179">
          <cell r="K12179" t="str">
            <v>00111111P.2</v>
          </cell>
        </row>
        <row r="12180">
          <cell r="K12180" t="str">
            <v>00111111P.2</v>
          </cell>
        </row>
        <row r="12181">
          <cell r="K12181" t="str">
            <v>00111111P.2</v>
          </cell>
        </row>
        <row r="12182">
          <cell r="K12182" t="str">
            <v>00111111P.2</v>
          </cell>
        </row>
        <row r="12183">
          <cell r="K12183" t="str">
            <v>00111111P.2</v>
          </cell>
        </row>
        <row r="12184">
          <cell r="K12184" t="str">
            <v>00111112P.2</v>
          </cell>
        </row>
        <row r="12185">
          <cell r="K12185" t="str">
            <v>00111112P.2</v>
          </cell>
        </row>
        <row r="12186">
          <cell r="K12186" t="str">
            <v>00111112P.2</v>
          </cell>
        </row>
        <row r="12187">
          <cell r="K12187" t="str">
            <v>00111112P.2</v>
          </cell>
        </row>
        <row r="12188">
          <cell r="K12188" t="str">
            <v>00111112P.2</v>
          </cell>
        </row>
        <row r="12189">
          <cell r="K12189" t="str">
            <v>00111112P.2</v>
          </cell>
        </row>
        <row r="12190">
          <cell r="K12190" t="str">
            <v>00111112P.2</v>
          </cell>
        </row>
        <row r="12191">
          <cell r="K12191" t="str">
            <v>00111112P.2</v>
          </cell>
        </row>
        <row r="12192">
          <cell r="K12192" t="str">
            <v>00111113P.2</v>
          </cell>
        </row>
        <row r="12193">
          <cell r="K12193" t="str">
            <v>00111113P.2</v>
          </cell>
        </row>
        <row r="12194">
          <cell r="K12194" t="str">
            <v>00111113P.2</v>
          </cell>
        </row>
        <row r="12195">
          <cell r="K12195" t="str">
            <v>00111113P.2</v>
          </cell>
        </row>
        <row r="12196">
          <cell r="K12196" t="str">
            <v>00111113P.2</v>
          </cell>
        </row>
        <row r="12197">
          <cell r="K12197" t="str">
            <v>00111113P.2</v>
          </cell>
        </row>
        <row r="12198">
          <cell r="K12198" t="str">
            <v>00111113P.2</v>
          </cell>
        </row>
        <row r="12199">
          <cell r="K12199" t="str">
            <v>00111113P.2</v>
          </cell>
        </row>
        <row r="12200">
          <cell r="K12200" t="str">
            <v>00111113P.2</v>
          </cell>
        </row>
        <row r="12201">
          <cell r="K12201" t="str">
            <v>00111113P.2</v>
          </cell>
        </row>
        <row r="12202">
          <cell r="K12202" t="str">
            <v>00111113P.2</v>
          </cell>
        </row>
        <row r="12203">
          <cell r="K12203" t="str">
            <v>00111113P.2</v>
          </cell>
        </row>
        <row r="12204">
          <cell r="K12204" t="str">
            <v>00111114P.2</v>
          </cell>
        </row>
        <row r="12205">
          <cell r="K12205" t="str">
            <v>00111115P.2</v>
          </cell>
        </row>
        <row r="12206">
          <cell r="K12206" t="str">
            <v>00111115P.2</v>
          </cell>
        </row>
        <row r="12207">
          <cell r="K12207" t="str">
            <v>00111115P.2</v>
          </cell>
        </row>
        <row r="12208">
          <cell r="K12208" t="str">
            <v>00111115P.2</v>
          </cell>
        </row>
        <row r="12209">
          <cell r="K12209" t="str">
            <v>00111115P.2</v>
          </cell>
        </row>
        <row r="12210">
          <cell r="K12210" t="str">
            <v>00111116P.2</v>
          </cell>
        </row>
        <row r="12211">
          <cell r="K12211" t="str">
            <v>00111116P.2</v>
          </cell>
        </row>
        <row r="12212">
          <cell r="K12212" t="str">
            <v>00111116P.2</v>
          </cell>
        </row>
        <row r="12213">
          <cell r="K12213" t="str">
            <v>00111116P.2</v>
          </cell>
        </row>
        <row r="12214">
          <cell r="K12214" t="str">
            <v>00111116P.2</v>
          </cell>
        </row>
        <row r="12215">
          <cell r="K12215" t="str">
            <v>00111116P.2</v>
          </cell>
        </row>
        <row r="12216">
          <cell r="K12216" t="str">
            <v>00111116P.2</v>
          </cell>
        </row>
        <row r="12217">
          <cell r="K12217" t="str">
            <v>00111116P.2</v>
          </cell>
        </row>
        <row r="12218">
          <cell r="K12218" t="str">
            <v>00111116P.2</v>
          </cell>
        </row>
        <row r="12219">
          <cell r="K12219" t="str">
            <v>00111116P.2</v>
          </cell>
        </row>
        <row r="12220">
          <cell r="K12220" t="str">
            <v>00111116P.2</v>
          </cell>
        </row>
        <row r="12221">
          <cell r="K12221" t="str">
            <v>00111116P.2</v>
          </cell>
        </row>
        <row r="12222">
          <cell r="K12222" t="str">
            <v>00111116P.2</v>
          </cell>
        </row>
        <row r="12223">
          <cell r="K12223" t="str">
            <v>00111117P.2</v>
          </cell>
        </row>
        <row r="12224">
          <cell r="K12224" t="str">
            <v>00111117P.2</v>
          </cell>
        </row>
        <row r="12225">
          <cell r="K12225" t="str">
            <v>00111117P.2</v>
          </cell>
        </row>
        <row r="12226">
          <cell r="K12226" t="str">
            <v>00111117P.2</v>
          </cell>
        </row>
        <row r="12227">
          <cell r="K12227" t="str">
            <v>00111117P.2</v>
          </cell>
        </row>
        <row r="12228">
          <cell r="K12228" t="str">
            <v>00111117P.2</v>
          </cell>
        </row>
        <row r="12229">
          <cell r="K12229" t="str">
            <v>00111117P.2</v>
          </cell>
        </row>
        <row r="12230">
          <cell r="K12230" t="str">
            <v>00111117P.2</v>
          </cell>
        </row>
        <row r="12231">
          <cell r="K12231" t="str">
            <v>00111117P.2</v>
          </cell>
        </row>
        <row r="12232">
          <cell r="K12232" t="str">
            <v>00111117P.2</v>
          </cell>
        </row>
        <row r="12233">
          <cell r="K12233" t="str">
            <v>00111117P.2</v>
          </cell>
        </row>
        <row r="12234">
          <cell r="K12234" t="str">
            <v>00111117P.2</v>
          </cell>
        </row>
        <row r="12235">
          <cell r="K12235" t="str">
            <v>00111118P.2</v>
          </cell>
        </row>
        <row r="12236">
          <cell r="K12236" t="str">
            <v>00111118P.2</v>
          </cell>
        </row>
        <row r="12237">
          <cell r="K12237" t="str">
            <v>00111118P.2</v>
          </cell>
        </row>
        <row r="12238">
          <cell r="K12238" t="str">
            <v>00111118P.2</v>
          </cell>
        </row>
        <row r="12239">
          <cell r="K12239" t="str">
            <v>00111118P.2</v>
          </cell>
        </row>
        <row r="12240">
          <cell r="K12240" t="str">
            <v>00111118P.2</v>
          </cell>
        </row>
        <row r="12241">
          <cell r="K12241" t="str">
            <v>00111118P.2</v>
          </cell>
        </row>
        <row r="12242">
          <cell r="K12242" t="str">
            <v>00111118P.2</v>
          </cell>
        </row>
        <row r="12243">
          <cell r="K12243" t="str">
            <v>00111118P.2</v>
          </cell>
        </row>
        <row r="12244">
          <cell r="K12244" t="str">
            <v>00111118P.2</v>
          </cell>
        </row>
        <row r="12245">
          <cell r="K12245" t="str">
            <v>00111119P.2</v>
          </cell>
        </row>
        <row r="12246">
          <cell r="K12246" t="str">
            <v>00111119P.2</v>
          </cell>
        </row>
        <row r="12247">
          <cell r="K12247" t="str">
            <v>00111119P.2</v>
          </cell>
        </row>
        <row r="12248">
          <cell r="K12248" t="str">
            <v>00111119P.2</v>
          </cell>
        </row>
        <row r="12249">
          <cell r="K12249" t="str">
            <v>00111119P.2</v>
          </cell>
        </row>
        <row r="12250">
          <cell r="K12250" t="str">
            <v>00111119P.2</v>
          </cell>
        </row>
        <row r="12251">
          <cell r="K12251" t="str">
            <v>00111119P.2</v>
          </cell>
        </row>
        <row r="12252">
          <cell r="K12252" t="str">
            <v>00111119P.2</v>
          </cell>
        </row>
        <row r="12253">
          <cell r="K12253" t="str">
            <v>00111119P.2</v>
          </cell>
        </row>
        <row r="12254">
          <cell r="K12254" t="str">
            <v>00111120P.2</v>
          </cell>
        </row>
        <row r="12255">
          <cell r="K12255" t="str">
            <v>00111120P.2</v>
          </cell>
        </row>
        <row r="12256">
          <cell r="K12256" t="str">
            <v>00111120P.2</v>
          </cell>
        </row>
        <row r="12257">
          <cell r="K12257" t="str">
            <v>00111120P.2</v>
          </cell>
        </row>
        <row r="12258">
          <cell r="K12258" t="str">
            <v>00111120P.2</v>
          </cell>
        </row>
        <row r="12259">
          <cell r="K12259" t="str">
            <v>00111121P.2</v>
          </cell>
        </row>
        <row r="12260">
          <cell r="K12260" t="str">
            <v>00111121P.2</v>
          </cell>
        </row>
        <row r="12261">
          <cell r="K12261" t="str">
            <v>00111121P.2</v>
          </cell>
        </row>
        <row r="12262">
          <cell r="K12262" t="str">
            <v>00111121P.2</v>
          </cell>
        </row>
        <row r="12263">
          <cell r="K12263" t="str">
            <v>00111121P.2</v>
          </cell>
        </row>
        <row r="12264">
          <cell r="K12264" t="str">
            <v>00111121P.2</v>
          </cell>
        </row>
        <row r="12265">
          <cell r="K12265" t="str">
            <v>00111121P.2</v>
          </cell>
        </row>
        <row r="12266">
          <cell r="K12266" t="str">
            <v>00111121P.2</v>
          </cell>
        </row>
        <row r="12267">
          <cell r="K12267" t="str">
            <v>00111121P.2</v>
          </cell>
        </row>
        <row r="12268">
          <cell r="K12268" t="str">
            <v>00111121P.2</v>
          </cell>
        </row>
        <row r="12269">
          <cell r="K12269" t="str">
            <v>00111121P.2</v>
          </cell>
        </row>
        <row r="12270">
          <cell r="K12270" t="str">
            <v>00111122P.2</v>
          </cell>
        </row>
        <row r="12271">
          <cell r="K12271" t="str">
            <v>00111122P.2</v>
          </cell>
        </row>
        <row r="12272">
          <cell r="K12272" t="str">
            <v>00111122P.2</v>
          </cell>
        </row>
        <row r="12273">
          <cell r="K12273" t="str">
            <v>00111122P.2</v>
          </cell>
        </row>
        <row r="12274">
          <cell r="K12274" t="str">
            <v>00111122P.2</v>
          </cell>
        </row>
        <row r="12275">
          <cell r="K12275" t="str">
            <v>00111122P.2</v>
          </cell>
        </row>
        <row r="12276">
          <cell r="K12276" t="str">
            <v>00111122P.2</v>
          </cell>
        </row>
        <row r="12277">
          <cell r="K12277" t="str">
            <v>00111122P.2</v>
          </cell>
        </row>
        <row r="12278">
          <cell r="K12278" t="str">
            <v>00111122P.2</v>
          </cell>
        </row>
        <row r="12279">
          <cell r="K12279" t="str">
            <v>00111123P.2</v>
          </cell>
        </row>
        <row r="12280">
          <cell r="K12280" t="str">
            <v>00111123P.2</v>
          </cell>
        </row>
        <row r="12281">
          <cell r="K12281" t="str">
            <v>00111123P.2</v>
          </cell>
        </row>
        <row r="12282">
          <cell r="K12282" t="str">
            <v>00111123P.2</v>
          </cell>
        </row>
        <row r="12283">
          <cell r="K12283" t="str">
            <v>00111123P.2</v>
          </cell>
        </row>
        <row r="12284">
          <cell r="K12284" t="str">
            <v>00111123P.2</v>
          </cell>
        </row>
        <row r="12285">
          <cell r="K12285" t="str">
            <v>00111123P.2</v>
          </cell>
        </row>
        <row r="12286">
          <cell r="K12286" t="str">
            <v>00111123P.2</v>
          </cell>
        </row>
        <row r="12287">
          <cell r="K12287" t="str">
            <v>00111124P.2</v>
          </cell>
        </row>
        <row r="12288">
          <cell r="K12288" t="str">
            <v>00111124P.2</v>
          </cell>
        </row>
        <row r="12289">
          <cell r="K12289" t="str">
            <v>00111124P.2</v>
          </cell>
        </row>
        <row r="12290">
          <cell r="K12290" t="str">
            <v>00111124P.2</v>
          </cell>
        </row>
        <row r="12291">
          <cell r="K12291" t="str">
            <v>00111124P.2</v>
          </cell>
        </row>
        <row r="12292">
          <cell r="K12292" t="str">
            <v>00111124P.2</v>
          </cell>
        </row>
        <row r="12293">
          <cell r="K12293" t="str">
            <v>00111124P.2</v>
          </cell>
        </row>
        <row r="12294">
          <cell r="K12294" t="str">
            <v>00111125P.2</v>
          </cell>
        </row>
        <row r="12295">
          <cell r="K12295" t="str">
            <v>00111125P.2</v>
          </cell>
        </row>
        <row r="12296">
          <cell r="K12296" t="str">
            <v>00111125P.2</v>
          </cell>
        </row>
        <row r="12297">
          <cell r="K12297" t="str">
            <v>00111125P.2</v>
          </cell>
        </row>
        <row r="12298">
          <cell r="K12298" t="str">
            <v>00111125P.2</v>
          </cell>
        </row>
        <row r="12299">
          <cell r="K12299" t="str">
            <v>00111125P.2</v>
          </cell>
        </row>
        <row r="12300">
          <cell r="K12300" t="str">
            <v>00111125P.2</v>
          </cell>
        </row>
        <row r="12301">
          <cell r="K12301" t="str">
            <v>00111125P.2</v>
          </cell>
        </row>
        <row r="12302">
          <cell r="K12302" t="str">
            <v>00111125P.2</v>
          </cell>
        </row>
        <row r="12303">
          <cell r="K12303" t="str">
            <v>00111125P.2</v>
          </cell>
        </row>
        <row r="12304">
          <cell r="K12304" t="str">
            <v>00111125P.2</v>
          </cell>
        </row>
        <row r="12305">
          <cell r="K12305" t="str">
            <v>00111125P.2</v>
          </cell>
        </row>
        <row r="12306">
          <cell r="K12306" t="str">
            <v>00111125P.2</v>
          </cell>
        </row>
        <row r="12307">
          <cell r="K12307" t="str">
            <v>00111125P.2</v>
          </cell>
        </row>
        <row r="12308">
          <cell r="K12308" t="str">
            <v>00111126P.2</v>
          </cell>
        </row>
        <row r="12309">
          <cell r="K12309" t="str">
            <v>00111126P.2</v>
          </cell>
        </row>
        <row r="12310">
          <cell r="K12310" t="str">
            <v>00111126P.2</v>
          </cell>
        </row>
        <row r="12311">
          <cell r="K12311" t="str">
            <v>00111126P.2</v>
          </cell>
        </row>
        <row r="12312">
          <cell r="K12312" t="str">
            <v>00111126P.2</v>
          </cell>
        </row>
        <row r="12313">
          <cell r="K12313" t="str">
            <v>00111126P.2</v>
          </cell>
        </row>
        <row r="12314">
          <cell r="K12314" t="str">
            <v>00111127P.2</v>
          </cell>
        </row>
        <row r="12315">
          <cell r="K12315" t="str">
            <v>00111127P.2</v>
          </cell>
        </row>
        <row r="12316">
          <cell r="K12316" t="str">
            <v>00111127P.2</v>
          </cell>
        </row>
        <row r="12317">
          <cell r="K12317" t="str">
            <v>00111128P.2</v>
          </cell>
        </row>
        <row r="12318">
          <cell r="K12318" t="str">
            <v>00111128P.2</v>
          </cell>
        </row>
        <row r="12319">
          <cell r="K12319" t="str">
            <v>00111128P.2</v>
          </cell>
        </row>
        <row r="12320">
          <cell r="K12320" t="str">
            <v>00111128P.2</v>
          </cell>
        </row>
        <row r="12321">
          <cell r="K12321" t="str">
            <v>00111128P.2</v>
          </cell>
        </row>
        <row r="12322">
          <cell r="K12322" t="str">
            <v>00111128P.2</v>
          </cell>
        </row>
        <row r="12323">
          <cell r="K12323" t="str">
            <v>00111128P.2</v>
          </cell>
        </row>
        <row r="12324">
          <cell r="K12324" t="str">
            <v>00111128P.2</v>
          </cell>
        </row>
        <row r="12325">
          <cell r="K12325" t="str">
            <v>00111128P.2</v>
          </cell>
        </row>
        <row r="12326">
          <cell r="K12326" t="str">
            <v>00111128P.2</v>
          </cell>
        </row>
        <row r="12327">
          <cell r="K12327" t="str">
            <v>00111128P.2</v>
          </cell>
        </row>
        <row r="12328">
          <cell r="K12328" t="str">
            <v>00111128P.2</v>
          </cell>
        </row>
        <row r="12329">
          <cell r="K12329" t="str">
            <v>00111128P.2</v>
          </cell>
        </row>
        <row r="12330">
          <cell r="K12330" t="str">
            <v>00111128P.2</v>
          </cell>
        </row>
        <row r="12331">
          <cell r="K12331" t="str">
            <v>00111128P.2</v>
          </cell>
        </row>
        <row r="12332">
          <cell r="K12332" t="str">
            <v>00111128P.2</v>
          </cell>
        </row>
        <row r="12333">
          <cell r="K12333" t="str">
            <v>00111128P.2</v>
          </cell>
        </row>
        <row r="12334">
          <cell r="K12334" t="str">
            <v>00111128P.2</v>
          </cell>
        </row>
        <row r="12335">
          <cell r="K12335" t="str">
            <v>00111129P.2</v>
          </cell>
        </row>
        <row r="12336">
          <cell r="K12336" t="str">
            <v>00111129P.2</v>
          </cell>
        </row>
        <row r="12337">
          <cell r="K12337" t="str">
            <v>00111129P.2</v>
          </cell>
        </row>
        <row r="12338">
          <cell r="K12338" t="str">
            <v>00111129P.2</v>
          </cell>
        </row>
        <row r="12339">
          <cell r="K12339" t="str">
            <v>00111129P.2</v>
          </cell>
        </row>
        <row r="12340">
          <cell r="K12340" t="str">
            <v>00111129P.2</v>
          </cell>
        </row>
        <row r="12341">
          <cell r="K12341" t="str">
            <v>00111129P.2</v>
          </cell>
        </row>
        <row r="12342">
          <cell r="K12342" t="str">
            <v>00111129P.2</v>
          </cell>
        </row>
        <row r="12343">
          <cell r="K12343" t="str">
            <v>00111129P.2</v>
          </cell>
        </row>
        <row r="12344">
          <cell r="K12344" t="str">
            <v>00111129P.2</v>
          </cell>
        </row>
        <row r="12345">
          <cell r="K12345" t="str">
            <v>00111129P.2</v>
          </cell>
        </row>
        <row r="12346">
          <cell r="K12346" t="str">
            <v>00111130P.2</v>
          </cell>
        </row>
        <row r="12347">
          <cell r="K12347" t="str">
            <v>00111130P.2</v>
          </cell>
        </row>
        <row r="12348">
          <cell r="K12348" t="str">
            <v>00111130P.2</v>
          </cell>
        </row>
        <row r="12349">
          <cell r="K12349" t="str">
            <v>00111130P.2</v>
          </cell>
        </row>
        <row r="12350">
          <cell r="K12350" t="str">
            <v>00111130P.2</v>
          </cell>
        </row>
        <row r="12351">
          <cell r="K12351" t="str">
            <v>00111130P.2</v>
          </cell>
        </row>
        <row r="12352">
          <cell r="K12352" t="str">
            <v>00111130P.2</v>
          </cell>
        </row>
        <row r="12353">
          <cell r="K12353" t="str">
            <v>00111130P.2</v>
          </cell>
        </row>
        <row r="12354">
          <cell r="K12354" t="str">
            <v>00111130P.2</v>
          </cell>
        </row>
        <row r="12355">
          <cell r="K12355" t="str">
            <v>00111130P.2</v>
          </cell>
        </row>
        <row r="12356">
          <cell r="K12356" t="str">
            <v>00111130P.2</v>
          </cell>
        </row>
        <row r="12357">
          <cell r="K12357" t="str">
            <v>00111130P.2</v>
          </cell>
        </row>
        <row r="12358">
          <cell r="K12358" t="str">
            <v>00111131P.2</v>
          </cell>
        </row>
        <row r="12359">
          <cell r="K12359" t="str">
            <v>00111131P.2</v>
          </cell>
        </row>
        <row r="12360">
          <cell r="K12360" t="str">
            <v>00111131P.2</v>
          </cell>
        </row>
        <row r="12361">
          <cell r="K12361" t="str">
            <v>00111131P.2</v>
          </cell>
        </row>
        <row r="12362">
          <cell r="K12362" t="str">
            <v>00111131P.2</v>
          </cell>
        </row>
        <row r="12363">
          <cell r="K12363" t="str">
            <v>00111131P.2</v>
          </cell>
        </row>
        <row r="12364">
          <cell r="K12364" t="str">
            <v>00111131P.2</v>
          </cell>
        </row>
        <row r="12365">
          <cell r="K12365" t="str">
            <v>00111131P.2</v>
          </cell>
        </row>
        <row r="12366">
          <cell r="K12366" t="str">
            <v>00111131P.2</v>
          </cell>
        </row>
        <row r="12367">
          <cell r="K12367" t="str">
            <v>00111131P.2</v>
          </cell>
        </row>
        <row r="12368">
          <cell r="K12368" t="str">
            <v>00111131P.2</v>
          </cell>
        </row>
        <row r="12369">
          <cell r="K12369" t="str">
            <v>00111131P.2</v>
          </cell>
        </row>
        <row r="12370">
          <cell r="K12370" t="str">
            <v>00111131P.2</v>
          </cell>
        </row>
        <row r="12371">
          <cell r="K12371" t="str">
            <v>00111131P.2</v>
          </cell>
        </row>
        <row r="12372">
          <cell r="K12372" t="str">
            <v>00111131P.2</v>
          </cell>
        </row>
        <row r="12373">
          <cell r="K12373" t="str">
            <v>00111131P.2</v>
          </cell>
        </row>
        <row r="12374">
          <cell r="K12374" t="str">
            <v>00111132P.2</v>
          </cell>
        </row>
        <row r="12375">
          <cell r="K12375" t="str">
            <v>00111132P.2</v>
          </cell>
        </row>
        <row r="12376">
          <cell r="K12376" t="str">
            <v>00111132P.2</v>
          </cell>
        </row>
        <row r="12377">
          <cell r="K12377" t="str">
            <v>00111132P.2</v>
          </cell>
        </row>
        <row r="12378">
          <cell r="K12378" t="str">
            <v>00111132P.2</v>
          </cell>
        </row>
        <row r="12379">
          <cell r="K12379" t="str">
            <v>00111132P.2</v>
          </cell>
        </row>
        <row r="12380">
          <cell r="K12380" t="str">
            <v>00111133P.2</v>
          </cell>
        </row>
        <row r="12381">
          <cell r="K12381" t="str">
            <v>00111133P.2</v>
          </cell>
        </row>
        <row r="12382">
          <cell r="K12382" t="str">
            <v>00111133P.2</v>
          </cell>
        </row>
        <row r="12383">
          <cell r="K12383" t="str">
            <v>00111133P.2</v>
          </cell>
        </row>
        <row r="12384">
          <cell r="K12384" t="str">
            <v>00111133P.2</v>
          </cell>
        </row>
        <row r="12385">
          <cell r="K12385" t="str">
            <v>00111133P.2</v>
          </cell>
        </row>
        <row r="12386">
          <cell r="K12386" t="str">
            <v>00111133P.2</v>
          </cell>
        </row>
        <row r="12387">
          <cell r="K12387" t="str">
            <v>00111133P.2</v>
          </cell>
        </row>
        <row r="12388">
          <cell r="K12388" t="str">
            <v>00111133P.2</v>
          </cell>
        </row>
        <row r="12389">
          <cell r="K12389" t="str">
            <v>00111133P.2</v>
          </cell>
        </row>
        <row r="12390">
          <cell r="K12390" t="str">
            <v>00111133P.2</v>
          </cell>
        </row>
        <row r="12391">
          <cell r="K12391" t="str">
            <v>00111133P.2</v>
          </cell>
        </row>
        <row r="12392">
          <cell r="K12392" t="str">
            <v>00111133P.2</v>
          </cell>
        </row>
        <row r="12393">
          <cell r="K12393" t="str">
            <v>00111133P.2</v>
          </cell>
        </row>
        <row r="12394">
          <cell r="K12394" t="str">
            <v>00111133P.2</v>
          </cell>
        </row>
        <row r="12395">
          <cell r="K12395" t="str">
            <v>00111134P.2</v>
          </cell>
        </row>
        <row r="12396">
          <cell r="K12396" t="str">
            <v>00111134P.2</v>
          </cell>
        </row>
        <row r="12397">
          <cell r="K12397" t="str">
            <v>00111134P.2</v>
          </cell>
        </row>
        <row r="12398">
          <cell r="K12398" t="str">
            <v>00111134P.2</v>
          </cell>
        </row>
        <row r="12399">
          <cell r="K12399" t="str">
            <v>00111134P.2</v>
          </cell>
        </row>
        <row r="12400">
          <cell r="K12400" t="str">
            <v>00111134P.2</v>
          </cell>
        </row>
        <row r="12401">
          <cell r="K12401" t="str">
            <v>00111134P.2</v>
          </cell>
        </row>
        <row r="12402">
          <cell r="K12402" t="str">
            <v>00111134P.2</v>
          </cell>
        </row>
        <row r="12403">
          <cell r="K12403" t="str">
            <v>00111135P.2</v>
          </cell>
        </row>
        <row r="12404">
          <cell r="K12404" t="str">
            <v>00111135P.2</v>
          </cell>
        </row>
        <row r="12405">
          <cell r="K12405" t="str">
            <v>00111135P.2</v>
          </cell>
        </row>
        <row r="12406">
          <cell r="K12406" t="str">
            <v>00111135P.2</v>
          </cell>
        </row>
        <row r="12407">
          <cell r="K12407" t="str">
            <v>00111135P.2</v>
          </cell>
        </row>
        <row r="12408">
          <cell r="K12408" t="str">
            <v>00111135P.2</v>
          </cell>
        </row>
        <row r="12409">
          <cell r="K12409" t="str">
            <v>00111135P.2</v>
          </cell>
        </row>
        <row r="12410">
          <cell r="K12410" t="str">
            <v>00111135P.2</v>
          </cell>
        </row>
        <row r="12411">
          <cell r="K12411" t="str">
            <v>00111135P.2</v>
          </cell>
        </row>
        <row r="12412">
          <cell r="K12412" t="str">
            <v>00111135P.2</v>
          </cell>
        </row>
        <row r="12413">
          <cell r="K12413" t="str">
            <v>00111135P.2</v>
          </cell>
        </row>
        <row r="12414">
          <cell r="K12414" t="str">
            <v>00111135P.2</v>
          </cell>
        </row>
        <row r="12415">
          <cell r="K12415" t="str">
            <v>00111135P.2</v>
          </cell>
        </row>
        <row r="12416">
          <cell r="K12416" t="str">
            <v>00111135P.2</v>
          </cell>
        </row>
        <row r="12417">
          <cell r="K12417" t="str">
            <v>00111135P.2</v>
          </cell>
        </row>
        <row r="12418">
          <cell r="K12418" t="str">
            <v>00111136P.2</v>
          </cell>
        </row>
        <row r="12419">
          <cell r="K12419" t="str">
            <v>00111136P.2</v>
          </cell>
        </row>
        <row r="12420">
          <cell r="K12420" t="str">
            <v>00111136P.2</v>
          </cell>
        </row>
        <row r="12421">
          <cell r="K12421" t="str">
            <v>00111136P.2</v>
          </cell>
        </row>
        <row r="12422">
          <cell r="K12422" t="str">
            <v>00111136P.2</v>
          </cell>
        </row>
        <row r="12423">
          <cell r="K12423" t="str">
            <v>00111136P.2</v>
          </cell>
        </row>
        <row r="12424">
          <cell r="K12424" t="str">
            <v>00111136P.2</v>
          </cell>
        </row>
        <row r="12425">
          <cell r="K12425" t="str">
            <v>00111136P.2</v>
          </cell>
        </row>
        <row r="12426">
          <cell r="K12426" t="str">
            <v>00111136P.2</v>
          </cell>
        </row>
        <row r="12427">
          <cell r="K12427" t="str">
            <v>00111136P.2</v>
          </cell>
        </row>
        <row r="12428">
          <cell r="K12428" t="str">
            <v>00111136P.2</v>
          </cell>
        </row>
        <row r="12429">
          <cell r="K12429" t="str">
            <v>00111136P.2</v>
          </cell>
        </row>
        <row r="12430">
          <cell r="K12430" t="str">
            <v>00111153P.2</v>
          </cell>
        </row>
        <row r="12431">
          <cell r="K12431" t="str">
            <v>00111153P.2</v>
          </cell>
        </row>
        <row r="12432">
          <cell r="K12432" t="str">
            <v>00111153P.2</v>
          </cell>
        </row>
        <row r="12433">
          <cell r="K12433" t="str">
            <v>00111153P.2</v>
          </cell>
        </row>
        <row r="12434">
          <cell r="K12434" t="str">
            <v>00111124P.2</v>
          </cell>
        </row>
        <row r="12435">
          <cell r="K12435" t="str">
            <v>00111124P.2</v>
          </cell>
        </row>
        <row r="12436">
          <cell r="K12436" t="str">
            <v>00111142P.2</v>
          </cell>
        </row>
        <row r="12437">
          <cell r="K12437" t="str">
            <v>00111142P.2</v>
          </cell>
        </row>
        <row r="12438">
          <cell r="K12438" t="str">
            <v>00111142P.2</v>
          </cell>
        </row>
        <row r="12439">
          <cell r="K12439" t="str">
            <v>00111142P.2</v>
          </cell>
        </row>
        <row r="12440">
          <cell r="K12440" t="str">
            <v>00111142P.2</v>
          </cell>
        </row>
        <row r="12441">
          <cell r="K12441" t="str">
            <v>00111142P.2</v>
          </cell>
        </row>
        <row r="12442">
          <cell r="K12442" t="str">
            <v>00111141P.2</v>
          </cell>
        </row>
        <row r="12443">
          <cell r="K12443" t="str">
            <v>00111141P.2</v>
          </cell>
        </row>
        <row r="12444">
          <cell r="K12444" t="str">
            <v>00111141P.2</v>
          </cell>
        </row>
        <row r="12445">
          <cell r="K12445" t="str">
            <v>00111141P.2</v>
          </cell>
        </row>
        <row r="12446">
          <cell r="K12446" t="str">
            <v>00111141P.2</v>
          </cell>
        </row>
        <row r="12447">
          <cell r="K12447" t="str">
            <v>00111141P.2</v>
          </cell>
        </row>
        <row r="12448">
          <cell r="K12448" t="str">
            <v>00111141P.2</v>
          </cell>
        </row>
        <row r="12449">
          <cell r="K12449" t="str">
            <v>00111141P.2</v>
          </cell>
        </row>
        <row r="12450">
          <cell r="K12450" t="str">
            <v>00111141P.2</v>
          </cell>
        </row>
        <row r="12451">
          <cell r="K12451" t="str">
            <v>00111141P.2</v>
          </cell>
        </row>
        <row r="12452">
          <cell r="K12452" t="str">
            <v>00111141P.2</v>
          </cell>
        </row>
        <row r="12453">
          <cell r="K12453" t="str">
            <v>00111141P.2</v>
          </cell>
        </row>
        <row r="12454">
          <cell r="K12454" t="str">
            <v>00111141P.2</v>
          </cell>
        </row>
        <row r="12455">
          <cell r="K12455" t="str">
            <v>00111141P.2</v>
          </cell>
        </row>
        <row r="12456">
          <cell r="K12456" t="str">
            <v>00111141P.2</v>
          </cell>
        </row>
        <row r="12457">
          <cell r="K12457" t="str">
            <v>00111106P.2</v>
          </cell>
        </row>
        <row r="12458">
          <cell r="K12458" t="str">
            <v>00111106P.2</v>
          </cell>
        </row>
        <row r="12459">
          <cell r="K12459" t="str">
            <v>00111106P.2</v>
          </cell>
        </row>
        <row r="12460">
          <cell r="K12460" t="str">
            <v>00111106P.2</v>
          </cell>
        </row>
        <row r="12461">
          <cell r="K12461" t="str">
            <v>00111107P.2</v>
          </cell>
        </row>
        <row r="12462">
          <cell r="K12462" t="str">
            <v>00111114P.2</v>
          </cell>
        </row>
        <row r="12463">
          <cell r="K12463" t="str">
            <v>00111114P.2</v>
          </cell>
        </row>
        <row r="12464">
          <cell r="K12464" t="str">
            <v>00111114P.2</v>
          </cell>
        </row>
        <row r="12465">
          <cell r="K12465" t="str">
            <v>00111114P.2</v>
          </cell>
        </row>
        <row r="12466">
          <cell r="K12466" t="str">
            <v>00111114P.2</v>
          </cell>
        </row>
        <row r="12467">
          <cell r="K12467" t="str">
            <v>00111114P.2</v>
          </cell>
        </row>
        <row r="12468">
          <cell r="K12468" t="str">
            <v>00111114P.2</v>
          </cell>
        </row>
        <row r="12469">
          <cell r="K12469" t="str">
            <v>00111114P.2</v>
          </cell>
        </row>
        <row r="12470">
          <cell r="K12470" t="str">
            <v>00111114P.2</v>
          </cell>
        </row>
        <row r="12471">
          <cell r="K12471" t="str">
            <v>00111128P.2</v>
          </cell>
        </row>
        <row r="12472">
          <cell r="K12472" t="str">
            <v>00111128P.2</v>
          </cell>
        </row>
        <row r="12473">
          <cell r="K12473" t="str">
            <v>00111128P.2</v>
          </cell>
        </row>
        <row r="12474">
          <cell r="K12474" t="str">
            <v>00111128P.2</v>
          </cell>
        </row>
        <row r="12475">
          <cell r="K12475" t="str">
            <v>00111128P.2</v>
          </cell>
        </row>
        <row r="12476">
          <cell r="K12476" t="str">
            <v>00111128P.2</v>
          </cell>
        </row>
        <row r="12477">
          <cell r="K12477" t="str">
            <v>00111128P.2</v>
          </cell>
        </row>
        <row r="12478">
          <cell r="K12478" t="str">
            <v>00111128P.2</v>
          </cell>
        </row>
        <row r="12479">
          <cell r="K12479" t="str">
            <v>00111128P.2</v>
          </cell>
        </row>
        <row r="12480">
          <cell r="K12480" t="str">
            <v>00111128P.2</v>
          </cell>
        </row>
        <row r="12481">
          <cell r="K12481" t="str">
            <v>00111128P.2</v>
          </cell>
        </row>
        <row r="12482">
          <cell r="K12482" t="str">
            <v>00111128P.2</v>
          </cell>
        </row>
        <row r="12483">
          <cell r="K12483" t="str">
            <v>00111128P.2</v>
          </cell>
        </row>
        <row r="12484">
          <cell r="K12484" t="str">
            <v>00111128P.2</v>
          </cell>
        </row>
        <row r="12485">
          <cell r="K12485" t="str">
            <v>00111128P.2</v>
          </cell>
        </row>
        <row r="12486">
          <cell r="K12486" t="str">
            <v>00111128P.2</v>
          </cell>
        </row>
        <row r="12487">
          <cell r="K12487" t="str">
            <v>00111128P.2</v>
          </cell>
        </row>
        <row r="12488">
          <cell r="K12488" t="str">
            <v>00111128P.2</v>
          </cell>
        </row>
        <row r="12489">
          <cell r="K12489" t="str">
            <v>00111130P.2</v>
          </cell>
        </row>
        <row r="12490">
          <cell r="K12490" t="str">
            <v>00111130P.2</v>
          </cell>
        </row>
        <row r="12491">
          <cell r="K12491" t="str">
            <v>00111130P.2</v>
          </cell>
        </row>
        <row r="12492">
          <cell r="K12492" t="str">
            <v>00111130P.2</v>
          </cell>
        </row>
        <row r="12493">
          <cell r="K12493" t="str">
            <v>00111130P.2</v>
          </cell>
        </row>
        <row r="12494">
          <cell r="K12494" t="str">
            <v>00111130P.2</v>
          </cell>
        </row>
        <row r="12495">
          <cell r="K12495" t="str">
            <v>00111130P.2</v>
          </cell>
        </row>
        <row r="12496">
          <cell r="K12496" t="str">
            <v>00111130P.2</v>
          </cell>
        </row>
        <row r="12497">
          <cell r="K12497" t="str">
            <v>00111130P.2</v>
          </cell>
        </row>
        <row r="12498">
          <cell r="K12498" t="str">
            <v>00111130P.2</v>
          </cell>
        </row>
        <row r="12499">
          <cell r="K12499" t="str">
            <v>00111130P.2</v>
          </cell>
        </row>
        <row r="12500">
          <cell r="K12500" t="str">
            <v>00111130P.2</v>
          </cell>
        </row>
        <row r="12501">
          <cell r="K12501" t="str">
            <v>00111130P.2</v>
          </cell>
        </row>
        <row r="12502">
          <cell r="K12502" t="str">
            <v>00111130P.2</v>
          </cell>
        </row>
        <row r="12503">
          <cell r="K12503" t="str">
            <v>00111130P.2</v>
          </cell>
        </row>
        <row r="12504">
          <cell r="K12504" t="str">
            <v>00111130P.2</v>
          </cell>
        </row>
        <row r="12505">
          <cell r="K12505" t="str">
            <v>00111130P.2</v>
          </cell>
        </row>
        <row r="12506">
          <cell r="K12506" t="str">
            <v>00111130P.2</v>
          </cell>
        </row>
        <row r="12507">
          <cell r="K12507" t="str">
            <v>00111149P.2</v>
          </cell>
        </row>
        <row r="12508">
          <cell r="K12508" t="str">
            <v>00111153P.2</v>
          </cell>
        </row>
        <row r="12509">
          <cell r="K12509" t="str">
            <v>00111157P.2</v>
          </cell>
        </row>
        <row r="12510">
          <cell r="K12510" t="str">
            <v>00111157P.2</v>
          </cell>
        </row>
        <row r="12511">
          <cell r="K12511" t="str">
            <v>00111157P.2</v>
          </cell>
        </row>
        <row r="12512">
          <cell r="K12512" t="str">
            <v>00111157P.2</v>
          </cell>
        </row>
        <row r="12513">
          <cell r="K12513" t="str">
            <v>00111157P.2</v>
          </cell>
        </row>
        <row r="12514">
          <cell r="K12514" t="str">
            <v>00111157P.2</v>
          </cell>
        </row>
        <row r="12515">
          <cell r="K12515" t="str">
            <v>00111159P.2</v>
          </cell>
        </row>
        <row r="12516">
          <cell r="K12516" t="str">
            <v>00111159P.2</v>
          </cell>
        </row>
        <row r="12517">
          <cell r="K12517" t="str">
            <v>00111159P.2</v>
          </cell>
        </row>
        <row r="12518">
          <cell r="K12518" t="str">
            <v>00111159P.2</v>
          </cell>
        </row>
        <row r="12519">
          <cell r="K12519" t="str">
            <v>00111159P.2</v>
          </cell>
        </row>
        <row r="12520">
          <cell r="K12520" t="str">
            <v>00111159P.2</v>
          </cell>
        </row>
        <row r="12521">
          <cell r="K12521" t="str">
            <v>00111117P.2</v>
          </cell>
        </row>
        <row r="12522">
          <cell r="K12522" t="str">
            <v>00111153P.2</v>
          </cell>
        </row>
        <row r="12523">
          <cell r="K12523" t="str">
            <v>00111149P.2</v>
          </cell>
        </row>
        <row r="12524">
          <cell r="K12524" t="str">
            <v>00111149P.2</v>
          </cell>
        </row>
        <row r="12525">
          <cell r="K12525" t="str">
            <v>00111149P.2</v>
          </cell>
        </row>
        <row r="12526">
          <cell r="K12526" t="str">
            <v>00111149P.2</v>
          </cell>
        </row>
        <row r="12527">
          <cell r="K12527" t="str">
            <v>00111149P.2</v>
          </cell>
        </row>
        <row r="12528">
          <cell r="K12528" t="str">
            <v>00111149P.2</v>
          </cell>
        </row>
        <row r="12529">
          <cell r="K12529" t="str">
            <v>00111149P.2</v>
          </cell>
        </row>
        <row r="12530">
          <cell r="K12530" t="str">
            <v>00111149P.2</v>
          </cell>
        </row>
        <row r="12531">
          <cell r="K12531" t="str">
            <v>00111149P.2</v>
          </cell>
        </row>
        <row r="12532">
          <cell r="K12532" t="str">
            <v>00111149P.2</v>
          </cell>
        </row>
        <row r="12533">
          <cell r="K12533" t="str">
            <v>00111113P.2</v>
          </cell>
        </row>
        <row r="12534">
          <cell r="K12534" t="str">
            <v>00111113P.2</v>
          </cell>
        </row>
        <row r="12535">
          <cell r="K12535" t="str">
            <v>00111113P.2</v>
          </cell>
        </row>
        <row r="12536">
          <cell r="K12536" t="str">
            <v>00111113P.2</v>
          </cell>
        </row>
        <row r="12537">
          <cell r="K12537" t="str">
            <v>00111113P.2</v>
          </cell>
        </row>
        <row r="12538">
          <cell r="K12538" t="str">
            <v>00111113P.2</v>
          </cell>
        </row>
        <row r="12539">
          <cell r="K12539" t="str">
            <v>00111113P.2</v>
          </cell>
        </row>
        <row r="12540">
          <cell r="K12540" t="str">
            <v>00111113P.2</v>
          </cell>
        </row>
        <row r="12541">
          <cell r="K12541" t="str">
            <v>00111121P.2</v>
          </cell>
        </row>
        <row r="12542">
          <cell r="K12542" t="str">
            <v>00111126P.2</v>
          </cell>
        </row>
        <row r="12543">
          <cell r="K12543" t="str">
            <v>00111126P.2</v>
          </cell>
        </row>
        <row r="12544">
          <cell r="K12544" t="str">
            <v>00111126P.2</v>
          </cell>
        </row>
        <row r="12545">
          <cell r="K12545" t="str">
            <v>00111128P.2</v>
          </cell>
        </row>
        <row r="12546">
          <cell r="K12546" t="str">
            <v>00111128P.2</v>
          </cell>
        </row>
        <row r="12547">
          <cell r="K12547" t="str">
            <v>00111128P.2</v>
          </cell>
        </row>
        <row r="12548">
          <cell r="K12548" t="str">
            <v>00111129P.2</v>
          </cell>
        </row>
        <row r="12549">
          <cell r="K12549" t="str">
            <v>00111132P.2</v>
          </cell>
        </row>
        <row r="12550">
          <cell r="K12550" t="str">
            <v>00111132P.2</v>
          </cell>
        </row>
        <row r="12551">
          <cell r="K12551" t="str">
            <v>00111132P.2</v>
          </cell>
        </row>
        <row r="12552">
          <cell r="K12552" t="str">
            <v>00111134P.2</v>
          </cell>
        </row>
        <row r="12553">
          <cell r="K12553" t="str">
            <v>00111135P.2</v>
          </cell>
        </row>
        <row r="12554">
          <cell r="K12554" t="str">
            <v>00111136P.2</v>
          </cell>
        </row>
        <row r="12555">
          <cell r="K12555" t="str">
            <v>00111136P.2</v>
          </cell>
        </row>
        <row r="12556">
          <cell r="K12556" t="str">
            <v>00111136P.2</v>
          </cell>
        </row>
        <row r="12557">
          <cell r="K12557" t="str">
            <v>00111145P.2</v>
          </cell>
        </row>
        <row r="12558">
          <cell r="K12558" t="str">
            <v>00111145P.2</v>
          </cell>
        </row>
        <row r="12559">
          <cell r="K12559" t="str">
            <v>00111145P.2</v>
          </cell>
        </row>
        <row r="12560">
          <cell r="K12560" t="str">
            <v>00111145P.2</v>
          </cell>
        </row>
        <row r="12561">
          <cell r="K12561" t="str">
            <v>00111145P.2</v>
          </cell>
        </row>
        <row r="12562">
          <cell r="K12562" t="str">
            <v>00111145P.2</v>
          </cell>
        </row>
        <row r="12563">
          <cell r="K12563" t="str">
            <v>00111145P.2</v>
          </cell>
        </row>
        <row r="12564">
          <cell r="K12564" t="str">
            <v>00111145P.2</v>
          </cell>
        </row>
        <row r="12565">
          <cell r="K12565" t="str">
            <v>00111145P.2</v>
          </cell>
        </row>
        <row r="12566">
          <cell r="K12566" t="str">
            <v>00111145P.2</v>
          </cell>
        </row>
        <row r="12567">
          <cell r="K12567" t="str">
            <v>00111145P.2</v>
          </cell>
        </row>
        <row r="12568">
          <cell r="K12568" t="str">
            <v>00111145P.2</v>
          </cell>
        </row>
        <row r="12569">
          <cell r="K12569" t="str">
            <v>00111145P.2</v>
          </cell>
        </row>
        <row r="12570">
          <cell r="K12570" t="str">
            <v>00111149P.2</v>
          </cell>
        </row>
        <row r="12571">
          <cell r="K12571" t="str">
            <v>00111153P.2</v>
          </cell>
        </row>
        <row r="12572">
          <cell r="K12572" t="str">
            <v>00111153P.2</v>
          </cell>
        </row>
        <row r="12573">
          <cell r="K12573" t="str">
            <v>00111153P.2</v>
          </cell>
        </row>
        <row r="12574">
          <cell r="K12574" t="str">
            <v>00111153P.2</v>
          </cell>
        </row>
        <row r="12575">
          <cell r="K12575" t="str">
            <v>00111153P.2</v>
          </cell>
        </row>
        <row r="12576">
          <cell r="K12576" t="str">
            <v>00111153P.2</v>
          </cell>
        </row>
        <row r="12577">
          <cell r="K12577" t="str">
            <v>00111153P.2</v>
          </cell>
        </row>
        <row r="12578">
          <cell r="K12578" t="str">
            <v>00111158P.2</v>
          </cell>
        </row>
        <row r="12579">
          <cell r="K12579" t="str">
            <v>00111158P.2</v>
          </cell>
        </row>
        <row r="12580">
          <cell r="K12580" t="str">
            <v>00111159P.2</v>
          </cell>
        </row>
        <row r="12581">
          <cell r="K12581" t="str">
            <v>00111159P.2</v>
          </cell>
        </row>
        <row r="12582">
          <cell r="K12582" t="str">
            <v>00111159P.2</v>
          </cell>
        </row>
        <row r="12583">
          <cell r="K12583" t="str">
            <v>00111159P.2</v>
          </cell>
        </row>
        <row r="12584">
          <cell r="K12584" t="str">
            <v>00111159P.2</v>
          </cell>
        </row>
        <row r="12585">
          <cell r="K12585" t="str">
            <v>00111110P.2</v>
          </cell>
        </row>
        <row r="12586">
          <cell r="K12586" t="str">
            <v>00111111P.2</v>
          </cell>
        </row>
        <row r="12587">
          <cell r="K12587" t="str">
            <v>00111113P.2</v>
          </cell>
        </row>
        <row r="12588">
          <cell r="K12588" t="str">
            <v>00111113P.2</v>
          </cell>
        </row>
        <row r="12589">
          <cell r="K12589" t="str">
            <v>00111113P.2</v>
          </cell>
        </row>
        <row r="12590">
          <cell r="K12590" t="str">
            <v>00111113P.2</v>
          </cell>
        </row>
        <row r="12591">
          <cell r="K12591" t="str">
            <v>00111113P.2</v>
          </cell>
        </row>
        <row r="12592">
          <cell r="K12592" t="str">
            <v>00111113P.2</v>
          </cell>
        </row>
        <row r="12593">
          <cell r="K12593" t="str">
            <v>00111113P.2</v>
          </cell>
        </row>
        <row r="12594">
          <cell r="K12594" t="str">
            <v>00111113P.2</v>
          </cell>
        </row>
        <row r="12595">
          <cell r="K12595" t="str">
            <v>00111117P.2</v>
          </cell>
        </row>
        <row r="12596">
          <cell r="K12596" t="str">
            <v>00111117P.2</v>
          </cell>
        </row>
        <row r="12597">
          <cell r="K12597" t="str">
            <v>00111119P.2</v>
          </cell>
        </row>
        <row r="12598">
          <cell r="K12598" t="str">
            <v>00111120P.2</v>
          </cell>
        </row>
        <row r="12599">
          <cell r="K12599" t="str">
            <v>00111122P.2</v>
          </cell>
        </row>
        <row r="12600">
          <cell r="K12600" t="str">
            <v>00111122P.2</v>
          </cell>
        </row>
        <row r="12601">
          <cell r="K12601" t="str">
            <v>00111122P.2</v>
          </cell>
        </row>
        <row r="12602">
          <cell r="K12602" t="str">
            <v>00111122P.2</v>
          </cell>
        </row>
        <row r="12603">
          <cell r="K12603" t="str">
            <v>00111122P.2</v>
          </cell>
        </row>
        <row r="12604">
          <cell r="K12604" t="str">
            <v>00111124P.2</v>
          </cell>
        </row>
        <row r="12605">
          <cell r="K12605" t="str">
            <v>00111124P.2</v>
          </cell>
        </row>
        <row r="12606">
          <cell r="K12606" t="str">
            <v>00111124P.2</v>
          </cell>
        </row>
        <row r="12607">
          <cell r="K12607" t="str">
            <v>00111126P.2</v>
          </cell>
        </row>
        <row r="12608">
          <cell r="K12608" t="str">
            <v>00111127P.2</v>
          </cell>
        </row>
        <row r="12609">
          <cell r="K12609" t="str">
            <v>00111129P.2</v>
          </cell>
        </row>
        <row r="12610">
          <cell r="K12610" t="str">
            <v>00111129P.2</v>
          </cell>
        </row>
        <row r="12611">
          <cell r="K12611" t="str">
            <v>00111129P.2</v>
          </cell>
        </row>
        <row r="12612">
          <cell r="K12612" t="str">
            <v>00111131P.2</v>
          </cell>
        </row>
        <row r="12613">
          <cell r="K12613" t="str">
            <v>00111132P.2</v>
          </cell>
        </row>
        <row r="12614">
          <cell r="K12614" t="str">
            <v>00111132P.2</v>
          </cell>
        </row>
        <row r="12615">
          <cell r="K12615" t="str">
            <v>00111132P.2</v>
          </cell>
        </row>
        <row r="12616">
          <cell r="K12616" t="str">
            <v>00111132P.2</v>
          </cell>
        </row>
        <row r="12617">
          <cell r="K12617" t="str">
            <v>00111132P.2</v>
          </cell>
        </row>
        <row r="12618">
          <cell r="K12618" t="str">
            <v>00111133P.2</v>
          </cell>
        </row>
        <row r="12619">
          <cell r="K12619" t="str">
            <v>00111136P.2</v>
          </cell>
        </row>
        <row r="12620">
          <cell r="K12620" t="str">
            <v>00111145P.2</v>
          </cell>
        </row>
        <row r="12621">
          <cell r="K12621" t="str">
            <v>00111145P.2</v>
          </cell>
        </row>
        <row r="12622">
          <cell r="K12622" t="str">
            <v>00111145P.2</v>
          </cell>
        </row>
        <row r="12623">
          <cell r="K12623" t="str">
            <v>00111145P.2</v>
          </cell>
        </row>
        <row r="12624">
          <cell r="K12624" t="str">
            <v>00111145P.2</v>
          </cell>
        </row>
        <row r="12625">
          <cell r="K12625" t="str">
            <v>00111145P.2</v>
          </cell>
        </row>
        <row r="12626">
          <cell r="K12626" t="str">
            <v>00111145P.2</v>
          </cell>
        </row>
        <row r="12627">
          <cell r="K12627" t="str">
            <v>00111145P.2</v>
          </cell>
        </row>
        <row r="12628">
          <cell r="K12628" t="str">
            <v>00111145P.2</v>
          </cell>
        </row>
        <row r="12629">
          <cell r="K12629" t="str">
            <v>00111145P.2</v>
          </cell>
        </row>
        <row r="12630">
          <cell r="K12630" t="str">
            <v>00111153P.2</v>
          </cell>
        </row>
        <row r="12631">
          <cell r="K12631" t="str">
            <v>00111153P.2</v>
          </cell>
        </row>
        <row r="12632">
          <cell r="K12632" t="str">
            <v>00111153P.2</v>
          </cell>
        </row>
        <row r="12633">
          <cell r="K12633" t="str">
            <v>00111153P.2</v>
          </cell>
        </row>
        <row r="12634">
          <cell r="K12634" t="str">
            <v>00111153P.2</v>
          </cell>
        </row>
        <row r="12635">
          <cell r="K12635" t="str">
            <v>00111153P.2</v>
          </cell>
        </row>
        <row r="12636">
          <cell r="K12636" t="str">
            <v>00111153P.2</v>
          </cell>
        </row>
        <row r="12637">
          <cell r="K12637" t="str">
            <v>00111153P.2</v>
          </cell>
        </row>
        <row r="12638">
          <cell r="K12638" t="str">
            <v>00111159P.2</v>
          </cell>
        </row>
        <row r="12639">
          <cell r="K12639" t="str">
            <v>00111159P.2</v>
          </cell>
        </row>
        <row r="12640">
          <cell r="K12640" t="str">
            <v>00111159P.2</v>
          </cell>
        </row>
        <row r="12641">
          <cell r="K12641" t="str">
            <v>00111159P.2</v>
          </cell>
        </row>
        <row r="12642">
          <cell r="K12642" t="str">
            <v>00111159P.2</v>
          </cell>
        </row>
        <row r="12643">
          <cell r="K12643" t="str">
            <v>00111159P.2</v>
          </cell>
        </row>
        <row r="12644">
          <cell r="K12644" t="str">
            <v>00111143P.2</v>
          </cell>
        </row>
        <row r="12645">
          <cell r="K12645" t="str">
            <v>00111143P.2</v>
          </cell>
        </row>
        <row r="12646">
          <cell r="K12646" t="str">
            <v>00111143P.2</v>
          </cell>
        </row>
        <row r="12647">
          <cell r="K12647" t="str">
            <v>00111143P.2</v>
          </cell>
        </row>
        <row r="12648">
          <cell r="K12648" t="str">
            <v>00111143P.2</v>
          </cell>
        </row>
        <row r="12649">
          <cell r="K12649" t="str">
            <v>00111143P.2</v>
          </cell>
        </row>
        <row r="12650">
          <cell r="K12650" t="str">
            <v>00111143P.2</v>
          </cell>
        </row>
        <row r="12651">
          <cell r="K12651" t="str">
            <v>00111143P.2</v>
          </cell>
        </row>
        <row r="12652">
          <cell r="K12652" t="str">
            <v>00111143P.2</v>
          </cell>
        </row>
        <row r="12653">
          <cell r="K12653" t="str">
            <v>00111143P.2</v>
          </cell>
        </row>
        <row r="12654">
          <cell r="K12654" t="str">
            <v>00111143P.2</v>
          </cell>
        </row>
        <row r="12655">
          <cell r="K12655" t="str">
            <v>00111110P.2</v>
          </cell>
        </row>
        <row r="12656">
          <cell r="K12656" t="str">
            <v>00111112P.2</v>
          </cell>
        </row>
        <row r="12657">
          <cell r="K12657" t="str">
            <v>00111113P.2</v>
          </cell>
        </row>
        <row r="12658">
          <cell r="K12658" t="str">
            <v>00111113P.2</v>
          </cell>
        </row>
        <row r="12659">
          <cell r="K12659" t="str">
            <v>00111113P.2</v>
          </cell>
        </row>
        <row r="12660">
          <cell r="K12660" t="str">
            <v>00111115P.2</v>
          </cell>
        </row>
        <row r="12661">
          <cell r="K12661" t="str">
            <v>00111118P.2</v>
          </cell>
        </row>
        <row r="12662">
          <cell r="K12662" t="str">
            <v>00111119P.2</v>
          </cell>
        </row>
        <row r="12663">
          <cell r="K12663" t="str">
            <v>00111120P.2</v>
          </cell>
        </row>
        <row r="12664">
          <cell r="K12664" t="str">
            <v>00111120P.2</v>
          </cell>
        </row>
        <row r="12665">
          <cell r="K12665" t="str">
            <v>00111120P.2</v>
          </cell>
        </row>
        <row r="12666">
          <cell r="K12666" t="str">
            <v>00111120P.2</v>
          </cell>
        </row>
        <row r="12667">
          <cell r="K12667" t="str">
            <v>00111122P.2</v>
          </cell>
        </row>
        <row r="12668">
          <cell r="K12668" t="str">
            <v>00111122P.2</v>
          </cell>
        </row>
        <row r="12669">
          <cell r="K12669" t="str">
            <v>00111123P.2</v>
          </cell>
        </row>
        <row r="12670">
          <cell r="K12670" t="str">
            <v>00111123P.2</v>
          </cell>
        </row>
        <row r="12671">
          <cell r="K12671" t="str">
            <v>00111123P.2</v>
          </cell>
        </row>
        <row r="12672">
          <cell r="K12672" t="str">
            <v>00111124P.2</v>
          </cell>
        </row>
        <row r="12673">
          <cell r="K12673" t="str">
            <v>00111125P.2</v>
          </cell>
        </row>
        <row r="12674">
          <cell r="K12674" t="str">
            <v>00111125P.2</v>
          </cell>
        </row>
        <row r="12675">
          <cell r="K12675" t="str">
            <v>00111126P.2</v>
          </cell>
        </row>
        <row r="12676">
          <cell r="K12676" t="str">
            <v>00111126P.2</v>
          </cell>
        </row>
        <row r="12677">
          <cell r="K12677" t="str">
            <v>00111127P.2</v>
          </cell>
        </row>
        <row r="12678">
          <cell r="K12678" t="str">
            <v>00111128P.2</v>
          </cell>
        </row>
        <row r="12679">
          <cell r="K12679" t="str">
            <v>00111128P.2</v>
          </cell>
        </row>
        <row r="12680">
          <cell r="K12680" t="str">
            <v>00111128P.2</v>
          </cell>
        </row>
        <row r="12681">
          <cell r="K12681" t="str">
            <v>00111128P.2</v>
          </cell>
        </row>
        <row r="12682">
          <cell r="K12682" t="str">
            <v>00111129P.2</v>
          </cell>
        </row>
        <row r="12683">
          <cell r="K12683" t="str">
            <v>00111129P.2</v>
          </cell>
        </row>
        <row r="12684">
          <cell r="K12684" t="str">
            <v>00111131P.2</v>
          </cell>
        </row>
        <row r="12685">
          <cell r="K12685" t="str">
            <v>00111132P.2</v>
          </cell>
        </row>
        <row r="12686">
          <cell r="K12686" t="str">
            <v>00111132P.2</v>
          </cell>
        </row>
        <row r="12687">
          <cell r="K12687" t="str">
            <v>00111132P.2</v>
          </cell>
        </row>
        <row r="12688">
          <cell r="K12688" t="str">
            <v>00111132P.2</v>
          </cell>
        </row>
        <row r="12689">
          <cell r="K12689" t="str">
            <v>00111133P.2</v>
          </cell>
        </row>
        <row r="12690">
          <cell r="K12690" t="str">
            <v>00111133P.2</v>
          </cell>
        </row>
        <row r="12691">
          <cell r="K12691" t="str">
            <v>00111133P.2</v>
          </cell>
        </row>
        <row r="12692">
          <cell r="K12692" t="str">
            <v>00111135P.2</v>
          </cell>
        </row>
        <row r="12693">
          <cell r="K12693" t="str">
            <v>00111135P.2</v>
          </cell>
        </row>
        <row r="12694">
          <cell r="K12694" t="str">
            <v>00111135P.2</v>
          </cell>
        </row>
        <row r="12695">
          <cell r="K12695" t="str">
            <v>00111136P.2</v>
          </cell>
        </row>
        <row r="12696">
          <cell r="K12696" t="str">
            <v>00111145P.2</v>
          </cell>
        </row>
        <row r="12697">
          <cell r="K12697" t="str">
            <v>00111145P.2</v>
          </cell>
        </row>
        <row r="12698">
          <cell r="K12698" t="str">
            <v>00111145P.2</v>
          </cell>
        </row>
        <row r="12699">
          <cell r="K12699" t="str">
            <v>00111145P.2</v>
          </cell>
        </row>
        <row r="12700">
          <cell r="K12700" t="str">
            <v>00111149P.2</v>
          </cell>
        </row>
        <row r="12701">
          <cell r="K12701" t="str">
            <v>00111149P.2</v>
          </cell>
        </row>
        <row r="12702">
          <cell r="K12702" t="str">
            <v>00111149P.2</v>
          </cell>
        </row>
        <row r="12703">
          <cell r="K12703" t="str">
            <v>00111149P.2</v>
          </cell>
        </row>
        <row r="12704">
          <cell r="K12704" t="str">
            <v>00111150P.2</v>
          </cell>
        </row>
        <row r="12705">
          <cell r="K12705" t="str">
            <v>00111150P.2</v>
          </cell>
        </row>
        <row r="12706">
          <cell r="K12706" t="str">
            <v>00111150P.2</v>
          </cell>
        </row>
        <row r="12707">
          <cell r="K12707" t="str">
            <v>00111151P.2</v>
          </cell>
        </row>
        <row r="12708">
          <cell r="K12708" t="str">
            <v>00111151P.2</v>
          </cell>
        </row>
        <row r="12709">
          <cell r="K12709" t="str">
            <v>00111153P.2</v>
          </cell>
        </row>
        <row r="12710">
          <cell r="K12710" t="str">
            <v>00111158P.2</v>
          </cell>
        </row>
        <row r="12711">
          <cell r="K12711" t="str">
            <v>00111159P.2</v>
          </cell>
        </row>
        <row r="12712">
          <cell r="K12712" t="str">
            <v>00111110P.2</v>
          </cell>
        </row>
        <row r="12713">
          <cell r="K12713" t="str">
            <v>00111111P.2</v>
          </cell>
        </row>
        <row r="12714">
          <cell r="K12714" t="str">
            <v>00111112P.2</v>
          </cell>
        </row>
        <row r="12715">
          <cell r="K12715" t="str">
            <v>00111112P.2</v>
          </cell>
        </row>
        <row r="12716">
          <cell r="K12716" t="str">
            <v>00111118P.2</v>
          </cell>
        </row>
        <row r="12717">
          <cell r="K12717" t="str">
            <v>00111118P.2</v>
          </cell>
        </row>
        <row r="12718">
          <cell r="K12718" t="str">
            <v>00111118P.2</v>
          </cell>
        </row>
        <row r="12719">
          <cell r="K12719" t="str">
            <v>00111118P.2</v>
          </cell>
        </row>
        <row r="12720">
          <cell r="K12720" t="str">
            <v>00111119P.2</v>
          </cell>
        </row>
        <row r="12721">
          <cell r="K12721" t="str">
            <v>00111120P.2</v>
          </cell>
        </row>
        <row r="12722">
          <cell r="K12722" t="str">
            <v>00111120P.2</v>
          </cell>
        </row>
        <row r="12723">
          <cell r="K12723" t="str">
            <v>00111120P.2</v>
          </cell>
        </row>
        <row r="12724">
          <cell r="K12724" t="str">
            <v>00111120P.2</v>
          </cell>
        </row>
        <row r="12725">
          <cell r="K12725" t="str">
            <v>00111120P.2</v>
          </cell>
        </row>
        <row r="12726">
          <cell r="K12726" t="str">
            <v>00111121P.2</v>
          </cell>
        </row>
        <row r="12727">
          <cell r="K12727" t="str">
            <v>00111122P.2</v>
          </cell>
        </row>
        <row r="12728">
          <cell r="K12728" t="str">
            <v>00111122P.2</v>
          </cell>
        </row>
        <row r="12729">
          <cell r="K12729" t="str">
            <v>00111124P.2</v>
          </cell>
        </row>
        <row r="12730">
          <cell r="K12730" t="str">
            <v>00111124P.2</v>
          </cell>
        </row>
        <row r="12731">
          <cell r="K12731" t="str">
            <v>00111125P.2</v>
          </cell>
        </row>
        <row r="12732">
          <cell r="K12732" t="str">
            <v>00111125P.2</v>
          </cell>
        </row>
        <row r="12733">
          <cell r="K12733" t="str">
            <v>00111125P.2</v>
          </cell>
        </row>
        <row r="12734">
          <cell r="K12734" t="str">
            <v>00111125P.2</v>
          </cell>
        </row>
        <row r="12735">
          <cell r="K12735" t="str">
            <v>00111125P.2</v>
          </cell>
        </row>
        <row r="12736">
          <cell r="K12736" t="str">
            <v>00111126P.2</v>
          </cell>
        </row>
        <row r="12737">
          <cell r="K12737" t="str">
            <v>00111127P.2</v>
          </cell>
        </row>
        <row r="12738">
          <cell r="K12738" t="str">
            <v>00111129P.2</v>
          </cell>
        </row>
        <row r="12739">
          <cell r="K12739" t="str">
            <v>00111130P.2</v>
          </cell>
        </row>
        <row r="12740">
          <cell r="K12740" t="str">
            <v>00111130P.2</v>
          </cell>
        </row>
        <row r="12741">
          <cell r="K12741" t="str">
            <v>00111131P.2</v>
          </cell>
        </row>
        <row r="12742">
          <cell r="K12742" t="str">
            <v>00111131P.2</v>
          </cell>
        </row>
        <row r="12743">
          <cell r="K12743" t="str">
            <v>00111131P.2</v>
          </cell>
        </row>
        <row r="12744">
          <cell r="K12744" t="str">
            <v>00111131P.2</v>
          </cell>
        </row>
        <row r="12745">
          <cell r="K12745" t="str">
            <v>00111133P.2</v>
          </cell>
        </row>
        <row r="12746">
          <cell r="K12746" t="str">
            <v>00111134P.2</v>
          </cell>
        </row>
        <row r="12747">
          <cell r="K12747" t="str">
            <v>00111134P.2</v>
          </cell>
        </row>
        <row r="12748">
          <cell r="K12748" t="str">
            <v>00111135P.2</v>
          </cell>
        </row>
        <row r="12749">
          <cell r="K12749" t="str">
            <v>00111135P.2</v>
          </cell>
        </row>
        <row r="12750">
          <cell r="K12750" t="str">
            <v>00111135P.2</v>
          </cell>
        </row>
        <row r="12751">
          <cell r="K12751" t="str">
            <v>00111136P.2</v>
          </cell>
        </row>
        <row r="12752">
          <cell r="K12752" t="str">
            <v>00111136P.2</v>
          </cell>
        </row>
        <row r="12753">
          <cell r="K12753" t="str">
            <v>00111136P.2</v>
          </cell>
        </row>
        <row r="12754">
          <cell r="K12754" t="str">
            <v>00111158P.2</v>
          </cell>
        </row>
        <row r="12755">
          <cell r="K12755" t="str">
            <v>00111158P.2</v>
          </cell>
        </row>
        <row r="12756">
          <cell r="K12756" t="str">
            <v>00111145P.2</v>
          </cell>
        </row>
        <row r="12757">
          <cell r="K12757" t="str">
            <v>00111145P.2</v>
          </cell>
        </row>
        <row r="12758">
          <cell r="K12758" t="str">
            <v>00111145P.2</v>
          </cell>
        </row>
        <row r="12759">
          <cell r="K12759" t="str">
            <v>00111145P.2</v>
          </cell>
        </row>
        <row r="12760">
          <cell r="K12760" t="str">
            <v>00111149P.2</v>
          </cell>
        </row>
        <row r="12761">
          <cell r="K12761" t="str">
            <v>00111149P.2</v>
          </cell>
        </row>
        <row r="12762">
          <cell r="K12762" t="str">
            <v>00111150P.2</v>
          </cell>
        </row>
        <row r="12763">
          <cell r="K12763" t="str">
            <v>00111150P.2</v>
          </cell>
        </row>
        <row r="12764">
          <cell r="K12764" t="str">
            <v>00111150P.2</v>
          </cell>
        </row>
        <row r="12765">
          <cell r="K12765" t="str">
            <v>00111150P.2</v>
          </cell>
        </row>
        <row r="12766">
          <cell r="K12766" t="str">
            <v>00111153P.2</v>
          </cell>
        </row>
        <row r="12767">
          <cell r="K12767" t="str">
            <v>00111153P.2</v>
          </cell>
        </row>
        <row r="12768">
          <cell r="K12768" t="str">
            <v>00111158P.2</v>
          </cell>
        </row>
        <row r="12769">
          <cell r="K12769" t="str">
            <v>00111159P.2</v>
          </cell>
        </row>
        <row r="12770">
          <cell r="K12770" t="str">
            <v>00111159P.2</v>
          </cell>
        </row>
        <row r="12771">
          <cell r="K12771" t="str">
            <v>00111159P.2</v>
          </cell>
        </row>
        <row r="12772">
          <cell r="K12772" t="str">
            <v>00111110P.2</v>
          </cell>
        </row>
        <row r="12773">
          <cell r="K12773" t="str">
            <v>00111110P.2</v>
          </cell>
        </row>
        <row r="12774">
          <cell r="K12774" t="str">
            <v>00111110P.2</v>
          </cell>
        </row>
        <row r="12775">
          <cell r="K12775" t="str">
            <v>00111110P.2</v>
          </cell>
        </row>
        <row r="12776">
          <cell r="K12776" t="str">
            <v>00111110P.2</v>
          </cell>
        </row>
        <row r="12777">
          <cell r="K12777" t="str">
            <v>00111110P.2</v>
          </cell>
        </row>
        <row r="12778">
          <cell r="K12778" t="str">
            <v>00111110P.2</v>
          </cell>
        </row>
        <row r="12779">
          <cell r="K12779" t="str">
            <v>00111110P.2</v>
          </cell>
        </row>
        <row r="12780">
          <cell r="K12780" t="str">
            <v>00111110P.2</v>
          </cell>
        </row>
        <row r="12781">
          <cell r="K12781" t="str">
            <v>00111110P.2</v>
          </cell>
        </row>
        <row r="12782">
          <cell r="K12782" t="str">
            <v>00111110P.2</v>
          </cell>
        </row>
        <row r="12783">
          <cell r="K12783" t="str">
            <v>00111110P.2</v>
          </cell>
        </row>
        <row r="12784">
          <cell r="K12784" t="str">
            <v>00111110P.2</v>
          </cell>
        </row>
        <row r="12785">
          <cell r="K12785" t="str">
            <v>00111110P.2</v>
          </cell>
        </row>
        <row r="12786">
          <cell r="K12786" t="str">
            <v>00111112P.2</v>
          </cell>
        </row>
        <row r="12787">
          <cell r="K12787" t="str">
            <v>00111112P.2</v>
          </cell>
        </row>
        <row r="12788">
          <cell r="K12788" t="str">
            <v>00111112P.2</v>
          </cell>
        </row>
        <row r="12789">
          <cell r="K12789" t="str">
            <v>00111112P.2</v>
          </cell>
        </row>
        <row r="12790">
          <cell r="K12790" t="str">
            <v>00111112P.2</v>
          </cell>
        </row>
        <row r="12791">
          <cell r="K12791" t="str">
            <v>00111112P.2</v>
          </cell>
        </row>
        <row r="12792">
          <cell r="K12792" t="str">
            <v>00111112P.2</v>
          </cell>
        </row>
        <row r="12793">
          <cell r="K12793" t="str">
            <v>00111112P.2</v>
          </cell>
        </row>
        <row r="12794">
          <cell r="K12794" t="str">
            <v>00111112P.2</v>
          </cell>
        </row>
        <row r="12795">
          <cell r="K12795" t="str">
            <v>00111112P.2</v>
          </cell>
        </row>
        <row r="12796">
          <cell r="K12796" t="str">
            <v>00111112P.2</v>
          </cell>
        </row>
        <row r="12797">
          <cell r="K12797" t="str">
            <v>00111112P.2</v>
          </cell>
        </row>
        <row r="12798">
          <cell r="K12798" t="str">
            <v>00111112P.2</v>
          </cell>
        </row>
        <row r="12799">
          <cell r="K12799" t="str">
            <v>00111112P.2</v>
          </cell>
        </row>
        <row r="12800">
          <cell r="K12800" t="str">
            <v>00111113P.2</v>
          </cell>
        </row>
        <row r="12801">
          <cell r="K12801" t="str">
            <v>00111113P.2</v>
          </cell>
        </row>
        <row r="12802">
          <cell r="K12802" t="str">
            <v>00111113P.2</v>
          </cell>
        </row>
        <row r="12803">
          <cell r="K12803" t="str">
            <v>00111113P.2</v>
          </cell>
        </row>
        <row r="12804">
          <cell r="K12804" t="str">
            <v>00111113P.2</v>
          </cell>
        </row>
        <row r="12805">
          <cell r="K12805" t="str">
            <v>00111113P.2</v>
          </cell>
        </row>
        <row r="12806">
          <cell r="K12806" t="str">
            <v>00111113P.2</v>
          </cell>
        </row>
        <row r="12807">
          <cell r="K12807" t="str">
            <v>00111113P.2</v>
          </cell>
        </row>
        <row r="12808">
          <cell r="K12808" t="str">
            <v>00111113P.2</v>
          </cell>
        </row>
        <row r="12809">
          <cell r="K12809" t="str">
            <v>00111113P.2</v>
          </cell>
        </row>
        <row r="12810">
          <cell r="K12810" t="str">
            <v>00111113P.2</v>
          </cell>
        </row>
        <row r="12811">
          <cell r="K12811" t="str">
            <v>00111113P.2</v>
          </cell>
        </row>
        <row r="12812">
          <cell r="K12812" t="str">
            <v>00111113P.2</v>
          </cell>
        </row>
        <row r="12813">
          <cell r="K12813" t="str">
            <v>00111113P.2</v>
          </cell>
        </row>
        <row r="12814">
          <cell r="K12814" t="str">
            <v>00111117P.2</v>
          </cell>
        </row>
        <row r="12815">
          <cell r="K12815" t="str">
            <v>00111117P.2</v>
          </cell>
        </row>
        <row r="12816">
          <cell r="K12816" t="str">
            <v>00111117P.2</v>
          </cell>
        </row>
        <row r="12817">
          <cell r="K12817" t="str">
            <v>00111117P.2</v>
          </cell>
        </row>
        <row r="12818">
          <cell r="K12818" t="str">
            <v>00111117P.2</v>
          </cell>
        </row>
        <row r="12819">
          <cell r="K12819" t="str">
            <v>00111117P.2</v>
          </cell>
        </row>
        <row r="12820">
          <cell r="K12820" t="str">
            <v>00111117P.2</v>
          </cell>
        </row>
        <row r="12821">
          <cell r="K12821" t="str">
            <v>00111118P.2</v>
          </cell>
        </row>
        <row r="12822">
          <cell r="K12822" t="str">
            <v>00111118P.2</v>
          </cell>
        </row>
        <row r="12823">
          <cell r="K12823" t="str">
            <v>00111120P.2</v>
          </cell>
        </row>
        <row r="12824">
          <cell r="K12824" t="str">
            <v>00111120P.2</v>
          </cell>
        </row>
        <row r="12825">
          <cell r="K12825" t="str">
            <v>00111120P.2</v>
          </cell>
        </row>
        <row r="12826">
          <cell r="K12826" t="str">
            <v>00111120P.2</v>
          </cell>
        </row>
        <row r="12827">
          <cell r="K12827" t="str">
            <v>00111120P.2</v>
          </cell>
        </row>
        <row r="12828">
          <cell r="K12828" t="str">
            <v>00111120P.2</v>
          </cell>
        </row>
        <row r="12829">
          <cell r="K12829" t="str">
            <v>00111122P.2</v>
          </cell>
        </row>
        <row r="12830">
          <cell r="K12830" t="str">
            <v>00111122P.2</v>
          </cell>
        </row>
        <row r="12831">
          <cell r="K12831" t="str">
            <v>00111122P.2</v>
          </cell>
        </row>
        <row r="12832">
          <cell r="K12832" t="str">
            <v>00111122P.2</v>
          </cell>
        </row>
        <row r="12833">
          <cell r="K12833" t="str">
            <v>00111122P.2</v>
          </cell>
        </row>
        <row r="12834">
          <cell r="K12834" t="str">
            <v>00111122P.2</v>
          </cell>
        </row>
        <row r="12835">
          <cell r="K12835" t="str">
            <v>00111122P.2</v>
          </cell>
        </row>
        <row r="12836">
          <cell r="K12836" t="str">
            <v>00111122P.2</v>
          </cell>
        </row>
        <row r="12837">
          <cell r="K12837" t="str">
            <v>00111126P.2</v>
          </cell>
        </row>
        <row r="12838">
          <cell r="K12838" t="str">
            <v>00111126P.2</v>
          </cell>
        </row>
        <row r="12839">
          <cell r="K12839" t="str">
            <v>00111126P.2</v>
          </cell>
        </row>
        <row r="12840">
          <cell r="K12840" t="str">
            <v>00111126P.2</v>
          </cell>
        </row>
        <row r="12841">
          <cell r="K12841" t="str">
            <v>00111126P.2</v>
          </cell>
        </row>
        <row r="12842">
          <cell r="K12842" t="str">
            <v>00111128P.2</v>
          </cell>
        </row>
        <row r="12843">
          <cell r="K12843" t="str">
            <v>00111128P.2</v>
          </cell>
        </row>
        <row r="12844">
          <cell r="K12844" t="str">
            <v>00111128P.2</v>
          </cell>
        </row>
        <row r="12845">
          <cell r="K12845" t="str">
            <v>00111128P.2</v>
          </cell>
        </row>
        <row r="12846">
          <cell r="K12846" t="str">
            <v>00111128P.2</v>
          </cell>
        </row>
        <row r="12847">
          <cell r="K12847" t="str">
            <v>00111128P.2</v>
          </cell>
        </row>
        <row r="12848">
          <cell r="K12848" t="str">
            <v>00111128P.2</v>
          </cell>
        </row>
        <row r="12849">
          <cell r="K12849" t="str">
            <v>00111128P.2</v>
          </cell>
        </row>
        <row r="12850">
          <cell r="K12850" t="str">
            <v>00111128P.2</v>
          </cell>
        </row>
        <row r="12851">
          <cell r="K12851" t="str">
            <v>00111128P.2</v>
          </cell>
        </row>
        <row r="12852">
          <cell r="K12852" t="str">
            <v>00111128P.2</v>
          </cell>
        </row>
        <row r="12853">
          <cell r="K12853" t="str">
            <v>00111128P.2</v>
          </cell>
        </row>
        <row r="12854">
          <cell r="K12854" t="str">
            <v>00111130P.2</v>
          </cell>
        </row>
        <row r="12855">
          <cell r="K12855" t="str">
            <v>00111130P.2</v>
          </cell>
        </row>
        <row r="12856">
          <cell r="K12856" t="str">
            <v>00111130P.2</v>
          </cell>
        </row>
        <row r="12857">
          <cell r="K12857" t="str">
            <v>00111130P.2</v>
          </cell>
        </row>
        <row r="12858">
          <cell r="K12858" t="str">
            <v>00111130P.2</v>
          </cell>
        </row>
        <row r="12859">
          <cell r="K12859" t="str">
            <v>00111130P.2</v>
          </cell>
        </row>
        <row r="12860">
          <cell r="K12860" t="str">
            <v>00111130P.2</v>
          </cell>
        </row>
        <row r="12861">
          <cell r="K12861" t="str">
            <v>00111130P.2</v>
          </cell>
        </row>
        <row r="12862">
          <cell r="K12862" t="str">
            <v>00111130P.2</v>
          </cell>
        </row>
        <row r="12863">
          <cell r="K12863" t="str">
            <v>00111130P.2</v>
          </cell>
        </row>
        <row r="12864">
          <cell r="K12864" t="str">
            <v>00111130P.2</v>
          </cell>
        </row>
        <row r="12865">
          <cell r="K12865" t="str">
            <v>00111131P.2</v>
          </cell>
        </row>
        <row r="12866">
          <cell r="K12866" t="str">
            <v>00111131P.2</v>
          </cell>
        </row>
        <row r="12867">
          <cell r="K12867" t="str">
            <v>00111131P.2</v>
          </cell>
        </row>
        <row r="12868">
          <cell r="K12868" t="str">
            <v>00111131P.2</v>
          </cell>
        </row>
        <row r="12869">
          <cell r="K12869" t="str">
            <v>00111131P.2</v>
          </cell>
        </row>
        <row r="12870">
          <cell r="K12870" t="str">
            <v>00111131P.2</v>
          </cell>
        </row>
        <row r="12871">
          <cell r="K12871" t="str">
            <v>00111131P.2</v>
          </cell>
        </row>
        <row r="12872">
          <cell r="K12872" t="str">
            <v>00111131P.2</v>
          </cell>
        </row>
        <row r="12873">
          <cell r="K12873" t="str">
            <v>00111131P.2</v>
          </cell>
        </row>
        <row r="12874">
          <cell r="K12874" t="str">
            <v>00111131P.2</v>
          </cell>
        </row>
        <row r="12875">
          <cell r="K12875" t="str">
            <v>00111155P.2</v>
          </cell>
        </row>
        <row r="12876">
          <cell r="K12876" t="str">
            <v>00111155P.2</v>
          </cell>
        </row>
        <row r="12877">
          <cell r="K12877" t="str">
            <v>00111155P.2</v>
          </cell>
        </row>
        <row r="12878">
          <cell r="K12878" t="str">
            <v>00111134P.2</v>
          </cell>
        </row>
        <row r="12879">
          <cell r="K12879" t="str">
            <v>00111134P.2</v>
          </cell>
        </row>
        <row r="12880">
          <cell r="K12880" t="str">
            <v>00111134P.2</v>
          </cell>
        </row>
        <row r="12881">
          <cell r="K12881" t="str">
            <v>00111134P.2</v>
          </cell>
        </row>
        <row r="12882">
          <cell r="K12882" t="str">
            <v>00111134P.2</v>
          </cell>
        </row>
        <row r="12883">
          <cell r="K12883" t="str">
            <v>00111134P.2</v>
          </cell>
        </row>
        <row r="12884">
          <cell r="K12884" t="str">
            <v>00111136P.2</v>
          </cell>
        </row>
        <row r="12885">
          <cell r="K12885" t="str">
            <v>00111136P.2</v>
          </cell>
        </row>
        <row r="12886">
          <cell r="K12886" t="str">
            <v>00111136P.2</v>
          </cell>
        </row>
        <row r="12887">
          <cell r="K12887" t="str">
            <v>00111136P.2</v>
          </cell>
        </row>
        <row r="12888">
          <cell r="K12888" t="str">
            <v>00111136P.2</v>
          </cell>
        </row>
        <row r="12889">
          <cell r="K12889" t="str">
            <v>00111136P.2</v>
          </cell>
        </row>
        <row r="12890">
          <cell r="K12890" t="str">
            <v>00111136P.2</v>
          </cell>
        </row>
        <row r="12891">
          <cell r="K12891" t="str">
            <v>00111136P.2</v>
          </cell>
        </row>
        <row r="12892">
          <cell r="K12892" t="str">
            <v>00111136P.2</v>
          </cell>
        </row>
        <row r="12893">
          <cell r="K12893" t="str">
            <v>00111136P.2</v>
          </cell>
        </row>
        <row r="12894">
          <cell r="K12894" t="str">
            <v>00111136P.2</v>
          </cell>
        </row>
        <row r="12895">
          <cell r="K12895" t="str">
            <v>00111136P.2</v>
          </cell>
        </row>
        <row r="12896">
          <cell r="K12896" t="str">
            <v>00111136P.2</v>
          </cell>
        </row>
        <row r="12897">
          <cell r="K12897" t="str">
            <v>00111158P.2</v>
          </cell>
        </row>
        <row r="12898">
          <cell r="K12898" t="str">
            <v>00111158P.2</v>
          </cell>
        </row>
        <row r="12899">
          <cell r="K12899" t="str">
            <v>00111153P.2</v>
          </cell>
        </row>
        <row r="12900">
          <cell r="K12900" t="str">
            <v>00111153P.2</v>
          </cell>
        </row>
        <row r="12901">
          <cell r="K12901" t="str">
            <v>00111153P.2</v>
          </cell>
        </row>
        <row r="12902">
          <cell r="K12902" t="str">
            <v>00111153P.2</v>
          </cell>
        </row>
        <row r="12903">
          <cell r="K12903" t="str">
            <v>00111159P.2</v>
          </cell>
        </row>
        <row r="12904">
          <cell r="K12904" t="str">
            <v>00111159P.2</v>
          </cell>
        </row>
        <row r="12905">
          <cell r="K12905" t="str">
            <v>00111159P.2</v>
          </cell>
        </row>
        <row r="12906">
          <cell r="K12906" t="str">
            <v>00111159P.2</v>
          </cell>
        </row>
        <row r="12907">
          <cell r="K12907" t="str">
            <v>00111159P.2</v>
          </cell>
        </row>
        <row r="12908">
          <cell r="K12908" t="str">
            <v>00111159P.2</v>
          </cell>
        </row>
        <row r="12909">
          <cell r="K12909" t="str">
            <v>00111159P.2</v>
          </cell>
        </row>
        <row r="12910">
          <cell r="K12910" t="str">
            <v>00111159P.2</v>
          </cell>
        </row>
        <row r="12911">
          <cell r="K12911" t="str">
            <v>00111159P.2</v>
          </cell>
        </row>
        <row r="12912">
          <cell r="K12912" t="str">
            <v>00111106P.2</v>
          </cell>
        </row>
        <row r="12913">
          <cell r="K12913" t="str">
            <v>00111158P.2</v>
          </cell>
        </row>
        <row r="12914">
          <cell r="K12914" t="str">
            <v>00111158P.2</v>
          </cell>
        </row>
        <row r="12915">
          <cell r="K12915" t="str">
            <v>00111158P.2</v>
          </cell>
        </row>
        <row r="12916">
          <cell r="K12916" t="str">
            <v>00111140P.2</v>
          </cell>
        </row>
        <row r="12917">
          <cell r="K12917" t="str">
            <v>00111140P.2</v>
          </cell>
        </row>
        <row r="12918">
          <cell r="K12918" t="str">
            <v>00111140P.2</v>
          </cell>
        </row>
        <row r="12919">
          <cell r="K12919" t="str">
            <v>00111140P.2</v>
          </cell>
        </row>
        <row r="12920">
          <cell r="K12920" t="str">
            <v>00111140P.2</v>
          </cell>
        </row>
        <row r="12921">
          <cell r="K12921" t="str">
            <v>00111140P.2</v>
          </cell>
        </row>
        <row r="12922">
          <cell r="K12922" t="str">
            <v>00111145P.2</v>
          </cell>
        </row>
        <row r="12923">
          <cell r="K12923" t="str">
            <v>00111145P.2</v>
          </cell>
        </row>
        <row r="12924">
          <cell r="K12924" t="str">
            <v>00111145P.2</v>
          </cell>
        </row>
        <row r="12925">
          <cell r="K12925" t="str">
            <v>00111145P.2</v>
          </cell>
        </row>
        <row r="12926">
          <cell r="K12926" t="str">
            <v>00111145P.2</v>
          </cell>
        </row>
        <row r="12927">
          <cell r="K12927" t="str">
            <v>00111145P.2</v>
          </cell>
        </row>
        <row r="12928">
          <cell r="K12928" t="str">
            <v>00111145P.2</v>
          </cell>
        </row>
        <row r="12929">
          <cell r="K12929" t="str">
            <v>00111145P.2</v>
          </cell>
        </row>
        <row r="12930">
          <cell r="K12930" t="str">
            <v>00111145P.2</v>
          </cell>
        </row>
        <row r="12931">
          <cell r="K12931" t="str">
            <v>00111145P.2</v>
          </cell>
        </row>
        <row r="12932">
          <cell r="K12932" t="str">
            <v>00111145P.2</v>
          </cell>
        </row>
        <row r="12933">
          <cell r="K12933" t="str">
            <v>00111145P.2</v>
          </cell>
        </row>
        <row r="12934">
          <cell r="K12934" t="str">
            <v>00111145P.2</v>
          </cell>
        </row>
        <row r="12935">
          <cell r="K12935" t="str">
            <v>00111145P.2</v>
          </cell>
        </row>
        <row r="12936">
          <cell r="K12936" t="str">
            <v>00111145P.2</v>
          </cell>
        </row>
        <row r="12937">
          <cell r="K12937" t="str">
            <v>00111149P.2</v>
          </cell>
        </row>
        <row r="12938">
          <cell r="K12938" t="str">
            <v>00111149P.2</v>
          </cell>
        </row>
        <row r="12939">
          <cell r="K12939" t="str">
            <v>00111149P.2</v>
          </cell>
        </row>
        <row r="12940">
          <cell r="K12940" t="str">
            <v>00111149P.2</v>
          </cell>
        </row>
        <row r="12941">
          <cell r="K12941" t="str">
            <v>00111149P.2</v>
          </cell>
        </row>
        <row r="12942">
          <cell r="K12942" t="str">
            <v>00111149P.2</v>
          </cell>
        </row>
        <row r="12943">
          <cell r="K12943" t="str">
            <v>00111149P.2</v>
          </cell>
        </row>
        <row r="12944">
          <cell r="K12944" t="str">
            <v>00111149P.2</v>
          </cell>
        </row>
        <row r="12945">
          <cell r="K12945" t="str">
            <v>00111149P.2</v>
          </cell>
        </row>
        <row r="12946">
          <cell r="K12946" t="str">
            <v>00111149P.2</v>
          </cell>
        </row>
        <row r="12947">
          <cell r="K12947" t="str">
            <v>00111149P.2</v>
          </cell>
        </row>
        <row r="12948">
          <cell r="K12948" t="str">
            <v>00111149P.2</v>
          </cell>
        </row>
        <row r="12949">
          <cell r="K12949" t="str">
            <v>00111149P.2</v>
          </cell>
        </row>
        <row r="12950">
          <cell r="K12950" t="str">
            <v>00111149P.2</v>
          </cell>
        </row>
        <row r="12951">
          <cell r="K12951" t="str">
            <v>00111149P.2</v>
          </cell>
        </row>
        <row r="12952">
          <cell r="K12952" t="str">
            <v>00111149P.2</v>
          </cell>
        </row>
        <row r="12953">
          <cell r="K12953" t="str">
            <v>00111143P.2</v>
          </cell>
        </row>
        <row r="12954">
          <cell r="K12954" t="str">
            <v>00111143P.2</v>
          </cell>
        </row>
        <row r="12955">
          <cell r="K12955" t="str">
            <v>00111150P.2</v>
          </cell>
        </row>
        <row r="12956">
          <cell r="K12956" t="str">
            <v>00111150P.2</v>
          </cell>
        </row>
        <row r="12957">
          <cell r="K12957" t="str">
            <v>00111150P.2</v>
          </cell>
        </row>
        <row r="12958">
          <cell r="K12958" t="str">
            <v>00111150P.2</v>
          </cell>
        </row>
        <row r="12959">
          <cell r="K12959" t="str">
            <v>00111150P.2</v>
          </cell>
        </row>
        <row r="12960">
          <cell r="K12960" t="str">
            <v>00111150P.2</v>
          </cell>
        </row>
        <row r="12961">
          <cell r="K12961" t="str">
            <v>00111150P.2</v>
          </cell>
        </row>
        <row r="12962">
          <cell r="K12962" t="str">
            <v>00111148P.2</v>
          </cell>
        </row>
        <row r="12963">
          <cell r="K12963" t="str">
            <v>00111148P.2</v>
          </cell>
        </row>
        <row r="12964">
          <cell r="K12964" t="str">
            <v>00111148P.2</v>
          </cell>
        </row>
        <row r="12965">
          <cell r="K12965" t="str">
            <v>00111148P.2</v>
          </cell>
        </row>
        <row r="12966">
          <cell r="K12966" t="str">
            <v>00111148P.2</v>
          </cell>
        </row>
        <row r="12967">
          <cell r="K12967" t="str">
            <v>00111148P.2</v>
          </cell>
        </row>
        <row r="12968">
          <cell r="K12968" t="str">
            <v>00111148P.2</v>
          </cell>
        </row>
        <row r="12969">
          <cell r="K12969" t="str">
            <v>00111148P.2</v>
          </cell>
        </row>
        <row r="12970">
          <cell r="K12970" t="str">
            <v>00111157P.2</v>
          </cell>
        </row>
        <row r="12971">
          <cell r="K12971" t="str">
            <v>00111157P.2</v>
          </cell>
        </row>
        <row r="12972">
          <cell r="K12972" t="str">
            <v>00111157P.2</v>
          </cell>
        </row>
        <row r="12973">
          <cell r="K12973" t="str">
            <v>00111157P.2</v>
          </cell>
        </row>
        <row r="12974">
          <cell r="K12974" t="str">
            <v>00111157P.2</v>
          </cell>
        </row>
        <row r="12975">
          <cell r="K12975" t="str">
            <v>00111157P.2</v>
          </cell>
        </row>
        <row r="12976">
          <cell r="K12976" t="str">
            <v>00111157P.2</v>
          </cell>
        </row>
        <row r="12977">
          <cell r="K12977" t="str">
            <v>00111157P.2</v>
          </cell>
        </row>
        <row r="12978">
          <cell r="K12978" t="str">
            <v>00111109P.2</v>
          </cell>
        </row>
        <row r="12979">
          <cell r="K12979" t="str">
            <v>00111109P.2</v>
          </cell>
        </row>
        <row r="12980">
          <cell r="K12980" t="str">
            <v>00111109P.2</v>
          </cell>
        </row>
        <row r="12981">
          <cell r="K12981" t="str">
            <v>00111109P.2</v>
          </cell>
        </row>
        <row r="12982">
          <cell r="K12982" t="str">
            <v>00111109P.2</v>
          </cell>
        </row>
        <row r="12983">
          <cell r="K12983" t="str">
            <v>00111109P.2</v>
          </cell>
        </row>
        <row r="12984">
          <cell r="K12984" t="str">
            <v>00111109P.2</v>
          </cell>
        </row>
        <row r="12985">
          <cell r="K12985" t="str">
            <v>00111109P.2</v>
          </cell>
        </row>
        <row r="12986">
          <cell r="K12986" t="str">
            <v>00111109P.2</v>
          </cell>
        </row>
        <row r="12987">
          <cell r="K12987" t="str">
            <v>00111109P.2</v>
          </cell>
        </row>
        <row r="12988">
          <cell r="K12988" t="str">
            <v>00111109P.2</v>
          </cell>
        </row>
        <row r="12989">
          <cell r="K12989" t="str">
            <v>00111109P.2</v>
          </cell>
        </row>
        <row r="12990">
          <cell r="K12990" t="str">
            <v>00111109P.2</v>
          </cell>
        </row>
        <row r="12991">
          <cell r="K12991" t="str">
            <v>00111109P.2</v>
          </cell>
        </row>
        <row r="12992">
          <cell r="K12992" t="str">
            <v>00111109P.2</v>
          </cell>
        </row>
        <row r="12993">
          <cell r="K12993" t="str">
            <v>00111109P.2</v>
          </cell>
        </row>
        <row r="12994">
          <cell r="K12994" t="str">
            <v>00111109P.2</v>
          </cell>
        </row>
        <row r="12995">
          <cell r="K12995" t="str">
            <v>00111109P.2</v>
          </cell>
        </row>
        <row r="12996">
          <cell r="K12996" t="str">
            <v>00111109P.2</v>
          </cell>
        </row>
        <row r="12997">
          <cell r="K12997" t="str">
            <v>00111109P.2</v>
          </cell>
        </row>
        <row r="12998">
          <cell r="K12998" t="str">
            <v>00111109P.2</v>
          </cell>
        </row>
        <row r="12999">
          <cell r="K12999" t="str">
            <v>00111106P.2</v>
          </cell>
        </row>
        <row r="13000">
          <cell r="K13000" t="str">
            <v>00111106P.2</v>
          </cell>
        </row>
        <row r="13001">
          <cell r="K13001" t="str">
            <v>00111106P.2</v>
          </cell>
        </row>
        <row r="13002">
          <cell r="K13002" t="str">
            <v>00111106P.2</v>
          </cell>
        </row>
        <row r="13003">
          <cell r="K13003" t="str">
            <v>00111106P.2</v>
          </cell>
        </row>
        <row r="13004">
          <cell r="K13004" t="str">
            <v>00111106P.2</v>
          </cell>
        </row>
        <row r="13005">
          <cell r="K13005" t="str">
            <v>00111107P.2</v>
          </cell>
        </row>
        <row r="13006">
          <cell r="K13006" t="str">
            <v>00111107P.2</v>
          </cell>
        </row>
        <row r="13007">
          <cell r="K13007" t="str">
            <v>00111107P.2</v>
          </cell>
        </row>
        <row r="13008">
          <cell r="K13008" t="str">
            <v>00111110P.2</v>
          </cell>
        </row>
        <row r="13009">
          <cell r="K13009" t="str">
            <v>00111110P.2</v>
          </cell>
        </row>
        <row r="13010">
          <cell r="K13010" t="str">
            <v>00111110P.2</v>
          </cell>
        </row>
        <row r="13011">
          <cell r="K13011" t="str">
            <v>00111110P.2</v>
          </cell>
        </row>
        <row r="13012">
          <cell r="K13012" t="str">
            <v>00111110P.2</v>
          </cell>
        </row>
        <row r="13013">
          <cell r="K13013" t="str">
            <v>00111111P.2</v>
          </cell>
        </row>
        <row r="13014">
          <cell r="K13014" t="str">
            <v>00111111P.2</v>
          </cell>
        </row>
        <row r="13015">
          <cell r="K13015" t="str">
            <v>00111111P.2</v>
          </cell>
        </row>
        <row r="13016">
          <cell r="K13016" t="str">
            <v>00111111P.2</v>
          </cell>
        </row>
        <row r="13017">
          <cell r="K13017" t="str">
            <v>00111111P.2</v>
          </cell>
        </row>
        <row r="13018">
          <cell r="K13018" t="str">
            <v>00111111P.2</v>
          </cell>
        </row>
        <row r="13019">
          <cell r="K13019" t="str">
            <v>00111111P.2</v>
          </cell>
        </row>
        <row r="13020">
          <cell r="K13020" t="str">
            <v>00111111P.2</v>
          </cell>
        </row>
        <row r="13021">
          <cell r="K13021" t="str">
            <v>00111111P.2</v>
          </cell>
        </row>
        <row r="13022">
          <cell r="K13022" t="str">
            <v>00111111P.2</v>
          </cell>
        </row>
        <row r="13023">
          <cell r="K13023" t="str">
            <v>00111111P.2</v>
          </cell>
        </row>
        <row r="13024">
          <cell r="K13024" t="str">
            <v>00111111P.2</v>
          </cell>
        </row>
        <row r="13025">
          <cell r="K13025" t="str">
            <v>00111111P.2</v>
          </cell>
        </row>
        <row r="13026">
          <cell r="K13026" t="str">
            <v>00111111P.2</v>
          </cell>
        </row>
        <row r="13027">
          <cell r="K13027" t="str">
            <v>00111111P.2</v>
          </cell>
        </row>
        <row r="13028">
          <cell r="K13028" t="str">
            <v>00111113P.2</v>
          </cell>
        </row>
        <row r="13029">
          <cell r="K13029" t="str">
            <v>00111113P.2</v>
          </cell>
        </row>
        <row r="13030">
          <cell r="K13030" t="str">
            <v>00111113P.2</v>
          </cell>
        </row>
        <row r="13031">
          <cell r="K13031" t="str">
            <v>00111113P.2</v>
          </cell>
        </row>
        <row r="13032">
          <cell r="K13032" t="str">
            <v>00111113P.2</v>
          </cell>
        </row>
        <row r="13033">
          <cell r="K13033" t="str">
            <v>00111113P.2</v>
          </cell>
        </row>
        <row r="13034">
          <cell r="K13034" t="str">
            <v>00111113P.2</v>
          </cell>
        </row>
        <row r="13035">
          <cell r="K13035" t="str">
            <v>00111113P.2</v>
          </cell>
        </row>
        <row r="13036">
          <cell r="K13036" t="str">
            <v>00111113P.2</v>
          </cell>
        </row>
        <row r="13037">
          <cell r="K13037" t="str">
            <v>00111113P.2</v>
          </cell>
        </row>
        <row r="13038">
          <cell r="K13038" t="str">
            <v>00111113P.2</v>
          </cell>
        </row>
        <row r="13039">
          <cell r="K13039" t="str">
            <v>00111114P.2</v>
          </cell>
        </row>
        <row r="13040">
          <cell r="K13040" t="str">
            <v>00111114P.2</v>
          </cell>
        </row>
        <row r="13041">
          <cell r="K13041" t="str">
            <v>00111114P.2</v>
          </cell>
        </row>
        <row r="13042">
          <cell r="K13042" t="str">
            <v>00111114P.2</v>
          </cell>
        </row>
        <row r="13043">
          <cell r="K13043" t="str">
            <v>00111114P.2</v>
          </cell>
        </row>
        <row r="13044">
          <cell r="K13044" t="str">
            <v>00111115P.2</v>
          </cell>
        </row>
        <row r="13045">
          <cell r="K13045" t="str">
            <v>00111115P.2</v>
          </cell>
        </row>
        <row r="13046">
          <cell r="K13046" t="str">
            <v>00111115P.2</v>
          </cell>
        </row>
        <row r="13047">
          <cell r="K13047" t="str">
            <v>00111115P.2</v>
          </cell>
        </row>
        <row r="13048">
          <cell r="K13048" t="str">
            <v>00111115P.2</v>
          </cell>
        </row>
        <row r="13049">
          <cell r="K13049" t="str">
            <v>00111115P.2</v>
          </cell>
        </row>
        <row r="13050">
          <cell r="K13050" t="str">
            <v>00111115P.2</v>
          </cell>
        </row>
        <row r="13051">
          <cell r="K13051" t="str">
            <v>00111116P.2</v>
          </cell>
        </row>
        <row r="13052">
          <cell r="K13052" t="str">
            <v>00111116P.2</v>
          </cell>
        </row>
        <row r="13053">
          <cell r="K13053" t="str">
            <v>00111117P.2</v>
          </cell>
        </row>
        <row r="13054">
          <cell r="K13054" t="str">
            <v>00111117P.2</v>
          </cell>
        </row>
        <row r="13055">
          <cell r="K13055" t="str">
            <v>00111117P.2</v>
          </cell>
        </row>
        <row r="13056">
          <cell r="K13056" t="str">
            <v>00111117P.2</v>
          </cell>
        </row>
        <row r="13057">
          <cell r="K13057" t="str">
            <v>00111117P.2</v>
          </cell>
        </row>
        <row r="13058">
          <cell r="K13058" t="str">
            <v>00111117P.2</v>
          </cell>
        </row>
        <row r="13059">
          <cell r="K13059" t="str">
            <v>00111117P.2</v>
          </cell>
        </row>
        <row r="13060">
          <cell r="K13060" t="str">
            <v>00111117P.2</v>
          </cell>
        </row>
        <row r="13061">
          <cell r="K13061" t="str">
            <v>00111117P.2</v>
          </cell>
        </row>
        <row r="13062">
          <cell r="K13062" t="str">
            <v>00111117P.2</v>
          </cell>
        </row>
        <row r="13063">
          <cell r="K13063" t="str">
            <v>00111117P.2</v>
          </cell>
        </row>
        <row r="13064">
          <cell r="K13064" t="str">
            <v>00111117P.2</v>
          </cell>
        </row>
        <row r="13065">
          <cell r="K13065" t="str">
            <v>00111117P.2</v>
          </cell>
        </row>
        <row r="13066">
          <cell r="K13066" t="str">
            <v>00111117P.2</v>
          </cell>
        </row>
        <row r="13067">
          <cell r="K13067" t="str">
            <v>00111118P.2</v>
          </cell>
        </row>
        <row r="13068">
          <cell r="K13068" t="str">
            <v>00111118P.2</v>
          </cell>
        </row>
        <row r="13069">
          <cell r="K13069" t="str">
            <v>00111118P.2</v>
          </cell>
        </row>
        <row r="13070">
          <cell r="K13070" t="str">
            <v>00111118P.2</v>
          </cell>
        </row>
        <row r="13071">
          <cell r="K13071" t="str">
            <v>00111118P.2</v>
          </cell>
        </row>
        <row r="13072">
          <cell r="K13072" t="str">
            <v>00111118P.2</v>
          </cell>
        </row>
        <row r="13073">
          <cell r="K13073" t="str">
            <v>00111118P.2</v>
          </cell>
        </row>
        <row r="13074">
          <cell r="K13074" t="str">
            <v>00111118P.2</v>
          </cell>
        </row>
        <row r="13075">
          <cell r="K13075" t="str">
            <v>00111120P.2</v>
          </cell>
        </row>
        <row r="13076">
          <cell r="K13076" t="str">
            <v>00111120P.2</v>
          </cell>
        </row>
        <row r="13077">
          <cell r="K13077" t="str">
            <v>00111120P.2</v>
          </cell>
        </row>
        <row r="13078">
          <cell r="K13078" t="str">
            <v>00111120P.2</v>
          </cell>
        </row>
        <row r="13079">
          <cell r="K13079" t="str">
            <v>00111120P.2</v>
          </cell>
        </row>
        <row r="13080">
          <cell r="K13080" t="str">
            <v>00111120P.2</v>
          </cell>
        </row>
        <row r="13081">
          <cell r="K13081" t="str">
            <v>00111121P.2</v>
          </cell>
        </row>
        <row r="13082">
          <cell r="K13082" t="str">
            <v>00111121P.2</v>
          </cell>
        </row>
        <row r="13083">
          <cell r="K13083" t="str">
            <v>00111121P.2</v>
          </cell>
        </row>
        <row r="13084">
          <cell r="K13084" t="str">
            <v>00111121P.2</v>
          </cell>
        </row>
        <row r="13085">
          <cell r="K13085" t="str">
            <v>00111121P.2</v>
          </cell>
        </row>
        <row r="13086">
          <cell r="K13086" t="str">
            <v>00111121P.2</v>
          </cell>
        </row>
        <row r="13087">
          <cell r="K13087" t="str">
            <v>00111121P.2</v>
          </cell>
        </row>
        <row r="13088">
          <cell r="K13088" t="str">
            <v>00111122P.2</v>
          </cell>
        </row>
        <row r="13089">
          <cell r="K13089" t="str">
            <v>00111122P.2</v>
          </cell>
        </row>
        <row r="13090">
          <cell r="K13090" t="str">
            <v>00111122P.2</v>
          </cell>
        </row>
        <row r="13091">
          <cell r="K13091" t="str">
            <v>00111122P.2</v>
          </cell>
        </row>
        <row r="13092">
          <cell r="K13092" t="str">
            <v>00111122P.2</v>
          </cell>
        </row>
        <row r="13093">
          <cell r="K13093" t="str">
            <v>00111122P.2</v>
          </cell>
        </row>
        <row r="13094">
          <cell r="K13094" t="str">
            <v>00111123P.2</v>
          </cell>
        </row>
        <row r="13095">
          <cell r="K13095" t="str">
            <v>00111123P.2</v>
          </cell>
        </row>
        <row r="13096">
          <cell r="K13096" t="str">
            <v>00111123P.2</v>
          </cell>
        </row>
        <row r="13097">
          <cell r="K13097" t="str">
            <v>00111123P.2</v>
          </cell>
        </row>
        <row r="13098">
          <cell r="K13098" t="str">
            <v>00111123P.2</v>
          </cell>
        </row>
        <row r="13099">
          <cell r="K13099" t="str">
            <v>00111123P.2</v>
          </cell>
        </row>
        <row r="13100">
          <cell r="K13100" t="str">
            <v>00111123P.2</v>
          </cell>
        </row>
        <row r="13101">
          <cell r="K13101" t="str">
            <v>00111123P.2</v>
          </cell>
        </row>
        <row r="13102">
          <cell r="K13102" t="str">
            <v>00111123P.2</v>
          </cell>
        </row>
        <row r="13103">
          <cell r="K13103" t="str">
            <v>00111123P.2</v>
          </cell>
        </row>
        <row r="13104">
          <cell r="K13104" t="str">
            <v>00111124P.2</v>
          </cell>
        </row>
        <row r="13105">
          <cell r="K13105" t="str">
            <v>00111124P.2</v>
          </cell>
        </row>
        <row r="13106">
          <cell r="K13106" t="str">
            <v>00111124P.2</v>
          </cell>
        </row>
        <row r="13107">
          <cell r="K13107" t="str">
            <v>00111124P.2</v>
          </cell>
        </row>
        <row r="13108">
          <cell r="K13108" t="str">
            <v>00111124P.2</v>
          </cell>
        </row>
        <row r="13109">
          <cell r="K13109" t="str">
            <v>00111124P.2</v>
          </cell>
        </row>
        <row r="13110">
          <cell r="K13110" t="str">
            <v>00111124P.2</v>
          </cell>
        </row>
        <row r="13111">
          <cell r="K13111" t="str">
            <v>00111124P.2</v>
          </cell>
        </row>
        <row r="13112">
          <cell r="K13112" t="str">
            <v>00111124P.2</v>
          </cell>
        </row>
        <row r="13113">
          <cell r="K13113" t="str">
            <v>00111125P.2</v>
          </cell>
        </row>
        <row r="13114">
          <cell r="K13114" t="str">
            <v>00111125P.2</v>
          </cell>
        </row>
        <row r="13115">
          <cell r="K13115" t="str">
            <v>00111125P.2</v>
          </cell>
        </row>
        <row r="13116">
          <cell r="K13116" t="str">
            <v>00111125P.2</v>
          </cell>
        </row>
        <row r="13117">
          <cell r="K13117" t="str">
            <v>00111125P.2</v>
          </cell>
        </row>
        <row r="13118">
          <cell r="K13118" t="str">
            <v>00111125P.2</v>
          </cell>
        </row>
        <row r="13119">
          <cell r="K13119" t="str">
            <v>00111126P.2</v>
          </cell>
        </row>
        <row r="13120">
          <cell r="K13120" t="str">
            <v>00111126P.2</v>
          </cell>
        </row>
        <row r="13121">
          <cell r="K13121" t="str">
            <v>00111126P.2</v>
          </cell>
        </row>
        <row r="13122">
          <cell r="K13122" t="str">
            <v>00111126P.2</v>
          </cell>
        </row>
        <row r="13123">
          <cell r="K13123" t="str">
            <v>00111126P.2</v>
          </cell>
        </row>
        <row r="13124">
          <cell r="K13124" t="str">
            <v>00111126P.2</v>
          </cell>
        </row>
        <row r="13125">
          <cell r="K13125" t="str">
            <v>00111126P.2</v>
          </cell>
        </row>
        <row r="13126">
          <cell r="K13126" t="str">
            <v>00111127P.2</v>
          </cell>
        </row>
        <row r="13127">
          <cell r="K13127" t="str">
            <v>00111127P.2</v>
          </cell>
        </row>
        <row r="13128">
          <cell r="K13128" t="str">
            <v>00111127P.2</v>
          </cell>
        </row>
        <row r="13129">
          <cell r="K13129" t="str">
            <v>00111127P.2</v>
          </cell>
        </row>
        <row r="13130">
          <cell r="K13130" t="str">
            <v>00111128P.2</v>
          </cell>
        </row>
        <row r="13131">
          <cell r="K13131" t="str">
            <v>00111128P.2</v>
          </cell>
        </row>
        <row r="13132">
          <cell r="K13132" t="str">
            <v>00111128P.2</v>
          </cell>
        </row>
        <row r="13133">
          <cell r="K13133" t="str">
            <v>00111128P.2</v>
          </cell>
        </row>
        <row r="13134">
          <cell r="K13134" t="str">
            <v>00111128P.2</v>
          </cell>
        </row>
        <row r="13135">
          <cell r="K13135" t="str">
            <v>00111128P.2</v>
          </cell>
        </row>
        <row r="13136">
          <cell r="K13136" t="str">
            <v>00111128P.2</v>
          </cell>
        </row>
        <row r="13137">
          <cell r="K13137" t="str">
            <v>00111128P.2</v>
          </cell>
        </row>
        <row r="13138">
          <cell r="K13138" t="str">
            <v>00111128P.2</v>
          </cell>
        </row>
        <row r="13139">
          <cell r="K13139" t="str">
            <v>00111128P.2</v>
          </cell>
        </row>
        <row r="13140">
          <cell r="K13140" t="str">
            <v>00111128P.2</v>
          </cell>
        </row>
        <row r="13141">
          <cell r="K13141" t="str">
            <v>00111128P.2</v>
          </cell>
        </row>
        <row r="13142">
          <cell r="K13142" t="str">
            <v>00111128P.2</v>
          </cell>
        </row>
        <row r="13143">
          <cell r="K13143" t="str">
            <v>00111128P.2</v>
          </cell>
        </row>
        <row r="13144">
          <cell r="K13144" t="str">
            <v>00111129P.2</v>
          </cell>
        </row>
        <row r="13145">
          <cell r="K13145" t="str">
            <v>00111129P.2</v>
          </cell>
        </row>
        <row r="13146">
          <cell r="K13146" t="str">
            <v>00111129P.2</v>
          </cell>
        </row>
        <row r="13147">
          <cell r="K13147" t="str">
            <v>00111129P.2</v>
          </cell>
        </row>
        <row r="13148">
          <cell r="K13148" t="str">
            <v>00111129P.2</v>
          </cell>
        </row>
        <row r="13149">
          <cell r="K13149" t="str">
            <v>00111129P.2</v>
          </cell>
        </row>
        <row r="13150">
          <cell r="K13150" t="str">
            <v>00111129P.2</v>
          </cell>
        </row>
        <row r="13151">
          <cell r="K13151" t="str">
            <v>00111129P.2</v>
          </cell>
        </row>
        <row r="13152">
          <cell r="K13152" t="str">
            <v>00111129P.2</v>
          </cell>
        </row>
        <row r="13153">
          <cell r="K13153" t="str">
            <v>00111129P.2</v>
          </cell>
        </row>
        <row r="13154">
          <cell r="K13154" t="str">
            <v>00111129P.2</v>
          </cell>
        </row>
        <row r="13155">
          <cell r="K13155" t="str">
            <v>00111130P.2</v>
          </cell>
        </row>
        <row r="13156">
          <cell r="K13156" t="str">
            <v>00111130P.2</v>
          </cell>
        </row>
        <row r="13157">
          <cell r="K13157" t="str">
            <v>00111130P.2</v>
          </cell>
        </row>
        <row r="13158">
          <cell r="K13158" t="str">
            <v>00111130P.2</v>
          </cell>
        </row>
        <row r="13159">
          <cell r="K13159" t="str">
            <v>00111130P.2</v>
          </cell>
        </row>
        <row r="13160">
          <cell r="K13160" t="str">
            <v>00111130P.2</v>
          </cell>
        </row>
        <row r="13161">
          <cell r="K13161" t="str">
            <v>00111130P.2</v>
          </cell>
        </row>
        <row r="13162">
          <cell r="K13162" t="str">
            <v>00111130P.2</v>
          </cell>
        </row>
        <row r="13163">
          <cell r="K13163" t="str">
            <v>00111130P.2</v>
          </cell>
        </row>
        <row r="13164">
          <cell r="K13164" t="str">
            <v>00111130P.2</v>
          </cell>
        </row>
        <row r="13165">
          <cell r="K13165" t="str">
            <v>00111130P.2</v>
          </cell>
        </row>
        <row r="13166">
          <cell r="K13166" t="str">
            <v>00111130P.2</v>
          </cell>
        </row>
        <row r="13167">
          <cell r="K13167" t="str">
            <v>00111131P.2</v>
          </cell>
        </row>
        <row r="13168">
          <cell r="K13168" t="str">
            <v>00111131P.2</v>
          </cell>
        </row>
        <row r="13169">
          <cell r="K13169" t="str">
            <v>00111131P.2</v>
          </cell>
        </row>
        <row r="13170">
          <cell r="K13170" t="str">
            <v>00111131P.2</v>
          </cell>
        </row>
        <row r="13171">
          <cell r="K13171" t="str">
            <v>00111131P.2</v>
          </cell>
        </row>
        <row r="13172">
          <cell r="K13172" t="str">
            <v>00111131P.2</v>
          </cell>
        </row>
        <row r="13173">
          <cell r="K13173" t="str">
            <v>00111131P.2</v>
          </cell>
        </row>
        <row r="13174">
          <cell r="K13174" t="str">
            <v>00111131P.2</v>
          </cell>
        </row>
        <row r="13175">
          <cell r="K13175" t="str">
            <v>00111131P.2</v>
          </cell>
        </row>
        <row r="13176">
          <cell r="K13176" t="str">
            <v>00111132P.2</v>
          </cell>
        </row>
        <row r="13177">
          <cell r="K13177" t="str">
            <v>00111132P.2</v>
          </cell>
        </row>
        <row r="13178">
          <cell r="K13178" t="str">
            <v>00111132P.2</v>
          </cell>
        </row>
        <row r="13179">
          <cell r="K13179" t="str">
            <v>00111132P.2</v>
          </cell>
        </row>
        <row r="13180">
          <cell r="K13180" t="str">
            <v>00111132P.2</v>
          </cell>
        </row>
        <row r="13181">
          <cell r="K13181" t="str">
            <v>00111132P.2</v>
          </cell>
        </row>
        <row r="13182">
          <cell r="K13182" t="str">
            <v>00111132P.2</v>
          </cell>
        </row>
        <row r="13183">
          <cell r="K13183" t="str">
            <v>00111133P.2</v>
          </cell>
        </row>
        <row r="13184">
          <cell r="K13184" t="str">
            <v>00111133P.2</v>
          </cell>
        </row>
        <row r="13185">
          <cell r="K13185" t="str">
            <v>00111133P.2</v>
          </cell>
        </row>
        <row r="13186">
          <cell r="K13186" t="str">
            <v>00111133P.2</v>
          </cell>
        </row>
        <row r="13187">
          <cell r="K13187" t="str">
            <v>00111133P.2</v>
          </cell>
        </row>
        <row r="13188">
          <cell r="K13188" t="str">
            <v>00111133P.2</v>
          </cell>
        </row>
        <row r="13189">
          <cell r="K13189" t="str">
            <v>00111133P.2</v>
          </cell>
        </row>
        <row r="13190">
          <cell r="K13190" t="str">
            <v>00111133P.2</v>
          </cell>
        </row>
        <row r="13191">
          <cell r="K13191" t="str">
            <v>00111133P.2</v>
          </cell>
        </row>
        <row r="13192">
          <cell r="K13192" t="str">
            <v>00111134P.2</v>
          </cell>
        </row>
        <row r="13193">
          <cell r="K13193" t="str">
            <v>00111134P.2</v>
          </cell>
        </row>
        <row r="13194">
          <cell r="K13194" t="str">
            <v>00111134P.2</v>
          </cell>
        </row>
        <row r="13195">
          <cell r="K13195" t="str">
            <v>00111134P.2</v>
          </cell>
        </row>
        <row r="13196">
          <cell r="K13196" t="str">
            <v>00111134P.2</v>
          </cell>
        </row>
        <row r="13197">
          <cell r="K13197" t="str">
            <v>00111134P.2</v>
          </cell>
        </row>
        <row r="13198">
          <cell r="K13198" t="str">
            <v>00111134P.2</v>
          </cell>
        </row>
        <row r="13199">
          <cell r="K13199" t="str">
            <v>00111135P.2</v>
          </cell>
        </row>
        <row r="13200">
          <cell r="K13200" t="str">
            <v>00111135P.2</v>
          </cell>
        </row>
        <row r="13201">
          <cell r="K13201" t="str">
            <v>00111135P.2</v>
          </cell>
        </row>
        <row r="13202">
          <cell r="K13202" t="str">
            <v>00111135P.2</v>
          </cell>
        </row>
        <row r="13203">
          <cell r="K13203" t="str">
            <v>00111135P.2</v>
          </cell>
        </row>
        <row r="13204">
          <cell r="K13204" t="str">
            <v>00111135P.2</v>
          </cell>
        </row>
        <row r="13205">
          <cell r="K13205" t="str">
            <v>00111135P.2</v>
          </cell>
        </row>
        <row r="13206">
          <cell r="K13206" t="str">
            <v>00111135P.2</v>
          </cell>
        </row>
        <row r="13207">
          <cell r="K13207" t="str">
            <v>00111135P.2</v>
          </cell>
        </row>
        <row r="13208">
          <cell r="K13208" t="str">
            <v>00111135P.2</v>
          </cell>
        </row>
        <row r="13209">
          <cell r="K13209" t="str">
            <v>00111135P.2</v>
          </cell>
        </row>
        <row r="13210">
          <cell r="K13210" t="str">
            <v>00111135P.2</v>
          </cell>
        </row>
        <row r="13211">
          <cell r="K13211" t="str">
            <v>00111135P.2</v>
          </cell>
        </row>
        <row r="13212">
          <cell r="K13212" t="str">
            <v>00111136P.2</v>
          </cell>
        </row>
        <row r="13213">
          <cell r="K13213" t="str">
            <v>00111136P.2</v>
          </cell>
        </row>
        <row r="13214">
          <cell r="K13214" t="str">
            <v>00111136P.2</v>
          </cell>
        </row>
        <row r="13215">
          <cell r="K13215" t="str">
            <v>00111136P.2</v>
          </cell>
        </row>
        <row r="13216">
          <cell r="K13216" t="str">
            <v>00111136P.2</v>
          </cell>
        </row>
        <row r="13217">
          <cell r="K13217" t="str">
            <v>00111136P.2</v>
          </cell>
        </row>
        <row r="13218">
          <cell r="K13218" t="str">
            <v>00111136P.2</v>
          </cell>
        </row>
        <row r="13219">
          <cell r="K13219" t="str">
            <v>00111136P.2</v>
          </cell>
        </row>
        <row r="13220">
          <cell r="K13220" t="str">
            <v>00111136P.2</v>
          </cell>
        </row>
        <row r="13221">
          <cell r="K13221" t="str">
            <v>00111136P.2</v>
          </cell>
        </row>
        <row r="13222">
          <cell r="K13222" t="str">
            <v>00111136P.2</v>
          </cell>
        </row>
        <row r="13223">
          <cell r="K13223" t="str">
            <v>00111158P.2</v>
          </cell>
        </row>
        <row r="13224">
          <cell r="K13224" t="str">
            <v>00111158P.2</v>
          </cell>
        </row>
        <row r="13225">
          <cell r="K13225" t="str">
            <v>00111158P.2</v>
          </cell>
        </row>
        <row r="13226">
          <cell r="K13226" t="str">
            <v>00111158P.2</v>
          </cell>
        </row>
        <row r="13227">
          <cell r="K13227" t="str">
            <v>00111138P.2</v>
          </cell>
        </row>
        <row r="13228">
          <cell r="K13228" t="str">
            <v>00111138P.2</v>
          </cell>
        </row>
        <row r="13229">
          <cell r="K13229" t="str">
            <v>00111138P.2</v>
          </cell>
        </row>
        <row r="13230">
          <cell r="K13230" t="str">
            <v>00111138P.2</v>
          </cell>
        </row>
        <row r="13231">
          <cell r="K13231" t="str">
            <v>00111138P.2</v>
          </cell>
        </row>
        <row r="13232">
          <cell r="K13232" t="str">
            <v>00111138P.2</v>
          </cell>
        </row>
        <row r="13233">
          <cell r="K13233" t="str">
            <v>00111139P.2</v>
          </cell>
        </row>
        <row r="13234">
          <cell r="K13234" t="str">
            <v>00111139P.2</v>
          </cell>
        </row>
        <row r="13235">
          <cell r="K13235" t="str">
            <v>00111139P.2</v>
          </cell>
        </row>
        <row r="13236">
          <cell r="K13236" t="str">
            <v>00111140P.2</v>
          </cell>
        </row>
        <row r="13237">
          <cell r="K13237" t="str">
            <v>00111140P.2</v>
          </cell>
        </row>
        <row r="13238">
          <cell r="K13238" t="str">
            <v>00111140P.2</v>
          </cell>
        </row>
        <row r="13239">
          <cell r="K13239" t="str">
            <v>00111140P.2</v>
          </cell>
        </row>
        <row r="13240">
          <cell r="K13240" t="str">
            <v>00111140P.2</v>
          </cell>
        </row>
        <row r="13241">
          <cell r="K13241" t="str">
            <v>00111145P.2</v>
          </cell>
        </row>
        <row r="13242">
          <cell r="K13242" t="str">
            <v>00111145P.2</v>
          </cell>
        </row>
        <row r="13243">
          <cell r="K13243" t="str">
            <v>00111145P.2</v>
          </cell>
        </row>
        <row r="13244">
          <cell r="K13244" t="str">
            <v>00111145P.2</v>
          </cell>
        </row>
        <row r="13245">
          <cell r="K13245" t="str">
            <v>00111145P.2</v>
          </cell>
        </row>
        <row r="13246">
          <cell r="K13246" t="str">
            <v>00111145P.2</v>
          </cell>
        </row>
        <row r="13247">
          <cell r="K13247" t="str">
            <v>00111145P.2</v>
          </cell>
        </row>
        <row r="13248">
          <cell r="K13248" t="str">
            <v>00111145P.2</v>
          </cell>
        </row>
        <row r="13249">
          <cell r="K13249" t="str">
            <v>00111145P.2</v>
          </cell>
        </row>
        <row r="13250">
          <cell r="K13250" t="str">
            <v>00111145P.2</v>
          </cell>
        </row>
        <row r="13251">
          <cell r="K13251" t="str">
            <v>00111145P.2</v>
          </cell>
        </row>
        <row r="13252">
          <cell r="K13252" t="str">
            <v>00111145P.2</v>
          </cell>
        </row>
        <row r="13253">
          <cell r="K13253" t="str">
            <v>00111148P.2</v>
          </cell>
        </row>
        <row r="13254">
          <cell r="K13254" t="str">
            <v>00111148P.2</v>
          </cell>
        </row>
        <row r="13255">
          <cell r="K13255" t="str">
            <v>00111148P.2</v>
          </cell>
        </row>
        <row r="13256">
          <cell r="K13256" t="str">
            <v>00111148P.2</v>
          </cell>
        </row>
        <row r="13257">
          <cell r="K13257" t="str">
            <v>00111148P.2</v>
          </cell>
        </row>
        <row r="13258">
          <cell r="K13258" t="str">
            <v>00111148P.2</v>
          </cell>
        </row>
        <row r="13259">
          <cell r="K13259" t="str">
            <v>00111148P.2</v>
          </cell>
        </row>
        <row r="13260">
          <cell r="K13260" t="str">
            <v>00111148P.2</v>
          </cell>
        </row>
        <row r="13261">
          <cell r="K13261" t="str">
            <v>00111149P.2</v>
          </cell>
        </row>
        <row r="13262">
          <cell r="K13262" t="str">
            <v>00111149P.2</v>
          </cell>
        </row>
        <row r="13263">
          <cell r="K13263" t="str">
            <v>00111149P.2</v>
          </cell>
        </row>
        <row r="13264">
          <cell r="K13264" t="str">
            <v>00111149P.2</v>
          </cell>
        </row>
        <row r="13265">
          <cell r="K13265" t="str">
            <v>00111149P.2</v>
          </cell>
        </row>
        <row r="13266">
          <cell r="K13266" t="str">
            <v>00111149P.2</v>
          </cell>
        </row>
        <row r="13267">
          <cell r="K13267" t="str">
            <v>00111149P.2</v>
          </cell>
        </row>
        <row r="13268">
          <cell r="K13268" t="str">
            <v>00111149P.2</v>
          </cell>
        </row>
        <row r="13269">
          <cell r="K13269" t="str">
            <v>00111149P.2</v>
          </cell>
        </row>
        <row r="13270">
          <cell r="K13270" t="str">
            <v>00111149P.2</v>
          </cell>
        </row>
        <row r="13271">
          <cell r="K13271" t="str">
            <v>00111149P.2</v>
          </cell>
        </row>
        <row r="13272">
          <cell r="K13272" t="str">
            <v>00111149P.2</v>
          </cell>
        </row>
        <row r="13273">
          <cell r="K13273" t="str">
            <v>00111149P.2</v>
          </cell>
        </row>
        <row r="13274">
          <cell r="K13274" t="str">
            <v>00111149P.2</v>
          </cell>
        </row>
        <row r="13275">
          <cell r="K13275" t="str">
            <v>00111149P.2</v>
          </cell>
        </row>
        <row r="13276">
          <cell r="K13276" t="str">
            <v>00111149P.2</v>
          </cell>
        </row>
        <row r="13277">
          <cell r="K13277" t="str">
            <v>00111149P.2</v>
          </cell>
        </row>
        <row r="13278">
          <cell r="K13278" t="str">
            <v>00111149P.2</v>
          </cell>
        </row>
        <row r="13279">
          <cell r="K13279" t="str">
            <v>00111150P.2</v>
          </cell>
        </row>
        <row r="13280">
          <cell r="K13280" t="str">
            <v>00111150P.2</v>
          </cell>
        </row>
        <row r="13281">
          <cell r="K13281" t="str">
            <v>00111150P.2</v>
          </cell>
        </row>
        <row r="13282">
          <cell r="K13282" t="str">
            <v>00111153P.2</v>
          </cell>
        </row>
        <row r="13283">
          <cell r="K13283" t="str">
            <v>00111153P.2</v>
          </cell>
        </row>
        <row r="13284">
          <cell r="K13284" t="str">
            <v>00111153P.2</v>
          </cell>
        </row>
        <row r="13285">
          <cell r="K13285" t="str">
            <v>00111157P.2</v>
          </cell>
        </row>
        <row r="13286">
          <cell r="K13286" t="str">
            <v>00111157P.2</v>
          </cell>
        </row>
        <row r="13287">
          <cell r="K13287" t="str">
            <v>00111157P.2</v>
          </cell>
        </row>
        <row r="13288">
          <cell r="K13288" t="str">
            <v>00111157P.2</v>
          </cell>
        </row>
        <row r="13289">
          <cell r="K13289" t="str">
            <v>00111157P.2</v>
          </cell>
        </row>
        <row r="13290">
          <cell r="K13290" t="str">
            <v>00111158P.2</v>
          </cell>
        </row>
        <row r="13291">
          <cell r="K13291" t="str">
            <v>00111158P.2</v>
          </cell>
        </row>
        <row r="13292">
          <cell r="K13292" t="str">
            <v>00111158P.2</v>
          </cell>
        </row>
        <row r="13293">
          <cell r="K13293" t="str">
            <v>00111158P.2</v>
          </cell>
        </row>
        <row r="13294">
          <cell r="K13294" t="str">
            <v>00111158P.2</v>
          </cell>
        </row>
        <row r="13295">
          <cell r="K13295" t="str">
            <v>00111158P.2</v>
          </cell>
        </row>
        <row r="13296">
          <cell r="K13296" t="str">
            <v>00111158P.2</v>
          </cell>
        </row>
        <row r="13297">
          <cell r="K13297" t="str">
            <v>00111158P.2</v>
          </cell>
        </row>
        <row r="13298">
          <cell r="K13298" t="str">
            <v>00111159P.2</v>
          </cell>
        </row>
        <row r="13299">
          <cell r="K13299" t="str">
            <v>00111159P.2</v>
          </cell>
        </row>
        <row r="13300">
          <cell r="K13300" t="str">
            <v>00111159P.2</v>
          </cell>
        </row>
        <row r="13301">
          <cell r="K13301" t="str">
            <v>00111159P.2</v>
          </cell>
        </row>
        <row r="13302">
          <cell r="K13302" t="str">
            <v>00111159P.2</v>
          </cell>
        </row>
        <row r="13303">
          <cell r="K13303" t="str">
            <v>00111159P.2</v>
          </cell>
        </row>
        <row r="13304">
          <cell r="K13304" t="str">
            <v>00111143P.2</v>
          </cell>
        </row>
        <row r="13305">
          <cell r="K13305" t="str">
            <v>00111143P.2</v>
          </cell>
        </row>
        <row r="13306">
          <cell r="K13306" t="str">
            <v>00111143P.2</v>
          </cell>
        </row>
        <row r="13307">
          <cell r="K13307" t="str">
            <v>00111143P.2</v>
          </cell>
        </row>
        <row r="13308">
          <cell r="K13308" t="str">
            <v>00111128P.2</v>
          </cell>
        </row>
        <row r="13309">
          <cell r="K13309" t="str">
            <v>00111128P.2</v>
          </cell>
        </row>
        <row r="13310">
          <cell r="K13310" t="str">
            <v>00111128P.2</v>
          </cell>
        </row>
        <row r="13311">
          <cell r="K13311" t="str">
            <v>00111128P.2</v>
          </cell>
        </row>
        <row r="13312">
          <cell r="K13312" t="str">
            <v>00111128P.2</v>
          </cell>
        </row>
        <row r="13313">
          <cell r="K13313" t="str">
            <v>00111128P.2</v>
          </cell>
        </row>
        <row r="13314">
          <cell r="K13314" t="str">
            <v>00111122P.2</v>
          </cell>
        </row>
        <row r="13315">
          <cell r="K13315" t="str">
            <v>00111122P.2</v>
          </cell>
        </row>
        <row r="13316">
          <cell r="K13316" t="str">
            <v>00111122P.2</v>
          </cell>
        </row>
        <row r="13317">
          <cell r="K13317" t="str">
            <v>00111122P.2</v>
          </cell>
        </row>
        <row r="13318">
          <cell r="K13318" t="str">
            <v>00111122P.2</v>
          </cell>
        </row>
        <row r="13319">
          <cell r="K13319" t="str">
            <v>00111122P.2</v>
          </cell>
        </row>
        <row r="13320">
          <cell r="K13320" t="str">
            <v>00111122P.2</v>
          </cell>
        </row>
        <row r="13321">
          <cell r="K13321" t="str">
            <v>00111122P.2</v>
          </cell>
        </row>
        <row r="13322">
          <cell r="K13322" t="str">
            <v>00111122P.2</v>
          </cell>
        </row>
        <row r="13323">
          <cell r="K13323" t="str">
            <v>00111122P.2</v>
          </cell>
        </row>
        <row r="13324">
          <cell r="K13324" t="str">
            <v>00111122P.2</v>
          </cell>
        </row>
        <row r="13325">
          <cell r="K13325" t="str">
            <v>00111132P.2</v>
          </cell>
        </row>
        <row r="13326">
          <cell r="K13326" t="str">
            <v>00111132P.2</v>
          </cell>
        </row>
        <row r="13327">
          <cell r="K13327" t="str">
            <v>00111154P.2</v>
          </cell>
        </row>
        <row r="13328">
          <cell r="K13328" t="str">
            <v>00111154P.2</v>
          </cell>
        </row>
        <row r="13329">
          <cell r="K13329" t="str">
            <v>00111154P.2</v>
          </cell>
        </row>
        <row r="13330">
          <cell r="K13330" t="str">
            <v>00111154P.2</v>
          </cell>
        </row>
        <row r="13331">
          <cell r="K13331" t="str">
            <v>00111143P.2</v>
          </cell>
        </row>
        <row r="13332">
          <cell r="K13332" t="str">
            <v>00111143P.2</v>
          </cell>
        </row>
        <row r="13333">
          <cell r="K13333" t="str">
            <v>00111143P.2</v>
          </cell>
        </row>
        <row r="13334">
          <cell r="K13334" t="str">
            <v>00111143P.2</v>
          </cell>
        </row>
        <row r="13335">
          <cell r="K13335" t="str">
            <v>00111143P.2</v>
          </cell>
        </row>
        <row r="13336">
          <cell r="K13336" t="str">
            <v>00111143P.2</v>
          </cell>
        </row>
        <row r="13337">
          <cell r="K13337" t="str">
            <v>00111143P.2</v>
          </cell>
        </row>
        <row r="13338">
          <cell r="K13338" t="str">
            <v>00111143P.2</v>
          </cell>
        </row>
        <row r="13339">
          <cell r="K13339" t="str">
            <v>00111157P.2</v>
          </cell>
        </row>
        <row r="13340">
          <cell r="K13340" t="str">
            <v>00111157P.2</v>
          </cell>
        </row>
        <row r="13341">
          <cell r="K13341" t="str">
            <v>00111157P.2</v>
          </cell>
        </row>
        <row r="13342">
          <cell r="K13342" t="str">
            <v>00111157P.2</v>
          </cell>
        </row>
        <row r="13343">
          <cell r="K13343" t="str">
            <v>00111156P.2</v>
          </cell>
        </row>
        <row r="13344">
          <cell r="K13344" t="str">
            <v>00111156P.2</v>
          </cell>
        </row>
        <row r="13345">
          <cell r="K13345" t="str">
            <v>00111156P.2</v>
          </cell>
        </row>
        <row r="13346">
          <cell r="K13346" t="str">
            <v>00111156P.2</v>
          </cell>
        </row>
        <row r="13347">
          <cell r="K13347" t="str">
            <v>00111156P.2</v>
          </cell>
        </row>
        <row r="13348">
          <cell r="K13348" t="str">
            <v>00111160P.2</v>
          </cell>
        </row>
        <row r="13349">
          <cell r="K13349" t="str">
            <v>00111160P.2</v>
          </cell>
        </row>
        <row r="13350">
          <cell r="K13350" t="str">
            <v>00111160P.2</v>
          </cell>
        </row>
        <row r="13351">
          <cell r="K13351" t="str">
            <v>00111160P.2</v>
          </cell>
        </row>
        <row r="13352">
          <cell r="K13352" t="str">
            <v>00111129P.2</v>
          </cell>
        </row>
        <row r="13353">
          <cell r="K13353" t="str">
            <v>00111129P.2</v>
          </cell>
        </row>
        <row r="13354">
          <cell r="K13354" t="str">
            <v>00111147P.2</v>
          </cell>
        </row>
        <row r="13355">
          <cell r="K13355" t="str">
            <v>00111147P.2</v>
          </cell>
        </row>
        <row r="13356">
          <cell r="K13356" t="str">
            <v>00111147P.2</v>
          </cell>
        </row>
        <row r="13357">
          <cell r="K13357" t="str">
            <v>00111147P.2</v>
          </cell>
        </row>
        <row r="13358">
          <cell r="K13358" t="str">
            <v>00111147P.2</v>
          </cell>
        </row>
        <row r="13359">
          <cell r="K13359" t="str">
            <v>00111147P.2</v>
          </cell>
        </row>
        <row r="13360">
          <cell r="K13360" t="str">
            <v>00111147P.2</v>
          </cell>
        </row>
        <row r="13361">
          <cell r="K13361" t="str">
            <v>00111147P.2</v>
          </cell>
        </row>
        <row r="13362">
          <cell r="K13362" t="str">
            <v>00111147P.2</v>
          </cell>
        </row>
        <row r="13363">
          <cell r="K13363" t="str">
            <v>00111154P.2</v>
          </cell>
        </row>
        <row r="13364">
          <cell r="K13364" t="str">
            <v>00111154P.2</v>
          </cell>
        </row>
        <row r="13365">
          <cell r="K13365" t="str">
            <v>00111154P.2</v>
          </cell>
        </row>
        <row r="13366">
          <cell r="K13366" t="str">
            <v>00111154P.2</v>
          </cell>
        </row>
        <row r="13367">
          <cell r="K13367" t="str">
            <v>00111154P.2</v>
          </cell>
        </row>
        <row r="13368">
          <cell r="K13368" t="str">
            <v>00111154P.2</v>
          </cell>
        </row>
        <row r="13369">
          <cell r="K13369" t="str">
            <v>00111154P.2</v>
          </cell>
        </row>
        <row r="13370">
          <cell r="K13370" t="str">
            <v>00111154P.2</v>
          </cell>
        </row>
        <row r="13371">
          <cell r="K13371" t="str">
            <v>00111154P.2</v>
          </cell>
        </row>
        <row r="13372">
          <cell r="K13372" t="str">
            <v>00111154P.2</v>
          </cell>
        </row>
        <row r="13373">
          <cell r="K13373" t="str">
            <v>00111154P.2</v>
          </cell>
        </row>
        <row r="13374">
          <cell r="K13374" t="str">
            <v>00111154P.2</v>
          </cell>
        </row>
        <row r="13375">
          <cell r="K13375" t="str">
            <v>00111105P.2</v>
          </cell>
        </row>
        <row r="13376">
          <cell r="K13376" t="str">
            <v>00111105P.2</v>
          </cell>
        </row>
        <row r="13377">
          <cell r="K13377" t="str">
            <v>00111105P.2</v>
          </cell>
        </row>
        <row r="13378">
          <cell r="K13378" t="str">
            <v>00111105P.2</v>
          </cell>
        </row>
        <row r="13379">
          <cell r="K13379" t="str">
            <v>00111112P.2</v>
          </cell>
        </row>
        <row r="13380">
          <cell r="K13380" t="str">
            <v>00111105P.2</v>
          </cell>
        </row>
        <row r="13381">
          <cell r="K13381" t="str">
            <v>00111110P.2</v>
          </cell>
        </row>
        <row r="13382">
          <cell r="K13382" t="str">
            <v>00111110P.2</v>
          </cell>
        </row>
        <row r="13383">
          <cell r="K13383" t="str">
            <v>00111110P.2</v>
          </cell>
        </row>
        <row r="13384">
          <cell r="K13384" t="str">
            <v>00111112P.2</v>
          </cell>
        </row>
        <row r="13385">
          <cell r="K13385" t="str">
            <v>00111133P.2</v>
          </cell>
        </row>
        <row r="13386">
          <cell r="K13386" t="str">
            <v>00111141P.2</v>
          </cell>
        </row>
        <row r="13387">
          <cell r="K13387" t="str">
            <v>00111142P.2</v>
          </cell>
        </row>
        <row r="13388">
          <cell r="K13388" t="str">
            <v>00111144P.2</v>
          </cell>
        </row>
        <row r="13389">
          <cell r="K13389" t="str">
            <v>00111144P.2</v>
          </cell>
        </row>
        <row r="13390">
          <cell r="K13390" t="str">
            <v>00111142P.2</v>
          </cell>
        </row>
        <row r="13391">
          <cell r="K13391" t="str">
            <v>00111142P.2</v>
          </cell>
        </row>
        <row r="13392">
          <cell r="K13392" t="str">
            <v>00111142P.2</v>
          </cell>
        </row>
        <row r="13393">
          <cell r="K13393" t="str">
            <v>00111142P.2</v>
          </cell>
        </row>
        <row r="13394">
          <cell r="K13394" t="str">
            <v>00111142P.2</v>
          </cell>
        </row>
        <row r="13395">
          <cell r="K13395" t="str">
            <v>00111141P.2</v>
          </cell>
        </row>
        <row r="13396">
          <cell r="K13396" t="str">
            <v>00111141P.2</v>
          </cell>
        </row>
        <row r="13397">
          <cell r="K13397" t="str">
            <v>00111102P.2</v>
          </cell>
        </row>
        <row r="13398">
          <cell r="K13398" t="str">
            <v>00111102P.2</v>
          </cell>
        </row>
        <row r="13399">
          <cell r="K13399" t="str">
            <v>00111102P.2</v>
          </cell>
        </row>
        <row r="13400">
          <cell r="K13400" t="str">
            <v>00111102P.2</v>
          </cell>
        </row>
        <row r="13401">
          <cell r="K13401" t="str">
            <v>00111101P.2</v>
          </cell>
        </row>
        <row r="13402">
          <cell r="K13402" t="str">
            <v>00111101P.2</v>
          </cell>
        </row>
        <row r="13403">
          <cell r="K13403" t="str">
            <v>00111101P.2</v>
          </cell>
        </row>
        <row r="13404">
          <cell r="K13404" t="str">
            <v>00111101P.2</v>
          </cell>
        </row>
        <row r="13405">
          <cell r="K13405" t="str">
            <v>00111101P.2</v>
          </cell>
        </row>
        <row r="13406">
          <cell r="K13406" t="str">
            <v>00111102P.2</v>
          </cell>
        </row>
        <row r="13407">
          <cell r="K13407" t="str">
            <v>00111102P.2</v>
          </cell>
        </row>
        <row r="13408">
          <cell r="K13408" t="str">
            <v>00111103P.2</v>
          </cell>
        </row>
        <row r="13409">
          <cell r="K13409" t="str">
            <v>00111103P.2</v>
          </cell>
        </row>
        <row r="13410">
          <cell r="K13410" t="str">
            <v>00111103P.2</v>
          </cell>
        </row>
        <row r="13411">
          <cell r="K13411" t="str">
            <v>00111105P.2</v>
          </cell>
        </row>
        <row r="13412">
          <cell r="K13412" t="str">
            <v>00111102P.2</v>
          </cell>
        </row>
        <row r="13413">
          <cell r="K13413" t="str">
            <v>00111102P.2</v>
          </cell>
        </row>
        <row r="13414">
          <cell r="K13414" t="str">
            <v>00111102P.2</v>
          </cell>
        </row>
        <row r="13415">
          <cell r="K13415" t="str">
            <v>00111102P.2</v>
          </cell>
        </row>
        <row r="13416">
          <cell r="K13416" t="str">
            <v>00111102P.2</v>
          </cell>
        </row>
        <row r="13417">
          <cell r="K13417" t="str">
            <v>00111102P.2</v>
          </cell>
        </row>
        <row r="13418">
          <cell r="K13418" t="str">
            <v>00111102P.2</v>
          </cell>
        </row>
        <row r="13419">
          <cell r="K13419" t="str">
            <v>00111102P.2</v>
          </cell>
        </row>
        <row r="13420">
          <cell r="K13420" t="str">
            <v>00111102P.2</v>
          </cell>
        </row>
        <row r="13421">
          <cell r="K13421" t="str">
            <v>00111102P.2</v>
          </cell>
        </row>
        <row r="13422">
          <cell r="K13422" t="str">
            <v>00111102P.2</v>
          </cell>
        </row>
        <row r="13423">
          <cell r="K13423" t="str">
            <v>00111102P.2</v>
          </cell>
        </row>
        <row r="13424">
          <cell r="K13424" t="str">
            <v>00111102P.2</v>
          </cell>
        </row>
        <row r="13425">
          <cell r="K13425" t="str">
            <v>00111102P.2</v>
          </cell>
        </row>
        <row r="13426">
          <cell r="K13426" t="str">
            <v>00111102P.2</v>
          </cell>
        </row>
        <row r="13427">
          <cell r="K13427" t="str">
            <v>00111102P.2</v>
          </cell>
        </row>
        <row r="13428">
          <cell r="K13428" t="str">
            <v>00111102P.2</v>
          </cell>
        </row>
        <row r="13429">
          <cell r="K13429" t="str">
            <v>00111102P.2</v>
          </cell>
        </row>
        <row r="13430">
          <cell r="K13430" t="str">
            <v>00111102P.2</v>
          </cell>
        </row>
        <row r="13431">
          <cell r="K13431" t="str">
            <v>00111102P.2</v>
          </cell>
        </row>
        <row r="13432">
          <cell r="K13432" t="str">
            <v>00111102P.2</v>
          </cell>
        </row>
        <row r="13433">
          <cell r="K13433" t="str">
            <v>00111102P.2</v>
          </cell>
        </row>
        <row r="13434">
          <cell r="K13434" t="str">
            <v>00111102P.2</v>
          </cell>
        </row>
        <row r="13435">
          <cell r="K13435" t="str">
            <v>00111102P.2</v>
          </cell>
        </row>
        <row r="13436">
          <cell r="K13436" t="str">
            <v>00111102P.2</v>
          </cell>
        </row>
        <row r="13437">
          <cell r="K13437" t="str">
            <v>00111102P.2</v>
          </cell>
        </row>
        <row r="13438">
          <cell r="K13438" t="str">
            <v>00111102P.2</v>
          </cell>
        </row>
        <row r="13439">
          <cell r="K13439" t="str">
            <v>00111102P.2</v>
          </cell>
        </row>
        <row r="13440">
          <cell r="K13440" t="str">
            <v>00111102P.2</v>
          </cell>
        </row>
        <row r="13441">
          <cell r="K13441" t="str">
            <v>00111102P.2</v>
          </cell>
        </row>
        <row r="13442">
          <cell r="K13442" t="str">
            <v>00111102P.2</v>
          </cell>
        </row>
        <row r="13443">
          <cell r="K13443" t="str">
            <v>00111102P.2</v>
          </cell>
        </row>
        <row r="13444">
          <cell r="K13444" t="str">
            <v>00111102P.2</v>
          </cell>
        </row>
        <row r="13445">
          <cell r="K13445" t="str">
            <v>00111102P.2</v>
          </cell>
        </row>
        <row r="13446">
          <cell r="K13446" t="str">
            <v>00111102P.2</v>
          </cell>
        </row>
        <row r="13447">
          <cell r="K13447" t="str">
            <v>00111113P.2</v>
          </cell>
        </row>
        <row r="13448">
          <cell r="K13448" t="str">
            <v>00111113P.2</v>
          </cell>
        </row>
        <row r="13449">
          <cell r="K13449" t="str">
            <v>00111113P.2</v>
          </cell>
        </row>
        <row r="13450">
          <cell r="K13450" t="str">
            <v>00111113P.2</v>
          </cell>
        </row>
        <row r="13451">
          <cell r="K13451" t="str">
            <v>00111113P.2</v>
          </cell>
        </row>
        <row r="13452">
          <cell r="K13452" t="str">
            <v>00111113P.2</v>
          </cell>
        </row>
        <row r="13453">
          <cell r="K13453" t="str">
            <v>00111113P.2</v>
          </cell>
        </row>
        <row r="13454">
          <cell r="K13454" t="str">
            <v>00111113P.2</v>
          </cell>
        </row>
        <row r="13455">
          <cell r="K13455" t="str">
            <v>00111113P.2</v>
          </cell>
        </row>
        <row r="13456">
          <cell r="K13456" t="str">
            <v>00111113P.2</v>
          </cell>
        </row>
        <row r="13457">
          <cell r="K13457" t="str">
            <v>00111113P.2</v>
          </cell>
        </row>
        <row r="13458">
          <cell r="K13458" t="str">
            <v>00111113P.2</v>
          </cell>
        </row>
        <row r="13459">
          <cell r="K13459" t="str">
            <v>00111113P.2</v>
          </cell>
        </row>
        <row r="13460">
          <cell r="K13460" t="str">
            <v>00111113P.2</v>
          </cell>
        </row>
        <row r="13461">
          <cell r="K13461" t="str">
            <v>00111113P.2</v>
          </cell>
        </row>
        <row r="13462">
          <cell r="K13462" t="str">
            <v>00111113P.2</v>
          </cell>
        </row>
        <row r="13463">
          <cell r="K13463" t="str">
            <v>00111113P.2</v>
          </cell>
        </row>
        <row r="13464">
          <cell r="K13464" t="str">
            <v>00111110P.2</v>
          </cell>
        </row>
        <row r="13465">
          <cell r="K13465" t="str">
            <v>00111110P.2</v>
          </cell>
        </row>
        <row r="13466">
          <cell r="K13466" t="str">
            <v>00111110P.2</v>
          </cell>
        </row>
        <row r="13467">
          <cell r="K13467" t="str">
            <v>00111110P.2</v>
          </cell>
        </row>
        <row r="13468">
          <cell r="K13468" t="str">
            <v>00111110P.2</v>
          </cell>
        </row>
        <row r="13469">
          <cell r="K13469" t="str">
            <v>00111131P.2</v>
          </cell>
        </row>
        <row r="13470">
          <cell r="K13470" t="str">
            <v>00111110P.2</v>
          </cell>
        </row>
        <row r="13471">
          <cell r="K13471" t="str">
            <v>00111111P.2</v>
          </cell>
        </row>
        <row r="13472">
          <cell r="K13472" t="str">
            <v>00111151P.2</v>
          </cell>
        </row>
        <row r="13473">
          <cell r="K13473" t="str">
            <v>00111151P.2</v>
          </cell>
        </row>
        <row r="13474">
          <cell r="K13474" t="str">
            <v>00111151P.2</v>
          </cell>
        </row>
        <row r="13475">
          <cell r="K13475" t="str">
            <v>00111151P.2</v>
          </cell>
        </row>
        <row r="13476">
          <cell r="K13476" t="str">
            <v>00111151P.2</v>
          </cell>
        </row>
        <row r="13477">
          <cell r="K13477" t="str">
            <v>00111151P.2</v>
          </cell>
        </row>
        <row r="13478">
          <cell r="K13478" t="str">
            <v>00111151P.2</v>
          </cell>
        </row>
        <row r="13479">
          <cell r="K13479" t="str">
            <v>00111151P.2</v>
          </cell>
        </row>
        <row r="13480">
          <cell r="K13480" t="str">
            <v>00111151P.2</v>
          </cell>
        </row>
        <row r="13481">
          <cell r="K13481" t="str">
            <v>00111151P.2</v>
          </cell>
        </row>
        <row r="13482">
          <cell r="K13482" t="str">
            <v>00111151P.2</v>
          </cell>
        </row>
        <row r="13483">
          <cell r="K13483" t="str">
            <v>00111151P.2</v>
          </cell>
        </row>
        <row r="13484">
          <cell r="K13484" t="str">
            <v>00111151P.2</v>
          </cell>
        </row>
        <row r="13485">
          <cell r="K13485" t="str">
            <v>00111151P.2</v>
          </cell>
        </row>
        <row r="13486">
          <cell r="K13486" t="str">
            <v>00111151P.2</v>
          </cell>
        </row>
        <row r="13487">
          <cell r="K13487" t="str">
            <v>00111151P.2</v>
          </cell>
        </row>
        <row r="13488">
          <cell r="K13488" t="str">
            <v>00111151P.2</v>
          </cell>
        </row>
        <row r="13489">
          <cell r="K13489" t="str">
            <v>00111151P.2</v>
          </cell>
        </row>
        <row r="13490">
          <cell r="K13490" t="str">
            <v>00111151P.2</v>
          </cell>
        </row>
        <row r="13491">
          <cell r="K13491" t="str">
            <v>00111151P.2</v>
          </cell>
        </row>
        <row r="13492">
          <cell r="K13492" t="str">
            <v>00111151P.2</v>
          </cell>
        </row>
        <row r="13493">
          <cell r="K13493" t="str">
            <v>00111151P.2</v>
          </cell>
        </row>
        <row r="13494">
          <cell r="K13494" t="str">
            <v>00111151P.2</v>
          </cell>
        </row>
        <row r="13495">
          <cell r="K13495" t="str">
            <v>00111151P.2</v>
          </cell>
        </row>
        <row r="13496">
          <cell r="K13496" t="str">
            <v>00111151P.2</v>
          </cell>
        </row>
        <row r="13497">
          <cell r="K13497" t="str">
            <v>00111151P.2</v>
          </cell>
        </row>
        <row r="13498">
          <cell r="K13498" t="str">
            <v>00111151P.2</v>
          </cell>
        </row>
        <row r="13499">
          <cell r="K13499" t="str">
            <v>00111151P.2</v>
          </cell>
        </row>
        <row r="13500">
          <cell r="K13500" t="str">
            <v>00111151P.2</v>
          </cell>
        </row>
        <row r="13501">
          <cell r="K13501" t="str">
            <v>00111151P.2</v>
          </cell>
        </row>
        <row r="13502">
          <cell r="K13502" t="str">
            <v>00111151P.2</v>
          </cell>
        </row>
        <row r="13503">
          <cell r="K13503" t="str">
            <v>00111151P.2</v>
          </cell>
        </row>
        <row r="13504">
          <cell r="K13504" t="str">
            <v>00111151P.2</v>
          </cell>
        </row>
        <row r="13505">
          <cell r="K13505" t="str">
            <v>00111151P.2</v>
          </cell>
        </row>
        <row r="13506">
          <cell r="K13506" t="str">
            <v>00111151P.2</v>
          </cell>
        </row>
        <row r="13507">
          <cell r="K13507" t="str">
            <v>00111151P.2</v>
          </cell>
        </row>
        <row r="13508">
          <cell r="K13508" t="str">
            <v>00111151P.2</v>
          </cell>
        </row>
        <row r="13509">
          <cell r="K13509" t="str">
            <v>00111154P.2</v>
          </cell>
        </row>
        <row r="13510">
          <cell r="K13510" t="str">
            <v>00111154P.2</v>
          </cell>
        </row>
        <row r="13511">
          <cell r="K13511" t="str">
            <v>00111154P.2</v>
          </cell>
        </row>
        <row r="13512">
          <cell r="K13512" t="str">
            <v>00111154P.2</v>
          </cell>
        </row>
        <row r="13513">
          <cell r="K13513" t="str">
            <v>00111154P.2</v>
          </cell>
        </row>
        <row r="13514">
          <cell r="K13514" t="str">
            <v>00111154P.2</v>
          </cell>
        </row>
        <row r="13515">
          <cell r="K13515" t="str">
            <v>00111154P.2</v>
          </cell>
        </row>
        <row r="13516">
          <cell r="K13516" t="str">
            <v>00111154P.2</v>
          </cell>
        </row>
        <row r="13517">
          <cell r="K13517" t="str">
            <v>00111154P.2</v>
          </cell>
        </row>
        <row r="13518">
          <cell r="K13518" t="str">
            <v>00111154P.2</v>
          </cell>
        </row>
        <row r="13519">
          <cell r="K13519" t="str">
            <v>00111156P.2</v>
          </cell>
        </row>
        <row r="13520">
          <cell r="K13520" t="str">
            <v>00111156P.2</v>
          </cell>
        </row>
        <row r="13521">
          <cell r="K13521" t="str">
            <v>00111156P.2</v>
          </cell>
        </row>
        <row r="13522">
          <cell r="K13522" t="str">
            <v>00111156P.2</v>
          </cell>
        </row>
        <row r="13523">
          <cell r="K13523" t="str">
            <v>00111156P.2</v>
          </cell>
        </row>
        <row r="13524">
          <cell r="K13524" t="str">
            <v>00111156P.2</v>
          </cell>
        </row>
        <row r="13525">
          <cell r="K13525" t="str">
            <v>00111156P.2</v>
          </cell>
        </row>
        <row r="13526">
          <cell r="K13526" t="str">
            <v>00111156P.2</v>
          </cell>
        </row>
        <row r="13527">
          <cell r="K13527" t="str">
            <v>00111156P.2</v>
          </cell>
        </row>
        <row r="13528">
          <cell r="K13528" t="str">
            <v>00111156P.2</v>
          </cell>
        </row>
        <row r="13529">
          <cell r="K13529" t="str">
            <v>00111160P.2</v>
          </cell>
        </row>
        <row r="13530">
          <cell r="K13530" t="str">
            <v>00111160P.2</v>
          </cell>
        </row>
        <row r="13531">
          <cell r="K13531" t="str">
            <v>00111143P.2</v>
          </cell>
        </row>
        <row r="13532">
          <cell r="K13532" t="str">
            <v>00111143P.2</v>
          </cell>
        </row>
        <row r="13533">
          <cell r="K13533" t="str">
            <v>00111143P.2</v>
          </cell>
        </row>
        <row r="13534">
          <cell r="K13534" t="str">
            <v>00111143P.2</v>
          </cell>
        </row>
        <row r="13535">
          <cell r="K13535" t="str">
            <v>00111153P.2</v>
          </cell>
        </row>
        <row r="13536">
          <cell r="K13536" t="str">
            <v>00111153P.2</v>
          </cell>
        </row>
        <row r="13537">
          <cell r="K13537" t="str">
            <v>00111153P.2</v>
          </cell>
        </row>
        <row r="13538">
          <cell r="K13538" t="str">
            <v>00111153P.2</v>
          </cell>
        </row>
        <row r="13539">
          <cell r="K13539" t="str">
            <v>00111153P.2</v>
          </cell>
        </row>
        <row r="13540">
          <cell r="K13540" t="str">
            <v>00111157P.2</v>
          </cell>
        </row>
        <row r="13541">
          <cell r="K13541" t="str">
            <v>00111157P.2</v>
          </cell>
        </row>
        <row r="13542">
          <cell r="K13542" t="str">
            <v>00111157P.2</v>
          </cell>
        </row>
        <row r="13543">
          <cell r="K13543" t="str">
            <v>00111157P.2</v>
          </cell>
        </row>
        <row r="13544">
          <cell r="K13544" t="str">
            <v>00111157P.2</v>
          </cell>
        </row>
        <row r="13545">
          <cell r="K13545" t="str">
            <v>00111156P.2</v>
          </cell>
        </row>
        <row r="13546">
          <cell r="K13546" t="str">
            <v>00111156P.2</v>
          </cell>
        </row>
        <row r="13547">
          <cell r="K13547" t="str">
            <v>00111156P.2</v>
          </cell>
        </row>
        <row r="13548">
          <cell r="K13548" t="str">
            <v>00111156P.2</v>
          </cell>
        </row>
        <row r="13549">
          <cell r="K13549" t="str">
            <v>00111156P.2</v>
          </cell>
        </row>
        <row r="13550">
          <cell r="K13550" t="str">
            <v>00111156P.2</v>
          </cell>
        </row>
        <row r="13551">
          <cell r="K13551" t="str">
            <v>00111157P.2</v>
          </cell>
        </row>
        <row r="13552">
          <cell r="K13552" t="str">
            <v>00111157P.2</v>
          </cell>
        </row>
        <row r="13553">
          <cell r="K13553" t="str">
            <v>00111157P.2</v>
          </cell>
        </row>
        <row r="13554">
          <cell r="K13554" t="str">
            <v>00111154P.2</v>
          </cell>
        </row>
        <row r="13555">
          <cell r="K13555" t="str">
            <v>00111154P.2</v>
          </cell>
        </row>
        <row r="13556">
          <cell r="K13556" t="str">
            <v>00111154P.2</v>
          </cell>
        </row>
        <row r="13557">
          <cell r="K13557" t="str">
            <v>00111154P.2</v>
          </cell>
        </row>
        <row r="13558">
          <cell r="K13558" t="str">
            <v>00111154P.2</v>
          </cell>
        </row>
        <row r="13559">
          <cell r="K13559" t="str">
            <v>00111154P.2</v>
          </cell>
        </row>
        <row r="13560">
          <cell r="K13560" t="str">
            <v>00111154P.2</v>
          </cell>
        </row>
        <row r="13561">
          <cell r="K13561" t="str">
            <v>00111154P.2</v>
          </cell>
        </row>
        <row r="13562">
          <cell r="K13562" t="str">
            <v>00111154P.2</v>
          </cell>
        </row>
        <row r="13563">
          <cell r="K13563" t="str">
            <v>00111154P.2</v>
          </cell>
        </row>
        <row r="13564">
          <cell r="K13564" t="str">
            <v>00111154P.2</v>
          </cell>
        </row>
        <row r="13565">
          <cell r="K13565" t="str">
            <v>00111154P.2</v>
          </cell>
        </row>
        <row r="13566">
          <cell r="K13566" t="str">
            <v>00111156P.2</v>
          </cell>
        </row>
        <row r="13567">
          <cell r="K13567" t="str">
            <v>00111156P.2</v>
          </cell>
        </row>
        <row r="13568">
          <cell r="K13568" t="str">
            <v>00111156P.2</v>
          </cell>
        </row>
        <row r="13569">
          <cell r="K13569" t="str">
            <v>00111156P.2</v>
          </cell>
        </row>
        <row r="13570">
          <cell r="K13570" t="str">
            <v>00111156P.2</v>
          </cell>
        </row>
        <row r="13571">
          <cell r="K13571" t="str">
            <v>00111156P.2</v>
          </cell>
        </row>
        <row r="13572">
          <cell r="K13572" t="str">
            <v>00111156P.2</v>
          </cell>
        </row>
        <row r="13573">
          <cell r="K13573" t="str">
            <v>00111156P.2</v>
          </cell>
        </row>
        <row r="13574">
          <cell r="K13574" t="str">
            <v>00111156P.2</v>
          </cell>
        </row>
        <row r="13575">
          <cell r="K13575" t="str">
            <v>00111156P.2</v>
          </cell>
        </row>
        <row r="13576">
          <cell r="K13576" t="str">
            <v>00111156P.2</v>
          </cell>
        </row>
        <row r="13577">
          <cell r="K13577" t="str">
            <v>00111157P.2</v>
          </cell>
        </row>
        <row r="13578">
          <cell r="K13578" t="str">
            <v>00111157P.2</v>
          </cell>
        </row>
        <row r="13579">
          <cell r="K13579" t="str">
            <v>00111157P.2</v>
          </cell>
        </row>
        <row r="13580">
          <cell r="K13580" t="str">
            <v>00111157P.2</v>
          </cell>
        </row>
        <row r="13581">
          <cell r="K13581" t="str">
            <v>00111157P.2</v>
          </cell>
        </row>
        <row r="13582">
          <cell r="K13582" t="str">
            <v>00111160P.2</v>
          </cell>
        </row>
        <row r="13583">
          <cell r="K13583" t="str">
            <v>00111118P.2</v>
          </cell>
        </row>
        <row r="13584">
          <cell r="K13584" t="str">
            <v>00111118P.2</v>
          </cell>
        </row>
        <row r="13585">
          <cell r="K13585" t="str">
            <v>00111118P.2</v>
          </cell>
        </row>
        <row r="13586">
          <cell r="K13586" t="str">
            <v>00111118P.2</v>
          </cell>
        </row>
        <row r="13587">
          <cell r="K13587" t="str">
            <v>00111157P.2</v>
          </cell>
        </row>
        <row r="13588">
          <cell r="K13588" t="str">
            <v>00111146P.2</v>
          </cell>
        </row>
        <row r="13589">
          <cell r="K13589" t="str">
            <v>00111146P.2</v>
          </cell>
        </row>
        <row r="13590">
          <cell r="K13590" t="str">
            <v>00111146P.2</v>
          </cell>
        </row>
        <row r="13591">
          <cell r="K13591" t="str">
            <v>00111146P.2</v>
          </cell>
        </row>
        <row r="13592">
          <cell r="K13592" t="str">
            <v>00111146P.2</v>
          </cell>
        </row>
        <row r="13593">
          <cell r="K13593" t="str">
            <v>00111146P.2</v>
          </cell>
        </row>
        <row r="13594">
          <cell r="K13594" t="str">
            <v>00111146P.2</v>
          </cell>
        </row>
        <row r="13595">
          <cell r="K13595" t="str">
            <v>00111146P.2</v>
          </cell>
        </row>
        <row r="13596">
          <cell r="K13596" t="str">
            <v>00111146P.2</v>
          </cell>
        </row>
        <row r="13597">
          <cell r="K13597" t="str">
            <v>00111146P.2</v>
          </cell>
        </row>
        <row r="13598">
          <cell r="K13598" t="str">
            <v>00111146P.2</v>
          </cell>
        </row>
        <row r="13599">
          <cell r="K13599" t="str">
            <v>00111140P.2</v>
          </cell>
        </row>
        <row r="13600">
          <cell r="K13600" t="str">
            <v>00111140P.2</v>
          </cell>
        </row>
        <row r="13601">
          <cell r="K13601" t="str">
            <v>00111140P.2</v>
          </cell>
        </row>
        <row r="13602">
          <cell r="K13602" t="str">
            <v>00111140P.2</v>
          </cell>
        </row>
        <row r="13603">
          <cell r="K13603" t="str">
            <v>00111138P.2</v>
          </cell>
        </row>
        <row r="13604">
          <cell r="K13604" t="str">
            <v>00111140P.2</v>
          </cell>
        </row>
        <row r="13605">
          <cell r="K13605" t="str">
            <v>00111140P.2</v>
          </cell>
        </row>
        <row r="13606">
          <cell r="K13606" t="str">
            <v>00111140P.2</v>
          </cell>
        </row>
        <row r="13607">
          <cell r="K13607" t="str">
            <v>00111140P.2</v>
          </cell>
        </row>
        <row r="13608">
          <cell r="K13608" t="str">
            <v>00111140P.2</v>
          </cell>
        </row>
        <row r="13609">
          <cell r="K13609" t="str">
            <v>00111140P.2</v>
          </cell>
        </row>
        <row r="13610">
          <cell r="K13610" t="str">
            <v>00111140P.2</v>
          </cell>
        </row>
        <row r="13611">
          <cell r="K13611" t="str">
            <v>00111140P.2</v>
          </cell>
        </row>
        <row r="13612">
          <cell r="K13612" t="str">
            <v>00111140P.2</v>
          </cell>
        </row>
        <row r="13613">
          <cell r="K13613" t="str">
            <v>00111140P.2</v>
          </cell>
        </row>
        <row r="13614">
          <cell r="K13614" t="str">
            <v>00111158P.2</v>
          </cell>
        </row>
        <row r="13615">
          <cell r="K13615" t="str">
            <v>00111158P.2</v>
          </cell>
        </row>
        <row r="13616">
          <cell r="K13616" t="str">
            <v>00111158P.2</v>
          </cell>
        </row>
        <row r="13617">
          <cell r="K13617" t="str">
            <v>00111158P.2</v>
          </cell>
        </row>
        <row r="13618">
          <cell r="K13618" t="str">
            <v>00111158P.2</v>
          </cell>
        </row>
        <row r="13619">
          <cell r="K13619" t="str">
            <v>00111158P.2</v>
          </cell>
        </row>
        <row r="13620">
          <cell r="K13620" t="str">
            <v>00111158P.2</v>
          </cell>
        </row>
        <row r="13621">
          <cell r="K13621" t="str">
            <v>00111158P.2</v>
          </cell>
        </row>
        <row r="13622">
          <cell r="K13622" t="str">
            <v>00111158P.2</v>
          </cell>
        </row>
        <row r="13623">
          <cell r="K13623" t="str">
            <v>00111158P.2</v>
          </cell>
        </row>
        <row r="13624">
          <cell r="K13624" t="str">
            <v>00111158P.2</v>
          </cell>
        </row>
        <row r="13625">
          <cell r="K13625" t="str">
            <v>00111158P.2</v>
          </cell>
        </row>
        <row r="13626">
          <cell r="K13626" t="str">
            <v>00111158P.2</v>
          </cell>
        </row>
        <row r="13627">
          <cell r="K13627" t="str">
            <v>00111158P.2</v>
          </cell>
        </row>
        <row r="13628">
          <cell r="K13628" t="str">
            <v>00111110P.2</v>
          </cell>
        </row>
        <row r="13629">
          <cell r="K13629" t="str">
            <v>00111110P.2</v>
          </cell>
        </row>
        <row r="13630">
          <cell r="K13630" t="str">
            <v>00111110P.2</v>
          </cell>
        </row>
        <row r="13631">
          <cell r="K13631" t="str">
            <v>00111110P.2</v>
          </cell>
        </row>
        <row r="13632">
          <cell r="K13632" t="str">
            <v>00111110P.2</v>
          </cell>
        </row>
        <row r="13633">
          <cell r="K13633" t="str">
            <v>00111110P.2</v>
          </cell>
        </row>
        <row r="13634">
          <cell r="K13634" t="str">
            <v>00111110P.2</v>
          </cell>
        </row>
        <row r="13635">
          <cell r="K13635" t="str">
            <v>00111110P.2</v>
          </cell>
        </row>
        <row r="13636">
          <cell r="K13636" t="str">
            <v>00111110P.2</v>
          </cell>
        </row>
        <row r="13637">
          <cell r="K13637" t="str">
            <v>00111110P.2</v>
          </cell>
        </row>
        <row r="13638">
          <cell r="K13638" t="str">
            <v>00111110P.2</v>
          </cell>
        </row>
        <row r="13639">
          <cell r="K13639" t="str">
            <v>00111112P.2</v>
          </cell>
        </row>
        <row r="13640">
          <cell r="K13640" t="str">
            <v>00111112P.2</v>
          </cell>
        </row>
        <row r="13641">
          <cell r="K13641" t="str">
            <v>00111112P.2</v>
          </cell>
        </row>
        <row r="13642">
          <cell r="K13642" t="str">
            <v>00111112P.2</v>
          </cell>
        </row>
        <row r="13643">
          <cell r="K13643" t="str">
            <v>00111112P.2</v>
          </cell>
        </row>
        <row r="13644">
          <cell r="K13644" t="str">
            <v>00111112P.2</v>
          </cell>
        </row>
        <row r="13645">
          <cell r="K13645" t="str">
            <v>00111112P.2</v>
          </cell>
        </row>
        <row r="13646">
          <cell r="K13646" t="str">
            <v>00111112P.2</v>
          </cell>
        </row>
        <row r="13647">
          <cell r="K13647" t="str">
            <v>00111112P.2</v>
          </cell>
        </row>
        <row r="13648">
          <cell r="K13648" t="str">
            <v>00111112P.2</v>
          </cell>
        </row>
        <row r="13649">
          <cell r="K13649" t="str">
            <v>00111112P.2</v>
          </cell>
        </row>
        <row r="13650">
          <cell r="K13650" t="str">
            <v>00111113P.2</v>
          </cell>
        </row>
        <row r="13651">
          <cell r="K13651" t="str">
            <v>00111113P.2</v>
          </cell>
        </row>
        <row r="13652">
          <cell r="K13652" t="str">
            <v>00111113P.2</v>
          </cell>
        </row>
        <row r="13653">
          <cell r="K13653" t="str">
            <v>00111113P.2</v>
          </cell>
        </row>
        <row r="13654">
          <cell r="K13654" t="str">
            <v>00111113P.2</v>
          </cell>
        </row>
        <row r="13655">
          <cell r="K13655" t="str">
            <v>00111113P.2</v>
          </cell>
        </row>
        <row r="13656">
          <cell r="K13656" t="str">
            <v>00111113P.2</v>
          </cell>
        </row>
        <row r="13657">
          <cell r="K13657" t="str">
            <v>00111113P.2</v>
          </cell>
        </row>
        <row r="13658">
          <cell r="K13658" t="str">
            <v>00111113P.2</v>
          </cell>
        </row>
        <row r="13659">
          <cell r="K13659" t="str">
            <v>00111113P.2</v>
          </cell>
        </row>
        <row r="13660">
          <cell r="K13660" t="str">
            <v>00111113P.2</v>
          </cell>
        </row>
        <row r="13661">
          <cell r="K13661" t="str">
            <v>00111114P.2</v>
          </cell>
        </row>
        <row r="13662">
          <cell r="K13662" t="str">
            <v>00111114P.2</v>
          </cell>
        </row>
        <row r="13663">
          <cell r="K13663" t="str">
            <v>00111114P.2</v>
          </cell>
        </row>
        <row r="13664">
          <cell r="K13664" t="str">
            <v>00111114P.2</v>
          </cell>
        </row>
        <row r="13665">
          <cell r="K13665" t="str">
            <v>00111114P.2</v>
          </cell>
        </row>
        <row r="13666">
          <cell r="K13666" t="str">
            <v>00111114P.2</v>
          </cell>
        </row>
        <row r="13667">
          <cell r="K13667" t="str">
            <v>00111114P.2</v>
          </cell>
        </row>
        <row r="13668">
          <cell r="K13668" t="str">
            <v>00111114P.2</v>
          </cell>
        </row>
        <row r="13669">
          <cell r="K13669" t="str">
            <v>00111114P.2</v>
          </cell>
        </row>
        <row r="13670">
          <cell r="K13670" t="str">
            <v>00111114P.2</v>
          </cell>
        </row>
        <row r="13671">
          <cell r="K13671" t="str">
            <v>00111114P.2</v>
          </cell>
        </row>
        <row r="13672">
          <cell r="K13672" t="str">
            <v>00111115P.2</v>
          </cell>
        </row>
        <row r="13673">
          <cell r="K13673" t="str">
            <v>00111115P.2</v>
          </cell>
        </row>
        <row r="13674">
          <cell r="K13674" t="str">
            <v>00111115P.2</v>
          </cell>
        </row>
        <row r="13675">
          <cell r="K13675" t="str">
            <v>00111115P.2</v>
          </cell>
        </row>
        <row r="13676">
          <cell r="K13676" t="str">
            <v>00111116P.2</v>
          </cell>
        </row>
        <row r="13677">
          <cell r="K13677" t="str">
            <v>00111116P.2</v>
          </cell>
        </row>
        <row r="13678">
          <cell r="K13678" t="str">
            <v>00111116P.2</v>
          </cell>
        </row>
        <row r="13679">
          <cell r="K13679" t="str">
            <v>00111116P.2</v>
          </cell>
        </row>
        <row r="13680">
          <cell r="K13680" t="str">
            <v>00111116P.2</v>
          </cell>
        </row>
        <row r="13681">
          <cell r="K13681" t="str">
            <v>00111116P.2</v>
          </cell>
        </row>
        <row r="13682">
          <cell r="K13682" t="str">
            <v>00111116P.2</v>
          </cell>
        </row>
        <row r="13683">
          <cell r="K13683" t="str">
            <v>00111116P.2</v>
          </cell>
        </row>
        <row r="13684">
          <cell r="K13684" t="str">
            <v>00111116P.2</v>
          </cell>
        </row>
        <row r="13685">
          <cell r="K13685" t="str">
            <v>00111116P.2</v>
          </cell>
        </row>
        <row r="13686">
          <cell r="K13686" t="str">
            <v>00111116P.2</v>
          </cell>
        </row>
        <row r="13687">
          <cell r="K13687" t="str">
            <v>00111116P.2</v>
          </cell>
        </row>
        <row r="13688">
          <cell r="K13688" t="str">
            <v>00111116P.2</v>
          </cell>
        </row>
        <row r="13689">
          <cell r="K13689" t="str">
            <v>00111116P.2</v>
          </cell>
        </row>
        <row r="13690">
          <cell r="K13690" t="str">
            <v>00111117P.2</v>
          </cell>
        </row>
        <row r="13691">
          <cell r="K13691" t="str">
            <v>00111117P.2</v>
          </cell>
        </row>
        <row r="13692">
          <cell r="K13692" t="str">
            <v>00111117P.2</v>
          </cell>
        </row>
        <row r="13693">
          <cell r="K13693" t="str">
            <v>00111117P.2</v>
          </cell>
        </row>
        <row r="13694">
          <cell r="K13694" t="str">
            <v>00111117P.2</v>
          </cell>
        </row>
        <row r="13695">
          <cell r="K13695" t="str">
            <v>00111117P.2</v>
          </cell>
        </row>
        <row r="13696">
          <cell r="K13696" t="str">
            <v>00111117P.2</v>
          </cell>
        </row>
        <row r="13697">
          <cell r="K13697" t="str">
            <v>00111117P.2</v>
          </cell>
        </row>
        <row r="13698">
          <cell r="K13698" t="str">
            <v>00111117P.2</v>
          </cell>
        </row>
        <row r="13699">
          <cell r="K13699" t="str">
            <v>00111117P.2</v>
          </cell>
        </row>
        <row r="13700">
          <cell r="K13700" t="str">
            <v>00111117P.2</v>
          </cell>
        </row>
        <row r="13701">
          <cell r="K13701" t="str">
            <v>00111117P.2</v>
          </cell>
        </row>
        <row r="13702">
          <cell r="K13702" t="str">
            <v>00111117P.2</v>
          </cell>
        </row>
        <row r="13703">
          <cell r="K13703" t="str">
            <v>00111118P.2</v>
          </cell>
        </row>
        <row r="13704">
          <cell r="K13704" t="str">
            <v>00111118P.2</v>
          </cell>
        </row>
        <row r="13705">
          <cell r="K13705" t="str">
            <v>00111118P.2</v>
          </cell>
        </row>
        <row r="13706">
          <cell r="K13706" t="str">
            <v>00111118P.2</v>
          </cell>
        </row>
        <row r="13707">
          <cell r="K13707" t="str">
            <v>00111118P.2</v>
          </cell>
        </row>
        <row r="13708">
          <cell r="K13708" t="str">
            <v>00111119P.2</v>
          </cell>
        </row>
        <row r="13709">
          <cell r="K13709" t="str">
            <v>00111119P.2</v>
          </cell>
        </row>
        <row r="13710">
          <cell r="K13710" t="str">
            <v>00111119P.2</v>
          </cell>
        </row>
        <row r="13711">
          <cell r="K13711" t="str">
            <v>00111119P.2</v>
          </cell>
        </row>
        <row r="13712">
          <cell r="K13712" t="str">
            <v>00111120P.2</v>
          </cell>
        </row>
        <row r="13713">
          <cell r="K13713" t="str">
            <v>00111120P.2</v>
          </cell>
        </row>
        <row r="13714">
          <cell r="K13714" t="str">
            <v>00111120P.2</v>
          </cell>
        </row>
        <row r="13715">
          <cell r="K13715" t="str">
            <v>00111120P.2</v>
          </cell>
        </row>
        <row r="13716">
          <cell r="K13716" t="str">
            <v>00111120P.2</v>
          </cell>
        </row>
        <row r="13717">
          <cell r="K13717" t="str">
            <v>00111120P.2</v>
          </cell>
        </row>
        <row r="13718">
          <cell r="K13718" t="str">
            <v>00111120P.2</v>
          </cell>
        </row>
        <row r="13719">
          <cell r="K13719" t="str">
            <v>00111120P.2</v>
          </cell>
        </row>
        <row r="13720">
          <cell r="K13720" t="str">
            <v>00111120P.2</v>
          </cell>
        </row>
        <row r="13721">
          <cell r="K13721" t="str">
            <v>00111120P.2</v>
          </cell>
        </row>
        <row r="13722">
          <cell r="K13722" t="str">
            <v>00111120P.2</v>
          </cell>
        </row>
        <row r="13723">
          <cell r="K13723" t="str">
            <v>00111120P.2</v>
          </cell>
        </row>
        <row r="13724">
          <cell r="K13724" t="str">
            <v>00111120P.2</v>
          </cell>
        </row>
        <row r="13725">
          <cell r="K13725" t="str">
            <v>00111121P.2</v>
          </cell>
        </row>
        <row r="13726">
          <cell r="K13726" t="str">
            <v>00111121P.2</v>
          </cell>
        </row>
        <row r="13727">
          <cell r="K13727" t="str">
            <v>00111121P.2</v>
          </cell>
        </row>
        <row r="13728">
          <cell r="K13728" t="str">
            <v>00111121P.2</v>
          </cell>
        </row>
        <row r="13729">
          <cell r="K13729" t="str">
            <v>00111121P.2</v>
          </cell>
        </row>
        <row r="13730">
          <cell r="K13730" t="str">
            <v>00111121P.2</v>
          </cell>
        </row>
        <row r="13731">
          <cell r="K13731" t="str">
            <v>00111121P.2</v>
          </cell>
        </row>
        <row r="13732">
          <cell r="K13732" t="str">
            <v>00111121P.2</v>
          </cell>
        </row>
        <row r="13733">
          <cell r="K13733" t="str">
            <v>00111121P.2</v>
          </cell>
        </row>
        <row r="13734">
          <cell r="K13734" t="str">
            <v>00111121P.2</v>
          </cell>
        </row>
        <row r="13735">
          <cell r="K13735" t="str">
            <v>00111122P.2</v>
          </cell>
        </row>
        <row r="13736">
          <cell r="K13736" t="str">
            <v>00111122P.2</v>
          </cell>
        </row>
        <row r="13737">
          <cell r="K13737" t="str">
            <v>00111122P.2</v>
          </cell>
        </row>
        <row r="13738">
          <cell r="K13738" t="str">
            <v>00111122P.2</v>
          </cell>
        </row>
        <row r="13739">
          <cell r="K13739" t="str">
            <v>00111122P.2</v>
          </cell>
        </row>
        <row r="13740">
          <cell r="K13740" t="str">
            <v>00111123P.2</v>
          </cell>
        </row>
        <row r="13741">
          <cell r="K13741" t="str">
            <v>00111123P.2</v>
          </cell>
        </row>
        <row r="13742">
          <cell r="K13742" t="str">
            <v>00111123P.2</v>
          </cell>
        </row>
        <row r="13743">
          <cell r="K13743" t="str">
            <v>00111123P.2</v>
          </cell>
        </row>
        <row r="13744">
          <cell r="K13744" t="str">
            <v>00111123P.2</v>
          </cell>
        </row>
        <row r="13745">
          <cell r="K13745" t="str">
            <v>00111123P.2</v>
          </cell>
        </row>
        <row r="13746">
          <cell r="K13746" t="str">
            <v>00111123P.2</v>
          </cell>
        </row>
        <row r="13747">
          <cell r="K13747" t="str">
            <v>00111123P.2</v>
          </cell>
        </row>
        <row r="13748">
          <cell r="K13748" t="str">
            <v>00111123P.2</v>
          </cell>
        </row>
        <row r="13749">
          <cell r="K13749" t="str">
            <v>00111123P.2</v>
          </cell>
        </row>
        <row r="13750">
          <cell r="K13750" t="str">
            <v>00111124P.2</v>
          </cell>
        </row>
        <row r="13751">
          <cell r="K13751" t="str">
            <v>00111124P.2</v>
          </cell>
        </row>
        <row r="13752">
          <cell r="K13752" t="str">
            <v>00111124P.2</v>
          </cell>
        </row>
        <row r="13753">
          <cell r="K13753" t="str">
            <v>00111124P.2</v>
          </cell>
        </row>
        <row r="13754">
          <cell r="K13754" t="str">
            <v>00111124P.2</v>
          </cell>
        </row>
        <row r="13755">
          <cell r="K13755" t="str">
            <v>00111124P.2</v>
          </cell>
        </row>
        <row r="13756">
          <cell r="K13756" t="str">
            <v>00111124P.2</v>
          </cell>
        </row>
        <row r="13757">
          <cell r="K13757" t="str">
            <v>00111124P.2</v>
          </cell>
        </row>
        <row r="13758">
          <cell r="K13758" t="str">
            <v>00111124P.2</v>
          </cell>
        </row>
        <row r="13759">
          <cell r="K13759" t="str">
            <v>00111124P.2</v>
          </cell>
        </row>
        <row r="13760">
          <cell r="K13760" t="str">
            <v>00111125P.2</v>
          </cell>
        </row>
        <row r="13761">
          <cell r="K13761" t="str">
            <v>00111125P.2</v>
          </cell>
        </row>
        <row r="13762">
          <cell r="K13762" t="str">
            <v>00111125P.2</v>
          </cell>
        </row>
        <row r="13763">
          <cell r="K13763" t="str">
            <v>00111125P.2</v>
          </cell>
        </row>
        <row r="13764">
          <cell r="K13764" t="str">
            <v>00111125P.2</v>
          </cell>
        </row>
        <row r="13765">
          <cell r="K13765" t="str">
            <v>00111125P.2</v>
          </cell>
        </row>
        <row r="13766">
          <cell r="K13766" t="str">
            <v>00111125P.2</v>
          </cell>
        </row>
        <row r="13767">
          <cell r="K13767" t="str">
            <v>00111125P.2</v>
          </cell>
        </row>
        <row r="13768">
          <cell r="K13768" t="str">
            <v>00111125P.2</v>
          </cell>
        </row>
        <row r="13769">
          <cell r="K13769" t="str">
            <v>00111125P.2</v>
          </cell>
        </row>
        <row r="13770">
          <cell r="K13770" t="str">
            <v>00111125P.2</v>
          </cell>
        </row>
        <row r="13771">
          <cell r="K13771" t="str">
            <v>00111126P.2</v>
          </cell>
        </row>
        <row r="13772">
          <cell r="K13772" t="str">
            <v>00111126P.2</v>
          </cell>
        </row>
        <row r="13773">
          <cell r="K13773" t="str">
            <v>00111126P.2</v>
          </cell>
        </row>
        <row r="13774">
          <cell r="K13774" t="str">
            <v>00111126P.2</v>
          </cell>
        </row>
        <row r="13775">
          <cell r="K13775" t="str">
            <v>00111126P.2</v>
          </cell>
        </row>
        <row r="13776">
          <cell r="K13776" t="str">
            <v>00111126P.2</v>
          </cell>
        </row>
        <row r="13777">
          <cell r="K13777" t="str">
            <v>00111126P.2</v>
          </cell>
        </row>
        <row r="13778">
          <cell r="K13778" t="str">
            <v>00111126P.2</v>
          </cell>
        </row>
        <row r="13779">
          <cell r="K13779" t="str">
            <v>00111126P.2</v>
          </cell>
        </row>
        <row r="13780">
          <cell r="K13780" t="str">
            <v>00111126P.2</v>
          </cell>
        </row>
        <row r="13781">
          <cell r="K13781" t="str">
            <v>00111127P.2</v>
          </cell>
        </row>
        <row r="13782">
          <cell r="K13782" t="str">
            <v>00111127P.2</v>
          </cell>
        </row>
        <row r="13783">
          <cell r="K13783" t="str">
            <v>00111127P.2</v>
          </cell>
        </row>
        <row r="13784">
          <cell r="K13784" t="str">
            <v>00111127P.2</v>
          </cell>
        </row>
        <row r="13785">
          <cell r="K13785" t="str">
            <v>00111127P.2</v>
          </cell>
        </row>
        <row r="13786">
          <cell r="K13786" t="str">
            <v>00111127P.2</v>
          </cell>
        </row>
        <row r="13787">
          <cell r="K13787" t="str">
            <v>00111127P.2</v>
          </cell>
        </row>
        <row r="13788">
          <cell r="K13788" t="str">
            <v>00111127P.2</v>
          </cell>
        </row>
        <row r="13789">
          <cell r="K13789" t="str">
            <v>00111128P.2</v>
          </cell>
        </row>
        <row r="13790">
          <cell r="K13790" t="str">
            <v>00111128P.2</v>
          </cell>
        </row>
        <row r="13791">
          <cell r="K13791" t="str">
            <v>00111128P.2</v>
          </cell>
        </row>
        <row r="13792">
          <cell r="K13792" t="str">
            <v>00111128P.2</v>
          </cell>
        </row>
        <row r="13793">
          <cell r="K13793" t="str">
            <v>00111128P.2</v>
          </cell>
        </row>
        <row r="13794">
          <cell r="K13794" t="str">
            <v>00111128P.2</v>
          </cell>
        </row>
        <row r="13795">
          <cell r="K13795" t="str">
            <v>00111128P.2</v>
          </cell>
        </row>
        <row r="13796">
          <cell r="K13796" t="str">
            <v>00111128P.2</v>
          </cell>
        </row>
        <row r="13797">
          <cell r="K13797" t="str">
            <v>00111128P.2</v>
          </cell>
        </row>
        <row r="13798">
          <cell r="K13798" t="str">
            <v>00111128P.2</v>
          </cell>
        </row>
        <row r="13799">
          <cell r="K13799" t="str">
            <v>00111128P.2</v>
          </cell>
        </row>
        <row r="13800">
          <cell r="K13800" t="str">
            <v>00111128P.2</v>
          </cell>
        </row>
        <row r="13801">
          <cell r="K13801" t="str">
            <v>00111128P.2</v>
          </cell>
        </row>
        <row r="13802">
          <cell r="K13802" t="str">
            <v>00111128P.2</v>
          </cell>
        </row>
        <row r="13803">
          <cell r="K13803" t="str">
            <v>00111128P.2</v>
          </cell>
        </row>
        <row r="13804">
          <cell r="K13804" t="str">
            <v>00111129P.2</v>
          </cell>
        </row>
        <row r="13805">
          <cell r="K13805" t="str">
            <v>00111129P.2</v>
          </cell>
        </row>
        <row r="13806">
          <cell r="K13806" t="str">
            <v>00111129P.2</v>
          </cell>
        </row>
        <row r="13807">
          <cell r="K13807" t="str">
            <v>00111129P.2</v>
          </cell>
        </row>
        <row r="13808">
          <cell r="K13808" t="str">
            <v>00111129P.2</v>
          </cell>
        </row>
        <row r="13809">
          <cell r="K13809" t="str">
            <v>00111129P.2</v>
          </cell>
        </row>
        <row r="13810">
          <cell r="K13810" t="str">
            <v>00111129P.2</v>
          </cell>
        </row>
        <row r="13811">
          <cell r="K13811" t="str">
            <v>00111129P.2</v>
          </cell>
        </row>
        <row r="13812">
          <cell r="K13812" t="str">
            <v>00111129P.2</v>
          </cell>
        </row>
        <row r="13813">
          <cell r="K13813" t="str">
            <v>00111129P.2</v>
          </cell>
        </row>
        <row r="13814">
          <cell r="K13814" t="str">
            <v>00111129P.2</v>
          </cell>
        </row>
        <row r="13815">
          <cell r="K13815" t="str">
            <v>00111129P.2</v>
          </cell>
        </row>
        <row r="13816">
          <cell r="K13816" t="str">
            <v>00111129P.2</v>
          </cell>
        </row>
        <row r="13817">
          <cell r="K13817" t="str">
            <v>00111130P.2</v>
          </cell>
        </row>
        <row r="13818">
          <cell r="K13818" t="str">
            <v>00111130P.2</v>
          </cell>
        </row>
        <row r="13819">
          <cell r="K13819" t="str">
            <v>00111130P.2</v>
          </cell>
        </row>
        <row r="13820">
          <cell r="K13820" t="str">
            <v>00111130P.2</v>
          </cell>
        </row>
        <row r="13821">
          <cell r="K13821" t="str">
            <v>00111130P.2</v>
          </cell>
        </row>
        <row r="13822">
          <cell r="K13822" t="str">
            <v>00111130P.2</v>
          </cell>
        </row>
        <row r="13823">
          <cell r="K13823" t="str">
            <v>00111130P.2</v>
          </cell>
        </row>
        <row r="13824">
          <cell r="K13824" t="str">
            <v>00111130P.2</v>
          </cell>
        </row>
        <row r="13825">
          <cell r="K13825" t="str">
            <v>00111130P.2</v>
          </cell>
        </row>
        <row r="13826">
          <cell r="K13826" t="str">
            <v>00111130P.2</v>
          </cell>
        </row>
        <row r="13827">
          <cell r="K13827" t="str">
            <v>00111131P.2</v>
          </cell>
        </row>
        <row r="13828">
          <cell r="K13828" t="str">
            <v>00111131P.2</v>
          </cell>
        </row>
        <row r="13829">
          <cell r="K13829" t="str">
            <v>00111131P.2</v>
          </cell>
        </row>
        <row r="13830">
          <cell r="K13830" t="str">
            <v>00111131P.2</v>
          </cell>
        </row>
        <row r="13831">
          <cell r="K13831" t="str">
            <v>00111131P.2</v>
          </cell>
        </row>
        <row r="13832">
          <cell r="K13832" t="str">
            <v>00111131P.2</v>
          </cell>
        </row>
        <row r="13833">
          <cell r="K13833" t="str">
            <v>00111131P.2</v>
          </cell>
        </row>
        <row r="13834">
          <cell r="K13834" t="str">
            <v>00111131P.2</v>
          </cell>
        </row>
        <row r="13835">
          <cell r="K13835" t="str">
            <v>00111131P.2</v>
          </cell>
        </row>
        <row r="13836">
          <cell r="K13836" t="str">
            <v>00111131P.2</v>
          </cell>
        </row>
        <row r="13837">
          <cell r="K13837" t="str">
            <v>00111131P.2</v>
          </cell>
        </row>
        <row r="13838">
          <cell r="K13838" t="str">
            <v>00111131P.2</v>
          </cell>
        </row>
        <row r="13839">
          <cell r="K13839" t="str">
            <v>00111131P.2</v>
          </cell>
        </row>
        <row r="13840">
          <cell r="K13840" t="str">
            <v>00111131P.2</v>
          </cell>
        </row>
        <row r="13841">
          <cell r="K13841" t="str">
            <v>00111132P.2</v>
          </cell>
        </row>
        <row r="13842">
          <cell r="K13842" t="str">
            <v>00111132P.2</v>
          </cell>
        </row>
        <row r="13843">
          <cell r="K13843" t="str">
            <v>00111132P.2</v>
          </cell>
        </row>
        <row r="13844">
          <cell r="K13844" t="str">
            <v>00111132P.2</v>
          </cell>
        </row>
        <row r="13845">
          <cell r="K13845" t="str">
            <v>00111132P.2</v>
          </cell>
        </row>
        <row r="13846">
          <cell r="K13846" t="str">
            <v>00111132P.2</v>
          </cell>
        </row>
        <row r="13847">
          <cell r="K13847" t="str">
            <v>00111132P.2</v>
          </cell>
        </row>
        <row r="13848">
          <cell r="K13848" t="str">
            <v>00111132P.2</v>
          </cell>
        </row>
        <row r="13849">
          <cell r="K13849" t="str">
            <v>00111132P.2</v>
          </cell>
        </row>
        <row r="13850">
          <cell r="K13850" t="str">
            <v>00111132P.2</v>
          </cell>
        </row>
        <row r="13851">
          <cell r="K13851" t="str">
            <v>00111132P.2</v>
          </cell>
        </row>
        <row r="13852">
          <cell r="K13852" t="str">
            <v>00111132P.2</v>
          </cell>
        </row>
        <row r="13853">
          <cell r="K13853" t="str">
            <v>00111132P.2</v>
          </cell>
        </row>
        <row r="13854">
          <cell r="K13854" t="str">
            <v>00111132P.2</v>
          </cell>
        </row>
        <row r="13855">
          <cell r="K13855" t="str">
            <v>00111132P.2</v>
          </cell>
        </row>
        <row r="13856">
          <cell r="K13856" t="str">
            <v>00111133P.2</v>
          </cell>
        </row>
        <row r="13857">
          <cell r="K13857" t="str">
            <v>00111133P.2</v>
          </cell>
        </row>
        <row r="13858">
          <cell r="K13858" t="str">
            <v>00111133P.2</v>
          </cell>
        </row>
        <row r="13859">
          <cell r="K13859" t="str">
            <v>00111133P.2</v>
          </cell>
        </row>
        <row r="13860">
          <cell r="K13860" t="str">
            <v>00111133P.2</v>
          </cell>
        </row>
        <row r="13861">
          <cell r="K13861" t="str">
            <v>00111133P.2</v>
          </cell>
        </row>
        <row r="13862">
          <cell r="K13862" t="str">
            <v>00111133P.2</v>
          </cell>
        </row>
        <row r="13863">
          <cell r="K13863" t="str">
            <v>00111133P.2</v>
          </cell>
        </row>
        <row r="13864">
          <cell r="K13864" t="str">
            <v>00111133P.2</v>
          </cell>
        </row>
        <row r="13865">
          <cell r="K13865" t="str">
            <v>00111133P.2</v>
          </cell>
        </row>
        <row r="13866">
          <cell r="K13866" t="str">
            <v>00111133P.2</v>
          </cell>
        </row>
        <row r="13867">
          <cell r="K13867" t="str">
            <v>00111133P.2</v>
          </cell>
        </row>
        <row r="13868">
          <cell r="K13868" t="str">
            <v>00111133P.2</v>
          </cell>
        </row>
        <row r="13869">
          <cell r="K13869" t="str">
            <v>00111134P.2</v>
          </cell>
        </row>
        <row r="13870">
          <cell r="K13870" t="str">
            <v>00111134P.2</v>
          </cell>
        </row>
        <row r="13871">
          <cell r="K13871" t="str">
            <v>00111134P.2</v>
          </cell>
        </row>
        <row r="13872">
          <cell r="K13872" t="str">
            <v>00111134P.2</v>
          </cell>
        </row>
        <row r="13873">
          <cell r="K13873" t="str">
            <v>00111134P.2</v>
          </cell>
        </row>
        <row r="13874">
          <cell r="K13874" t="str">
            <v>00111134P.2</v>
          </cell>
        </row>
        <row r="13875">
          <cell r="K13875" t="str">
            <v>00111134P.2</v>
          </cell>
        </row>
        <row r="13876">
          <cell r="K13876" t="str">
            <v>00111134P.2</v>
          </cell>
        </row>
        <row r="13877">
          <cell r="K13877" t="str">
            <v>00111134P.2</v>
          </cell>
        </row>
        <row r="13878">
          <cell r="K13878" t="str">
            <v>00111134P.2</v>
          </cell>
        </row>
        <row r="13879">
          <cell r="K13879" t="str">
            <v>00111134P.2</v>
          </cell>
        </row>
        <row r="13880">
          <cell r="K13880" t="str">
            <v>00111134P.2</v>
          </cell>
        </row>
        <row r="13881">
          <cell r="K13881" t="str">
            <v>00111134P.2</v>
          </cell>
        </row>
        <row r="13882">
          <cell r="K13882" t="str">
            <v>00111135P.2</v>
          </cell>
        </row>
        <row r="13883">
          <cell r="K13883" t="str">
            <v>00111135P.2</v>
          </cell>
        </row>
        <row r="13884">
          <cell r="K13884" t="str">
            <v>00111135P.2</v>
          </cell>
        </row>
        <row r="13885">
          <cell r="K13885" t="str">
            <v>00111135P.2</v>
          </cell>
        </row>
        <row r="13886">
          <cell r="K13886" t="str">
            <v>00111135P.2</v>
          </cell>
        </row>
        <row r="13887">
          <cell r="K13887" t="str">
            <v>00111135P.2</v>
          </cell>
        </row>
        <row r="13888">
          <cell r="K13888" t="str">
            <v>00111135P.2</v>
          </cell>
        </row>
        <row r="13889">
          <cell r="K13889" t="str">
            <v>00111135P.2</v>
          </cell>
        </row>
        <row r="13890">
          <cell r="K13890" t="str">
            <v>00111135P.2</v>
          </cell>
        </row>
        <row r="13891">
          <cell r="K13891" t="str">
            <v>00111135P.2</v>
          </cell>
        </row>
        <row r="13892">
          <cell r="K13892" t="str">
            <v>00111135P.2</v>
          </cell>
        </row>
        <row r="13893">
          <cell r="K13893" t="str">
            <v>00111135P.2</v>
          </cell>
        </row>
        <row r="13894">
          <cell r="K13894" t="str">
            <v>00111135P.2</v>
          </cell>
        </row>
        <row r="13895">
          <cell r="K13895" t="str">
            <v>00111136P.2</v>
          </cell>
        </row>
        <row r="13896">
          <cell r="K13896" t="str">
            <v>00111136P.2</v>
          </cell>
        </row>
        <row r="13897">
          <cell r="K13897" t="str">
            <v>00111136P.2</v>
          </cell>
        </row>
        <row r="13898">
          <cell r="K13898" t="str">
            <v>00111136P.2</v>
          </cell>
        </row>
        <row r="13899">
          <cell r="K13899" t="str">
            <v>00111136P.2</v>
          </cell>
        </row>
        <row r="13900">
          <cell r="K13900" t="str">
            <v>00111136P.2</v>
          </cell>
        </row>
        <row r="13901">
          <cell r="K13901" t="str">
            <v>00111136P.2</v>
          </cell>
        </row>
        <row r="13902">
          <cell r="K13902" t="str">
            <v>00111136P.2</v>
          </cell>
        </row>
        <row r="13903">
          <cell r="K13903" t="str">
            <v>00111143P.2</v>
          </cell>
        </row>
        <row r="13904">
          <cell r="K13904" t="str">
            <v>00111143P.2</v>
          </cell>
        </row>
        <row r="13905">
          <cell r="K13905" t="str">
            <v>00111143P.2</v>
          </cell>
        </row>
        <row r="13906">
          <cell r="K13906" t="str">
            <v>00111143P.2</v>
          </cell>
        </row>
        <row r="13907">
          <cell r="K13907" t="str">
            <v>00111143P.2</v>
          </cell>
        </row>
        <row r="13908">
          <cell r="K13908" t="str">
            <v>00111145P.2</v>
          </cell>
        </row>
        <row r="13909">
          <cell r="K13909" t="str">
            <v>00111145P.2</v>
          </cell>
        </row>
        <row r="13910">
          <cell r="K13910" t="str">
            <v>00111145P.2</v>
          </cell>
        </row>
        <row r="13911">
          <cell r="K13911" t="str">
            <v>00111145P.2</v>
          </cell>
        </row>
        <row r="13912">
          <cell r="K13912" t="str">
            <v>00111145P.2</v>
          </cell>
        </row>
        <row r="13913">
          <cell r="K13913" t="str">
            <v>00111145P.2</v>
          </cell>
        </row>
        <row r="13914">
          <cell r="K13914" t="str">
            <v>00111145P.2</v>
          </cell>
        </row>
        <row r="13915">
          <cell r="K13915" t="str">
            <v>00111145P.2</v>
          </cell>
        </row>
        <row r="13916">
          <cell r="K13916" t="str">
            <v>00111145P.2</v>
          </cell>
        </row>
        <row r="13917">
          <cell r="K13917" t="str">
            <v>00111145P.2</v>
          </cell>
        </row>
        <row r="13918">
          <cell r="K13918" t="str">
            <v>00111153P.2</v>
          </cell>
        </row>
        <row r="13919">
          <cell r="K13919" t="str">
            <v>00111153P.2</v>
          </cell>
        </row>
        <row r="13920">
          <cell r="K13920" t="str">
            <v>00111153P.2</v>
          </cell>
        </row>
        <row r="13921">
          <cell r="K13921" t="str">
            <v>00111153P.2</v>
          </cell>
        </row>
        <row r="13922">
          <cell r="K13922" t="str">
            <v>00111153P.2</v>
          </cell>
        </row>
        <row r="13923">
          <cell r="K13923" t="str">
            <v>00111153P.2</v>
          </cell>
        </row>
        <row r="13924">
          <cell r="K13924" t="str">
            <v>00111157P.2</v>
          </cell>
        </row>
        <row r="13925">
          <cell r="K13925" t="str">
            <v>00111157P.2</v>
          </cell>
        </row>
        <row r="13926">
          <cell r="K13926" t="str">
            <v>00111157P.2</v>
          </cell>
        </row>
        <row r="13927">
          <cell r="K13927" t="str">
            <v>00111157P.2</v>
          </cell>
        </row>
        <row r="13928">
          <cell r="K13928" t="str">
            <v>00111157P.2</v>
          </cell>
        </row>
        <row r="13929">
          <cell r="K13929" t="str">
            <v>00111157P.2</v>
          </cell>
        </row>
        <row r="13930">
          <cell r="K13930" t="str">
            <v>00111157P.2</v>
          </cell>
        </row>
        <row r="13931">
          <cell r="K13931" t="str">
            <v>00111157P.2</v>
          </cell>
        </row>
        <row r="13932">
          <cell r="K13932" t="str">
            <v>00111157P.2</v>
          </cell>
        </row>
        <row r="13933">
          <cell r="K13933" t="str">
            <v>00111157P.2</v>
          </cell>
        </row>
        <row r="13934">
          <cell r="K13934" t="str">
            <v>00111157P.2</v>
          </cell>
        </row>
        <row r="13935">
          <cell r="K13935" t="str">
            <v>00111157P.2</v>
          </cell>
        </row>
        <row r="13936">
          <cell r="K13936" t="str">
            <v>00111157P.2</v>
          </cell>
        </row>
        <row r="13937">
          <cell r="K13937" t="str">
            <v>00111159P.2</v>
          </cell>
        </row>
        <row r="13938">
          <cell r="K13938" t="str">
            <v>00111159P.2</v>
          </cell>
        </row>
        <row r="13939">
          <cell r="K13939" t="str">
            <v>00111159P.2</v>
          </cell>
        </row>
        <row r="13940">
          <cell r="K13940" t="str">
            <v>00111159P.2</v>
          </cell>
        </row>
        <row r="13941">
          <cell r="K13941" t="str">
            <v>00111159P.2</v>
          </cell>
        </row>
        <row r="13942">
          <cell r="K13942" t="str">
            <v>00111159P.2</v>
          </cell>
        </row>
        <row r="13943">
          <cell r="K13943" t="str">
            <v>00111159P.2</v>
          </cell>
        </row>
        <row r="13944">
          <cell r="K13944" t="str">
            <v>00111157P.2</v>
          </cell>
        </row>
        <row r="13945">
          <cell r="K13945" t="str">
            <v>00111157P.2</v>
          </cell>
        </row>
        <row r="13946">
          <cell r="K13946" t="str">
            <v>00111157P.2</v>
          </cell>
        </row>
        <row r="13947">
          <cell r="K13947" t="str">
            <v>00111143P.2</v>
          </cell>
        </row>
        <row r="13948">
          <cell r="K13948" t="str">
            <v>00111144P.2</v>
          </cell>
        </row>
        <row r="13949">
          <cell r="K13949" t="str">
            <v>00111157P.2</v>
          </cell>
        </row>
        <row r="13950">
          <cell r="K13950" t="str">
            <v>00111128P.2</v>
          </cell>
        </row>
        <row r="13951">
          <cell r="K13951" t="str">
            <v>00111128P.2</v>
          </cell>
        </row>
        <row r="13952">
          <cell r="K13952" t="str">
            <v>00111128P.2</v>
          </cell>
        </row>
        <row r="13953">
          <cell r="K13953" t="str">
            <v>00111128P.2</v>
          </cell>
        </row>
        <row r="13954">
          <cell r="K13954" t="str">
            <v>00111128P.2</v>
          </cell>
        </row>
        <row r="13955">
          <cell r="K13955" t="str">
            <v>00111128P.2</v>
          </cell>
        </row>
        <row r="13956">
          <cell r="K13956" t="str">
            <v>00111128P.2</v>
          </cell>
        </row>
        <row r="13957">
          <cell r="K13957" t="str">
            <v>00111128P.2</v>
          </cell>
        </row>
        <row r="13958">
          <cell r="K13958" t="str">
            <v>00111128P.2</v>
          </cell>
        </row>
        <row r="13959">
          <cell r="K13959" t="str">
            <v>00111128P.2</v>
          </cell>
        </row>
        <row r="13960">
          <cell r="K13960" t="str">
            <v>00111128P.2</v>
          </cell>
        </row>
        <row r="13961">
          <cell r="K13961" t="str">
            <v>00111128P.2</v>
          </cell>
        </row>
        <row r="13962">
          <cell r="K13962" t="str">
            <v>00111128P.2</v>
          </cell>
        </row>
        <row r="13963">
          <cell r="K13963" t="str">
            <v>00111128P.2</v>
          </cell>
        </row>
        <row r="13964">
          <cell r="K13964" t="str">
            <v>00111128P.2</v>
          </cell>
        </row>
        <row r="13965">
          <cell r="K13965" t="str">
            <v>00111128P.2</v>
          </cell>
        </row>
        <row r="13966">
          <cell r="K13966" t="str">
            <v>00111128P.2</v>
          </cell>
        </row>
        <row r="13967">
          <cell r="K13967" t="str">
            <v>00111128P.2</v>
          </cell>
        </row>
        <row r="13968">
          <cell r="K13968" t="str">
            <v>00111128P.2</v>
          </cell>
        </row>
        <row r="13969">
          <cell r="K13969" t="str">
            <v>00111128P.2</v>
          </cell>
        </row>
        <row r="13970">
          <cell r="K13970" t="str">
            <v>00111128P.2</v>
          </cell>
        </row>
        <row r="13971">
          <cell r="K13971" t="str">
            <v>00111128P.2</v>
          </cell>
        </row>
        <row r="13972">
          <cell r="K13972" t="str">
            <v>00111101P.2</v>
          </cell>
        </row>
        <row r="13973">
          <cell r="K13973" t="str">
            <v>00111115P.2</v>
          </cell>
        </row>
        <row r="13974">
          <cell r="K13974" t="str">
            <v>00111117P.2</v>
          </cell>
        </row>
        <row r="13975">
          <cell r="K13975" t="str">
            <v>00111118P.2</v>
          </cell>
        </row>
        <row r="13976">
          <cell r="K13976" t="str">
            <v>00111131P.2</v>
          </cell>
        </row>
        <row r="13977">
          <cell r="K13977" t="str">
            <v>00111135P.2</v>
          </cell>
        </row>
        <row r="13978">
          <cell r="K13978" t="str">
            <v>00111150P.2</v>
          </cell>
        </row>
        <row r="13979">
          <cell r="K13979" t="str">
            <v>00111131P.2</v>
          </cell>
        </row>
        <row r="13980">
          <cell r="K13980" t="str">
            <v>00111131P.2</v>
          </cell>
        </row>
        <row r="13981">
          <cell r="K13981" t="str">
            <v>00111130P.2</v>
          </cell>
        </row>
        <row r="13982">
          <cell r="K13982" t="str">
            <v>00111131P.2</v>
          </cell>
        </row>
        <row r="13983">
          <cell r="K13983" t="str">
            <v>00111131P.2</v>
          </cell>
        </row>
        <row r="13984">
          <cell r="K13984" t="str">
            <v>00111125P.2</v>
          </cell>
        </row>
        <row r="13985">
          <cell r="K13985" t="str">
            <v>00111125P.2</v>
          </cell>
        </row>
        <row r="13986">
          <cell r="K13986" t="str">
            <v>00111125P.2</v>
          </cell>
        </row>
        <row r="13987">
          <cell r="K13987" t="str">
            <v>00111125P.2</v>
          </cell>
        </row>
        <row r="13988">
          <cell r="K13988" t="str">
            <v>00111125P.2</v>
          </cell>
        </row>
        <row r="13989">
          <cell r="K13989" t="str">
            <v>00111101P.2</v>
          </cell>
        </row>
        <row r="13990">
          <cell r="K13990" t="str">
            <v>00111150P.2</v>
          </cell>
        </row>
        <row r="13991">
          <cell r="K13991" t="str">
            <v>00111150P.2</v>
          </cell>
        </row>
        <row r="13992">
          <cell r="K13992" t="str">
            <v>00111150P.2</v>
          </cell>
        </row>
        <row r="13993">
          <cell r="K13993" t="str">
            <v>00111150P.2</v>
          </cell>
        </row>
        <row r="13994">
          <cell r="K13994" t="str">
            <v>00111148P.2</v>
          </cell>
        </row>
        <row r="13995">
          <cell r="K13995" t="str">
            <v>00111148P.2</v>
          </cell>
        </row>
        <row r="13996">
          <cell r="K13996" t="str">
            <v>00111148P.2</v>
          </cell>
        </row>
        <row r="13997">
          <cell r="K13997" t="str">
            <v>00111150P.2</v>
          </cell>
        </row>
        <row r="13998">
          <cell r="K13998" t="str">
            <v>00111136P.2</v>
          </cell>
        </row>
        <row r="13999">
          <cell r="K13999" t="str">
            <v>00111135P.2</v>
          </cell>
        </row>
        <row r="14000">
          <cell r="K14000" t="str">
            <v>00111159P.2</v>
          </cell>
        </row>
        <row r="14001">
          <cell r="K14001" t="str">
            <v>00111159P.2</v>
          </cell>
        </row>
        <row r="14002">
          <cell r="K14002" t="str">
            <v>00111159P.2</v>
          </cell>
        </row>
        <row r="14003">
          <cell r="K14003" t="str">
            <v>00111159P.2</v>
          </cell>
        </row>
        <row r="14004">
          <cell r="K14004" t="str">
            <v>00111159P.2</v>
          </cell>
        </row>
        <row r="14005">
          <cell r="K14005" t="str">
            <v>00111114P.2</v>
          </cell>
        </row>
        <row r="14006">
          <cell r="K14006" t="str">
            <v>00111114P.2</v>
          </cell>
        </row>
        <row r="14007">
          <cell r="K14007" t="str">
            <v>00111114P.2</v>
          </cell>
        </row>
        <row r="14008">
          <cell r="K14008" t="str">
            <v>00111114P.2</v>
          </cell>
        </row>
        <row r="14009">
          <cell r="K14009" t="str">
            <v>00111114P.2</v>
          </cell>
        </row>
        <row r="14010">
          <cell r="K14010" t="str">
            <v>00111114P.2</v>
          </cell>
        </row>
        <row r="14011">
          <cell r="K14011" t="str">
            <v>00111114P.2</v>
          </cell>
        </row>
        <row r="14012">
          <cell r="K14012" t="str">
            <v>00111114P.2</v>
          </cell>
        </row>
        <row r="14013">
          <cell r="K14013" t="str">
            <v>00111114P.2</v>
          </cell>
        </row>
        <row r="14014">
          <cell r="K14014" t="str">
            <v>00111114P.2</v>
          </cell>
        </row>
        <row r="14015">
          <cell r="K14015" t="str">
            <v>00111113P.2</v>
          </cell>
        </row>
        <row r="14016">
          <cell r="K14016" t="str">
            <v>00111113P.2</v>
          </cell>
        </row>
        <row r="14017">
          <cell r="K14017" t="str">
            <v>00111113P.2</v>
          </cell>
        </row>
        <row r="14018">
          <cell r="K14018" t="str">
            <v>00111113P.2</v>
          </cell>
        </row>
        <row r="14019">
          <cell r="K14019" t="str">
            <v>00111118P.2</v>
          </cell>
        </row>
        <row r="14020">
          <cell r="K14020" t="str">
            <v>00111113P.2</v>
          </cell>
        </row>
        <row r="14021">
          <cell r="K14021" t="str">
            <v>00111113P.2</v>
          </cell>
        </row>
        <row r="14022">
          <cell r="K14022" t="str">
            <v>00111118P.2</v>
          </cell>
        </row>
        <row r="14023">
          <cell r="K14023" t="str">
            <v>00111118P.2</v>
          </cell>
        </row>
        <row r="14024">
          <cell r="K14024" t="str">
            <v>00111146P.2</v>
          </cell>
        </row>
        <row r="14025">
          <cell r="K14025" t="str">
            <v>00111146P.2</v>
          </cell>
        </row>
        <row r="14026">
          <cell r="K14026" t="str">
            <v>00111146P.2</v>
          </cell>
        </row>
        <row r="14027">
          <cell r="K14027" t="str">
            <v>00111146P.2</v>
          </cell>
        </row>
        <row r="14028">
          <cell r="K14028" t="str">
            <v>00111146P.2</v>
          </cell>
        </row>
        <row r="14029">
          <cell r="K14029" t="str">
            <v>00111146P.2</v>
          </cell>
        </row>
        <row r="14030">
          <cell r="K14030" t="str">
            <v>00111146P.2</v>
          </cell>
        </row>
        <row r="14031">
          <cell r="K14031" t="str">
            <v>00111143P.2</v>
          </cell>
        </row>
        <row r="14032">
          <cell r="K14032" t="str">
            <v>00111143P.2</v>
          </cell>
        </row>
        <row r="14033">
          <cell r="K14033" t="str">
            <v>00111143P.2</v>
          </cell>
        </row>
        <row r="14034">
          <cell r="K14034" t="str">
            <v>00111149P.2</v>
          </cell>
        </row>
        <row r="14035">
          <cell r="K14035" t="str">
            <v>00111143P.2</v>
          </cell>
        </row>
        <row r="14036">
          <cell r="K14036" t="str">
            <v>00111143P.2</v>
          </cell>
        </row>
        <row r="14037">
          <cell r="K14037" t="str">
            <v>00111149P.2</v>
          </cell>
        </row>
        <row r="14038">
          <cell r="K14038" t="str">
            <v>00111143P.2</v>
          </cell>
        </row>
        <row r="14039">
          <cell r="K14039" t="str">
            <v>00111146P.2</v>
          </cell>
        </row>
        <row r="14040">
          <cell r="K14040" t="str">
            <v>00111146P.2</v>
          </cell>
        </row>
        <row r="14041">
          <cell r="K14041" t="str">
            <v>00111146P.2</v>
          </cell>
        </row>
        <row r="14042">
          <cell r="K14042" t="str">
            <v>00111147P.2</v>
          </cell>
        </row>
        <row r="14043">
          <cell r="K14043" t="str">
            <v>00111149P.2</v>
          </cell>
        </row>
        <row r="14044">
          <cell r="K14044" t="str">
            <v>00111143P.2</v>
          </cell>
        </row>
        <row r="14045">
          <cell r="K14045" t="str">
            <v>00111143P.2</v>
          </cell>
        </row>
        <row r="14046">
          <cell r="K14046" t="str">
            <v>00111143P.2</v>
          </cell>
        </row>
        <row r="14047">
          <cell r="K14047" t="str">
            <v>00111146P.2</v>
          </cell>
        </row>
        <row r="14048">
          <cell r="K14048" t="str">
            <v>00111149P.2</v>
          </cell>
        </row>
        <row r="14049">
          <cell r="K14049" t="str">
            <v>00111149P.2</v>
          </cell>
        </row>
        <row r="14050">
          <cell r="K14050" t="str">
            <v>00111146P.2</v>
          </cell>
        </row>
        <row r="14051">
          <cell r="K14051" t="str">
            <v>00111143P.2</v>
          </cell>
        </row>
        <row r="14052">
          <cell r="K14052" t="str">
            <v>00111143P.2</v>
          </cell>
        </row>
        <row r="14053">
          <cell r="K14053" t="str">
            <v>00111143P.2</v>
          </cell>
        </row>
        <row r="14054">
          <cell r="K14054" t="str">
            <v>00111146P.2</v>
          </cell>
        </row>
        <row r="14055">
          <cell r="K14055" t="str">
            <v>00111149P.2</v>
          </cell>
        </row>
        <row r="14056">
          <cell r="K14056" t="str">
            <v>00111146P.2</v>
          </cell>
        </row>
        <row r="14057">
          <cell r="K14057" t="str">
            <v>00111145P.2</v>
          </cell>
        </row>
        <row r="14058">
          <cell r="K14058" t="str">
            <v>00111145P.2</v>
          </cell>
        </row>
        <row r="14059">
          <cell r="K14059" t="str">
            <v>00111109P.2</v>
          </cell>
        </row>
        <row r="14060">
          <cell r="K14060" t="str">
            <v>00111136P.2</v>
          </cell>
        </row>
        <row r="14061">
          <cell r="K14061" t="str">
            <v>00111108P.2</v>
          </cell>
        </row>
        <row r="14062">
          <cell r="K14062" t="str">
            <v>00111106P.2</v>
          </cell>
        </row>
        <row r="14063">
          <cell r="K14063" t="str">
            <v>00111131P.2</v>
          </cell>
        </row>
        <row r="14064">
          <cell r="K14064" t="str">
            <v>00111130P.2</v>
          </cell>
        </row>
        <row r="14065">
          <cell r="K14065" t="str">
            <v>00111128P.2</v>
          </cell>
        </row>
        <row r="14066">
          <cell r="K14066" t="str">
            <v>00111128P.2</v>
          </cell>
        </row>
        <row r="14067">
          <cell r="K14067" t="str">
            <v>00111109P.2</v>
          </cell>
        </row>
        <row r="14068">
          <cell r="K14068" t="str">
            <v>00111128P.2</v>
          </cell>
        </row>
        <row r="14069">
          <cell r="K14069" t="str">
            <v>00111128P.2</v>
          </cell>
        </row>
        <row r="14070">
          <cell r="K14070" t="str">
            <v>00111130P.2</v>
          </cell>
        </row>
        <row r="14071">
          <cell r="K14071" t="str">
            <v>00111130P.2</v>
          </cell>
        </row>
        <row r="14072">
          <cell r="K14072" t="str">
            <v>00111145P.2</v>
          </cell>
        </row>
        <row r="14073">
          <cell r="K14073" t="str">
            <v>00111145P.2</v>
          </cell>
        </row>
        <row r="14074">
          <cell r="K14074" t="str">
            <v>00111145P.2</v>
          </cell>
        </row>
        <row r="14075">
          <cell r="K14075" t="str">
            <v>00111145P.2</v>
          </cell>
        </row>
        <row r="14076">
          <cell r="K14076" t="str">
            <v>00111145P.2</v>
          </cell>
        </row>
        <row r="14077">
          <cell r="K14077" t="str">
            <v>00111145P.2</v>
          </cell>
        </row>
        <row r="14078">
          <cell r="K14078" t="str">
            <v>00111145P.2</v>
          </cell>
        </row>
        <row r="14079">
          <cell r="K14079" t="str">
            <v>00111145P.2</v>
          </cell>
        </row>
        <row r="14080">
          <cell r="K14080" t="str">
            <v>00111145P.2</v>
          </cell>
        </row>
        <row r="14081">
          <cell r="K14081" t="str">
            <v>00111145P.2</v>
          </cell>
        </row>
        <row r="14082">
          <cell r="K14082" t="str">
            <v>00111145P.2</v>
          </cell>
        </row>
        <row r="14083">
          <cell r="K14083" t="str">
            <v>00111145P.2</v>
          </cell>
        </row>
        <row r="14084">
          <cell r="K14084" t="str">
            <v>00111145P.2</v>
          </cell>
        </row>
        <row r="14085">
          <cell r="K14085" t="str">
            <v>00111145P.2</v>
          </cell>
        </row>
        <row r="14086">
          <cell r="K14086" t="str">
            <v>00111145P.2</v>
          </cell>
        </row>
        <row r="14087">
          <cell r="K14087" t="str">
            <v>00111145P.2</v>
          </cell>
        </row>
        <row r="14088">
          <cell r="K14088" t="str">
            <v>00111145P.2</v>
          </cell>
        </row>
        <row r="14089">
          <cell r="K14089" t="str">
            <v>00111145P.2</v>
          </cell>
        </row>
        <row r="14090">
          <cell r="K14090" t="str">
            <v>00111145P.2</v>
          </cell>
        </row>
        <row r="14091">
          <cell r="K14091" t="str">
            <v>00111145P.2</v>
          </cell>
        </row>
        <row r="14092">
          <cell r="K14092" t="str">
            <v>00111120P.2</v>
          </cell>
        </row>
        <row r="14093">
          <cell r="K14093" t="str">
            <v>00111120P.2</v>
          </cell>
        </row>
        <row r="14094">
          <cell r="K14094" t="str">
            <v>00111120P.2</v>
          </cell>
        </row>
        <row r="14095">
          <cell r="K14095" t="str">
            <v>00111122P.2</v>
          </cell>
        </row>
        <row r="14096">
          <cell r="K14096" t="str">
            <v>00111122P.2</v>
          </cell>
        </row>
        <row r="14097">
          <cell r="K14097" t="str">
            <v>00111145P.2</v>
          </cell>
        </row>
        <row r="14098">
          <cell r="K14098" t="str">
            <v>00111145P.2</v>
          </cell>
        </row>
        <row r="14099">
          <cell r="K14099" t="str">
            <v>00111145P.2</v>
          </cell>
        </row>
        <row r="14100">
          <cell r="K14100" t="str">
            <v>00111122P.2</v>
          </cell>
        </row>
        <row r="14101">
          <cell r="K14101" t="str">
            <v>00111145P.2</v>
          </cell>
        </row>
        <row r="14102">
          <cell r="K14102" t="str">
            <v>00111153P.2</v>
          </cell>
        </row>
        <row r="14103">
          <cell r="K14103" t="str">
            <v>00111153P.2</v>
          </cell>
        </row>
        <row r="14104">
          <cell r="K14104" t="str">
            <v>00111153P.2</v>
          </cell>
        </row>
        <row r="14105">
          <cell r="K14105" t="str">
            <v>00111153P.2</v>
          </cell>
        </row>
        <row r="14106">
          <cell r="K14106" t="str">
            <v>00111153P.2</v>
          </cell>
        </row>
        <row r="14107">
          <cell r="K14107" t="str">
            <v>00111153P.2</v>
          </cell>
        </row>
        <row r="14108">
          <cell r="K14108" t="str">
            <v>00111153P.2</v>
          </cell>
        </row>
        <row r="14109">
          <cell r="K14109" t="str">
            <v>00111145P.2</v>
          </cell>
        </row>
        <row r="14110">
          <cell r="K14110" t="str">
            <v>00111145P.2</v>
          </cell>
        </row>
        <row r="14111">
          <cell r="K14111" t="str">
            <v>00111145P.2</v>
          </cell>
        </row>
        <row r="14112">
          <cell r="K14112" t="str">
            <v>00111145P.2</v>
          </cell>
        </row>
        <row r="14113">
          <cell r="K14113" t="str">
            <v>00111145P.2</v>
          </cell>
        </row>
        <row r="14114">
          <cell r="K14114" t="str">
            <v>00111145P.2</v>
          </cell>
        </row>
        <row r="14115">
          <cell r="K14115" t="str">
            <v>00111145P.2</v>
          </cell>
        </row>
        <row r="14116">
          <cell r="K14116" t="str">
            <v>00111145P.2</v>
          </cell>
        </row>
        <row r="14117">
          <cell r="K14117" t="str">
            <v>00111145P.2</v>
          </cell>
        </row>
        <row r="14118">
          <cell r="K14118" t="str">
            <v>00111145P.2</v>
          </cell>
        </row>
        <row r="14119">
          <cell r="K14119" t="str">
            <v>00111145P.2</v>
          </cell>
        </row>
        <row r="14120">
          <cell r="K14120" t="str">
            <v>00111145P.2</v>
          </cell>
        </row>
        <row r="14121">
          <cell r="K14121" t="str">
            <v>00111145P.2</v>
          </cell>
        </row>
        <row r="14122">
          <cell r="K14122" t="str">
            <v>00111145P.2</v>
          </cell>
        </row>
        <row r="14123">
          <cell r="K14123" t="str">
            <v>00111145P.2</v>
          </cell>
        </row>
        <row r="14124">
          <cell r="K14124" t="str">
            <v>00111145P.2</v>
          </cell>
        </row>
        <row r="14125">
          <cell r="K14125" t="str">
            <v>00111145P.2</v>
          </cell>
        </row>
        <row r="14126">
          <cell r="K14126" t="str">
            <v>00111145P.2</v>
          </cell>
        </row>
        <row r="14127">
          <cell r="K14127" t="str">
            <v>00111145P.2</v>
          </cell>
        </row>
        <row r="14128">
          <cell r="K14128" t="str">
            <v>00111145P.2</v>
          </cell>
        </row>
        <row r="14129">
          <cell r="K14129" t="str">
            <v>00111145P.2</v>
          </cell>
        </row>
        <row r="14130">
          <cell r="K14130" t="str">
            <v>00111145P.2</v>
          </cell>
        </row>
        <row r="14131">
          <cell r="K14131" t="str">
            <v>00111145P.2</v>
          </cell>
        </row>
        <row r="14132">
          <cell r="K14132" t="str">
            <v>00111145P.2</v>
          </cell>
        </row>
        <row r="14133">
          <cell r="K14133" t="str">
            <v>00111145P.2</v>
          </cell>
        </row>
        <row r="14134">
          <cell r="K14134" t="str">
            <v>00111145P.2</v>
          </cell>
        </row>
        <row r="14135">
          <cell r="K14135" t="str">
            <v>00111149P.2</v>
          </cell>
        </row>
        <row r="14136">
          <cell r="K14136" t="str">
            <v>00111149P.2</v>
          </cell>
        </row>
        <row r="14137">
          <cell r="K14137" t="str">
            <v>00111149P.2</v>
          </cell>
        </row>
        <row r="14138">
          <cell r="K14138" t="str">
            <v>00111149P.2</v>
          </cell>
        </row>
        <row r="14139">
          <cell r="K14139" t="str">
            <v>00111149P.2</v>
          </cell>
        </row>
        <row r="14140">
          <cell r="K14140" t="str">
            <v>00111149P.2</v>
          </cell>
        </row>
        <row r="14141">
          <cell r="K14141" t="str">
            <v>00111150P.2</v>
          </cell>
        </row>
        <row r="14142">
          <cell r="K14142" t="str">
            <v>00111150P.2</v>
          </cell>
        </row>
        <row r="14143">
          <cell r="K14143" t="str">
            <v>00111150P.2</v>
          </cell>
        </row>
        <row r="14144">
          <cell r="K14144" t="str">
            <v>00111150P.2</v>
          </cell>
        </row>
        <row r="14145">
          <cell r="K14145" t="str">
            <v>00111150P.2</v>
          </cell>
        </row>
        <row r="14146">
          <cell r="K14146" t="str">
            <v>00111150P.2</v>
          </cell>
        </row>
        <row r="14147">
          <cell r="K14147" t="str">
            <v>00111153P.2</v>
          </cell>
        </row>
        <row r="14148">
          <cell r="K14148" t="str">
            <v>00111153P.2</v>
          </cell>
        </row>
        <row r="14149">
          <cell r="K14149" t="str">
            <v>00111153P.2</v>
          </cell>
        </row>
        <row r="14150">
          <cell r="K14150" t="str">
            <v>00111153P.2</v>
          </cell>
        </row>
        <row r="14151">
          <cell r="K14151" t="str">
            <v>00111153P.2</v>
          </cell>
        </row>
        <row r="14152">
          <cell r="K14152" t="str">
            <v>00111153P.2</v>
          </cell>
        </row>
        <row r="14153">
          <cell r="K14153" t="str">
            <v>00111153P.2</v>
          </cell>
        </row>
        <row r="14154">
          <cell r="K14154" t="str">
            <v>00111153P.2</v>
          </cell>
        </row>
        <row r="14155">
          <cell r="K14155" t="str">
            <v>00111153P.2</v>
          </cell>
        </row>
        <row r="14156">
          <cell r="K14156" t="str">
            <v>00111153P.2</v>
          </cell>
        </row>
        <row r="14157">
          <cell r="K14157" t="str">
            <v>00111153P.2</v>
          </cell>
        </row>
        <row r="14158">
          <cell r="K14158" t="str">
            <v>00111153P.2</v>
          </cell>
        </row>
        <row r="14159">
          <cell r="K14159" t="str">
            <v>00111153P.2</v>
          </cell>
        </row>
        <row r="14160">
          <cell r="K14160" t="str">
            <v>00111145P.2</v>
          </cell>
        </row>
        <row r="14161">
          <cell r="K14161" t="str">
            <v>00111145P.2</v>
          </cell>
        </row>
        <row r="14162">
          <cell r="K14162" t="str">
            <v>00111145P.2</v>
          </cell>
        </row>
        <row r="14163">
          <cell r="K14163" t="str">
            <v>00111145P.2</v>
          </cell>
        </row>
        <row r="14164">
          <cell r="K14164" t="str">
            <v>00111145P.2</v>
          </cell>
        </row>
        <row r="14165">
          <cell r="K14165" t="str">
            <v>00111145P.2</v>
          </cell>
        </row>
        <row r="14166">
          <cell r="K14166" t="str">
            <v>00111145P.2</v>
          </cell>
        </row>
        <row r="14167">
          <cell r="K14167" t="str">
            <v>00111145P.2</v>
          </cell>
        </row>
        <row r="14168">
          <cell r="K14168" t="str">
            <v>00111145P.2</v>
          </cell>
        </row>
        <row r="14169">
          <cell r="K14169" t="str">
            <v>00111145P.2</v>
          </cell>
        </row>
        <row r="14170">
          <cell r="K14170" t="str">
            <v>00111145P.2</v>
          </cell>
        </row>
        <row r="14171">
          <cell r="K14171" t="str">
            <v>00111145P.2</v>
          </cell>
        </row>
        <row r="14172">
          <cell r="K14172" t="str">
            <v>00111145P.2</v>
          </cell>
        </row>
        <row r="14173">
          <cell r="K14173" t="str">
            <v>00111145P.2</v>
          </cell>
        </row>
        <row r="14174">
          <cell r="K14174" t="str">
            <v>00111145P.2</v>
          </cell>
        </row>
        <row r="14175">
          <cell r="K14175" t="str">
            <v>00111145P.2</v>
          </cell>
        </row>
        <row r="14176">
          <cell r="K14176" t="str">
            <v>00111145P.2</v>
          </cell>
        </row>
        <row r="14177">
          <cell r="K14177" t="str">
            <v>00111145P.2</v>
          </cell>
        </row>
        <row r="14178">
          <cell r="K14178" t="str">
            <v>00111145P.2</v>
          </cell>
        </row>
        <row r="14179">
          <cell r="K14179" t="str">
            <v>00111145P.2</v>
          </cell>
        </row>
        <row r="14180">
          <cell r="K14180" t="str">
            <v>00111145P.2</v>
          </cell>
        </row>
        <row r="14181">
          <cell r="K14181" t="str">
            <v>00111145P.2</v>
          </cell>
        </row>
        <row r="14182">
          <cell r="K14182" t="str">
            <v>00111145P.2</v>
          </cell>
        </row>
        <row r="14183">
          <cell r="K14183" t="str">
            <v>00111145P.2</v>
          </cell>
        </row>
        <row r="14184">
          <cell r="K14184" t="str">
            <v>00111145P.2</v>
          </cell>
        </row>
        <row r="14185">
          <cell r="K14185" t="str">
            <v>00111145P.2</v>
          </cell>
        </row>
        <row r="14186">
          <cell r="K14186" t="str">
            <v>00111145P.2</v>
          </cell>
        </row>
        <row r="14187">
          <cell r="K14187" t="str">
            <v>00111145P.2</v>
          </cell>
        </row>
        <row r="14188">
          <cell r="K14188" t="str">
            <v>00111145P.2</v>
          </cell>
        </row>
        <row r="14189">
          <cell r="K14189" t="str">
            <v>00111145P.2</v>
          </cell>
        </row>
        <row r="14190">
          <cell r="K14190" t="str">
            <v>00111145P.2</v>
          </cell>
        </row>
        <row r="14191">
          <cell r="K14191" t="str">
            <v>00111145P.2</v>
          </cell>
        </row>
        <row r="14192">
          <cell r="K14192" t="str">
            <v>00111145P.2</v>
          </cell>
        </row>
        <row r="14193">
          <cell r="K14193" t="str">
            <v>00111145P.2</v>
          </cell>
        </row>
        <row r="14194">
          <cell r="K14194" t="str">
            <v>00111145P.2</v>
          </cell>
        </row>
        <row r="14195">
          <cell r="K14195" t="str">
            <v>00111145P.2</v>
          </cell>
        </row>
        <row r="14196">
          <cell r="K14196" t="str">
            <v>00111145P.2</v>
          </cell>
        </row>
        <row r="14197">
          <cell r="K14197" t="str">
            <v>00111145P.2</v>
          </cell>
        </row>
        <row r="14198">
          <cell r="K14198" t="str">
            <v>00111145P.2</v>
          </cell>
        </row>
        <row r="14199">
          <cell r="K14199" t="str">
            <v>00111145P.2</v>
          </cell>
        </row>
        <row r="14200">
          <cell r="K14200" t="str">
            <v>00111145P.2</v>
          </cell>
        </row>
        <row r="14201">
          <cell r="K14201" t="str">
            <v>00111145P.2</v>
          </cell>
        </row>
        <row r="14202">
          <cell r="K14202" t="str">
            <v>00111145P.2</v>
          </cell>
        </row>
        <row r="14203">
          <cell r="K14203" t="str">
            <v>00111145P.2</v>
          </cell>
        </row>
        <row r="14204">
          <cell r="K14204" t="str">
            <v>00111145P.2</v>
          </cell>
        </row>
        <row r="14205">
          <cell r="K14205" t="str">
            <v>00111145P.2</v>
          </cell>
        </row>
        <row r="14206">
          <cell r="K14206" t="str">
            <v>00111145P.2</v>
          </cell>
        </row>
        <row r="14207">
          <cell r="K14207" t="str">
            <v>00111145P.2</v>
          </cell>
        </row>
        <row r="14208">
          <cell r="K14208" t="str">
            <v>00111145P.2</v>
          </cell>
        </row>
        <row r="14209">
          <cell r="K14209" t="str">
            <v>00111145P.2</v>
          </cell>
        </row>
        <row r="14210">
          <cell r="K14210" t="str">
            <v>00111145P.2</v>
          </cell>
        </row>
        <row r="14211">
          <cell r="K14211" t="str">
            <v>00111145P.2</v>
          </cell>
        </row>
        <row r="14212">
          <cell r="K14212" t="str">
            <v>00111145P.2</v>
          </cell>
        </row>
        <row r="14213">
          <cell r="K14213" t="str">
            <v>00111145P.2</v>
          </cell>
        </row>
        <row r="14214">
          <cell r="K14214" t="str">
            <v>00111145P.2</v>
          </cell>
        </row>
        <row r="14215">
          <cell r="K14215" t="str">
            <v>00111145P.2</v>
          </cell>
        </row>
        <row r="14216">
          <cell r="K14216" t="str">
            <v>00111145P.2</v>
          </cell>
        </row>
        <row r="14217">
          <cell r="K14217" t="str">
            <v>00111145P.2</v>
          </cell>
        </row>
        <row r="14218">
          <cell r="K14218" t="str">
            <v>00111145P.2</v>
          </cell>
        </row>
        <row r="14219">
          <cell r="K14219" t="str">
            <v>00111145P.2</v>
          </cell>
        </row>
        <row r="14220">
          <cell r="K14220" t="str">
            <v>00111145P.2</v>
          </cell>
        </row>
        <row r="14221">
          <cell r="K14221" t="str">
            <v>00111149P.2</v>
          </cell>
        </row>
        <row r="14222">
          <cell r="K14222" t="str">
            <v>00111149P.2</v>
          </cell>
        </row>
        <row r="14223">
          <cell r="K14223" t="str">
            <v>00111149P.2</v>
          </cell>
        </row>
        <row r="14224">
          <cell r="K14224" t="str">
            <v>00111149P.2</v>
          </cell>
        </row>
        <row r="14225">
          <cell r="K14225" t="str">
            <v>00111149P.2</v>
          </cell>
        </row>
        <row r="14226">
          <cell r="K14226" t="str">
            <v>00111149P.2</v>
          </cell>
        </row>
        <row r="14227">
          <cell r="K14227" t="str">
            <v>00111149P.2</v>
          </cell>
        </row>
        <row r="14228">
          <cell r="K14228" t="str">
            <v>00111150P.2</v>
          </cell>
        </row>
        <row r="14229">
          <cell r="K14229" t="str">
            <v>00111150P.2</v>
          </cell>
        </row>
        <row r="14230">
          <cell r="K14230" t="str">
            <v>00111150P.2</v>
          </cell>
        </row>
        <row r="14231">
          <cell r="K14231" t="str">
            <v>00111150P.2</v>
          </cell>
        </row>
        <row r="14232">
          <cell r="K14232" t="str">
            <v>00111150P.2</v>
          </cell>
        </row>
        <row r="14233">
          <cell r="K14233" t="str">
            <v>00111150P.2</v>
          </cell>
        </row>
        <row r="14234">
          <cell r="K14234" t="str">
            <v>00111150P.2</v>
          </cell>
        </row>
        <row r="14235">
          <cell r="K14235" t="str">
            <v>01010014E.13</v>
          </cell>
        </row>
        <row r="14236">
          <cell r="K14236" t="str">
            <v>01010010E.13</v>
          </cell>
        </row>
        <row r="14237">
          <cell r="K14237" t="str">
            <v>01010027E.111</v>
          </cell>
        </row>
        <row r="14238">
          <cell r="K14238" t="str">
            <v>01010021E.13</v>
          </cell>
        </row>
        <row r="14239">
          <cell r="K14239" t="str">
            <v>01010024E.13</v>
          </cell>
        </row>
        <row r="14240">
          <cell r="K14240" t="str">
            <v>01010018E.13</v>
          </cell>
        </row>
        <row r="14241">
          <cell r="K14241" t="str">
            <v>01010016E.13</v>
          </cell>
        </row>
        <row r="14242">
          <cell r="K14242" t="str">
            <v>01010026E.13</v>
          </cell>
        </row>
        <row r="14243">
          <cell r="K14243" t="str">
            <v>01010032E.13</v>
          </cell>
        </row>
        <row r="14244">
          <cell r="K14244" t="str">
            <v>01010032E.13</v>
          </cell>
        </row>
        <row r="14245">
          <cell r="K14245" t="str">
            <v>01010028E.13</v>
          </cell>
        </row>
        <row r="14246">
          <cell r="K14246" t="str">
            <v>01010036E.111</v>
          </cell>
        </row>
        <row r="14247">
          <cell r="K14247" t="str">
            <v>01010023E.111</v>
          </cell>
        </row>
        <row r="14248">
          <cell r="K14248" t="str">
            <v>01010022E.13</v>
          </cell>
        </row>
        <row r="14249">
          <cell r="K14249" t="str">
            <v>01010028E.111</v>
          </cell>
        </row>
        <row r="14250">
          <cell r="K14250" t="str">
            <v>01010036E.111</v>
          </cell>
        </row>
        <row r="14251">
          <cell r="K14251" t="str">
            <v>01010013E.13</v>
          </cell>
        </row>
        <row r="14252">
          <cell r="K14252" t="str">
            <v>01010014E.111</v>
          </cell>
        </row>
        <row r="14253">
          <cell r="K14253" t="str">
            <v>01010012E.111</v>
          </cell>
        </row>
        <row r="14254">
          <cell r="K14254" t="str">
            <v>01010026E.111</v>
          </cell>
        </row>
        <row r="14255">
          <cell r="K14255" t="str">
            <v>01010030E.111</v>
          </cell>
        </row>
        <row r="14256">
          <cell r="K14256" t="str">
            <v>01010027E.111</v>
          </cell>
        </row>
        <row r="14257">
          <cell r="K14257" t="str">
            <v>01010018E.111</v>
          </cell>
        </row>
        <row r="14258">
          <cell r="K14258" t="str">
            <v>01010036E.111</v>
          </cell>
        </row>
        <row r="14259">
          <cell r="K14259" t="str">
            <v>01010024E.111</v>
          </cell>
        </row>
        <row r="14260">
          <cell r="K14260" t="str">
            <v>01010023E.111</v>
          </cell>
        </row>
        <row r="14261">
          <cell r="K14261" t="str">
            <v>01010026E.111</v>
          </cell>
        </row>
        <row r="14262">
          <cell r="K14262" t="str">
            <v>01010021E.111</v>
          </cell>
        </row>
        <row r="14263">
          <cell r="K14263" t="str">
            <v>01010013E.111</v>
          </cell>
        </row>
        <row r="14264">
          <cell r="K14264" t="str">
            <v>01010033E.111</v>
          </cell>
        </row>
        <row r="14265">
          <cell r="K14265" t="str">
            <v>01010023E.111</v>
          </cell>
        </row>
        <row r="14266">
          <cell r="K14266" t="str">
            <v>01010028E.111</v>
          </cell>
        </row>
        <row r="14267">
          <cell r="K14267" t="str">
            <v>01010035E.111</v>
          </cell>
        </row>
        <row r="14268">
          <cell r="K14268" t="str">
            <v>01010051E.111</v>
          </cell>
        </row>
        <row r="14269">
          <cell r="K14269" t="str">
            <v>01010053E.111</v>
          </cell>
        </row>
        <row r="14270">
          <cell r="K14270" t="str">
            <v>01010018E.111</v>
          </cell>
        </row>
        <row r="14271">
          <cell r="K14271" t="str">
            <v>01010031E.111</v>
          </cell>
        </row>
        <row r="14272">
          <cell r="K14272" t="str">
            <v>01010035E.111</v>
          </cell>
        </row>
        <row r="14273">
          <cell r="K14273" t="str">
            <v>01010026E.122</v>
          </cell>
        </row>
        <row r="14274">
          <cell r="K14274" t="str">
            <v>01010032E.122</v>
          </cell>
        </row>
        <row r="14275">
          <cell r="K14275" t="str">
            <v>01010043E.122</v>
          </cell>
        </row>
        <row r="14276">
          <cell r="K14276" t="str">
            <v>01010022E.122</v>
          </cell>
        </row>
        <row r="14277">
          <cell r="K14277" t="str">
            <v>01010010E.111</v>
          </cell>
        </row>
        <row r="14278">
          <cell r="K14278" t="str">
            <v>01010010E.112</v>
          </cell>
        </row>
        <row r="14279">
          <cell r="K14279" t="str">
            <v>00201143D.111</v>
          </cell>
        </row>
        <row r="14280">
          <cell r="K14280" t="str">
            <v>00201103D.111</v>
          </cell>
        </row>
        <row r="14281">
          <cell r="K14281" t="str">
            <v>00201138D.121</v>
          </cell>
        </row>
        <row r="14282">
          <cell r="K14282" t="str">
            <v>00201102D.112</v>
          </cell>
        </row>
        <row r="14283">
          <cell r="K14283" t="str">
            <v>00201102D.112</v>
          </cell>
        </row>
        <row r="14284">
          <cell r="K14284" t="str">
            <v>00201102D.112</v>
          </cell>
        </row>
        <row r="14285">
          <cell r="K14285" t="str">
            <v>00201102D.111</v>
          </cell>
        </row>
        <row r="14286">
          <cell r="K14286" t="str">
            <v>00201152D.121</v>
          </cell>
        </row>
        <row r="14287">
          <cell r="K14287" t="str">
            <v>00201118D.111</v>
          </cell>
        </row>
        <row r="14288">
          <cell r="K14288" t="str">
            <v>00201126D.111</v>
          </cell>
        </row>
        <row r="14289">
          <cell r="K14289" t="str">
            <v>00201149D.111</v>
          </cell>
        </row>
        <row r="14290">
          <cell r="K14290" t="str">
            <v>00201144D.121</v>
          </cell>
        </row>
        <row r="14291">
          <cell r="K14291" t="str">
            <v>00201136D.121</v>
          </cell>
        </row>
        <row r="14292">
          <cell r="K14292" t="str">
            <v>00201119D.111</v>
          </cell>
        </row>
        <row r="14293">
          <cell r="K14293" t="str">
            <v>00201121D.111</v>
          </cell>
        </row>
        <row r="14294">
          <cell r="K14294" t="str">
            <v>00201127D.121</v>
          </cell>
        </row>
        <row r="14295">
          <cell r="K14295" t="str">
            <v>00201117D.121</v>
          </cell>
        </row>
        <row r="14296">
          <cell r="K14296" t="str">
            <v>00201133D.121</v>
          </cell>
        </row>
        <row r="14297">
          <cell r="K14297" t="str">
            <v>00201136D.121</v>
          </cell>
        </row>
        <row r="14298">
          <cell r="K14298" t="str">
            <v>00201116D.121</v>
          </cell>
        </row>
        <row r="14299">
          <cell r="K14299" t="str">
            <v>00201114D.121</v>
          </cell>
        </row>
        <row r="14300">
          <cell r="K14300" t="str">
            <v>00201115D.111</v>
          </cell>
        </row>
        <row r="14301">
          <cell r="K14301" t="str">
            <v>00201110D.121</v>
          </cell>
        </row>
        <row r="14302">
          <cell r="K14302" t="str">
            <v>00201123D.121</v>
          </cell>
        </row>
        <row r="14303">
          <cell r="K14303" t="str">
            <v>00201136D.111</v>
          </cell>
        </row>
        <row r="14304">
          <cell r="K14304" t="str">
            <v>00201127D.111</v>
          </cell>
        </row>
        <row r="14305">
          <cell r="K14305" t="str">
            <v>00201119D.121</v>
          </cell>
        </row>
        <row r="14306">
          <cell r="K14306" t="str">
            <v>00201125D.121</v>
          </cell>
        </row>
        <row r="14307">
          <cell r="K14307" t="str">
            <v>00201118D.111</v>
          </cell>
        </row>
        <row r="14308">
          <cell r="K14308" t="str">
            <v>00201132D.121</v>
          </cell>
        </row>
        <row r="14309">
          <cell r="K14309" t="str">
            <v>00201135D.121</v>
          </cell>
        </row>
        <row r="14310">
          <cell r="K14310" t="str">
            <v>00201122D.111</v>
          </cell>
        </row>
        <row r="14311">
          <cell r="K14311" t="str">
            <v>00201115D.121</v>
          </cell>
        </row>
        <row r="14312">
          <cell r="K14312" t="str">
            <v>00201118D.121</v>
          </cell>
        </row>
        <row r="14313">
          <cell r="K14313" t="str">
            <v>00201134D.121</v>
          </cell>
        </row>
        <row r="14314">
          <cell r="K14314" t="str">
            <v>00201130D.121</v>
          </cell>
        </row>
        <row r="14315">
          <cell r="K14315" t="str">
            <v>00201132D.111</v>
          </cell>
        </row>
        <row r="14316">
          <cell r="K14316" t="str">
            <v>00201131D.111</v>
          </cell>
        </row>
        <row r="14317">
          <cell r="K14317" t="str">
            <v>00201128D.111</v>
          </cell>
        </row>
        <row r="14318">
          <cell r="K14318" t="str">
            <v>00201117D.111</v>
          </cell>
        </row>
        <row r="14319">
          <cell r="K14319" t="str">
            <v>00201130D.111</v>
          </cell>
        </row>
        <row r="14320">
          <cell r="K14320" t="str">
            <v>00201112D.111</v>
          </cell>
        </row>
        <row r="14321">
          <cell r="K14321" t="str">
            <v>00201125D.111</v>
          </cell>
        </row>
        <row r="14322">
          <cell r="K14322" t="str">
            <v>00201129D.111</v>
          </cell>
        </row>
        <row r="14323">
          <cell r="K14323" t="str">
            <v>00201151D.121</v>
          </cell>
        </row>
        <row r="14324">
          <cell r="K14324" t="str">
            <v>00201151D.122</v>
          </cell>
        </row>
        <row r="14325">
          <cell r="K14325" t="str">
            <v>00201151D.121</v>
          </cell>
        </row>
        <row r="14326">
          <cell r="K14326" t="str">
            <v>00201110D.111</v>
          </cell>
        </row>
        <row r="14327">
          <cell r="K14327" t="str">
            <v>00201128D.121</v>
          </cell>
        </row>
        <row r="14328">
          <cell r="K14328" t="str">
            <v>00201125D.111</v>
          </cell>
        </row>
        <row r="14329">
          <cell r="K14329" t="str">
            <v>00201130D.111</v>
          </cell>
        </row>
        <row r="14330">
          <cell r="K14330" t="str">
            <v>00201129D.121</v>
          </cell>
        </row>
        <row r="14331">
          <cell r="K14331" t="str">
            <v>00201153D.111</v>
          </cell>
        </row>
        <row r="14332">
          <cell r="K14332" t="str">
            <v>00201150D.111</v>
          </cell>
        </row>
        <row r="14333">
          <cell r="K14333" t="str">
            <v>00201110D.111</v>
          </cell>
        </row>
        <row r="14334">
          <cell r="K14334" t="str">
            <v>00201120D.111</v>
          </cell>
        </row>
        <row r="14335">
          <cell r="K14335" t="str">
            <v>00201133D.111</v>
          </cell>
        </row>
        <row r="14336">
          <cell r="K14336" t="str">
            <v>00201135D.111</v>
          </cell>
        </row>
        <row r="14337">
          <cell r="K14337" t="str">
            <v>00201106D.111</v>
          </cell>
        </row>
        <row r="14338">
          <cell r="K14338" t="str">
            <v>00201114D.111</v>
          </cell>
        </row>
        <row r="14339">
          <cell r="K14339" t="str">
            <v>00201130D.111</v>
          </cell>
        </row>
        <row r="14340">
          <cell r="K14340" t="str">
            <v>00201107D.121</v>
          </cell>
        </row>
        <row r="14341">
          <cell r="K14341" t="str">
            <v>00201113D.111</v>
          </cell>
        </row>
        <row r="14342">
          <cell r="K14342" t="str">
            <v>00201145D.111</v>
          </cell>
        </row>
        <row r="14343">
          <cell r="K14343" t="str">
            <v>00201113D.111</v>
          </cell>
        </row>
        <row r="14344">
          <cell r="K14344" t="str">
            <v>00201127D.111</v>
          </cell>
        </row>
        <row r="14345">
          <cell r="K14345" t="str">
            <v>00201130D.111</v>
          </cell>
        </row>
        <row r="14346">
          <cell r="K14346" t="str">
            <v>00201120D.121</v>
          </cell>
        </row>
        <row r="14347">
          <cell r="K14347" t="str">
            <v>00201128D.121</v>
          </cell>
        </row>
        <row r="14348">
          <cell r="K14348" t="str">
            <v>00201129D.121</v>
          </cell>
        </row>
        <row r="14349">
          <cell r="K14349" t="str">
            <v>00201133D.121</v>
          </cell>
        </row>
        <row r="14350">
          <cell r="K14350" t="str">
            <v>00201149D.121</v>
          </cell>
        </row>
        <row r="14351">
          <cell r="K14351" t="str">
            <v>00201159D.121</v>
          </cell>
        </row>
        <row r="14352">
          <cell r="K14352" t="str">
            <v>00201112D.121</v>
          </cell>
        </row>
        <row r="14353">
          <cell r="K14353" t="str">
            <v>00201110D.121</v>
          </cell>
        </row>
        <row r="14354">
          <cell r="K14354" t="str">
            <v>00201113D.111</v>
          </cell>
        </row>
        <row r="14355">
          <cell r="K14355" t="str">
            <v>00201136D.121</v>
          </cell>
        </row>
        <row r="14356">
          <cell r="K14356" t="str">
            <v>00201159D.122</v>
          </cell>
        </row>
        <row r="14357">
          <cell r="K14357" t="str">
            <v>00201140D.111</v>
          </cell>
        </row>
        <row r="14358">
          <cell r="K14358" t="str">
            <v>00201140D.121</v>
          </cell>
        </row>
        <row r="14359">
          <cell r="K14359" t="str">
            <v>00201149D.122</v>
          </cell>
        </row>
        <row r="14360">
          <cell r="K14360" t="str">
            <v>00201157D.111</v>
          </cell>
        </row>
        <row r="14361">
          <cell r="K14361" t="str">
            <v>00201109D.111</v>
          </cell>
        </row>
        <row r="14362">
          <cell r="K14362" t="str">
            <v>00201111D.111</v>
          </cell>
        </row>
        <row r="14363">
          <cell r="K14363" t="str">
            <v>00201114D.111</v>
          </cell>
        </row>
        <row r="14364">
          <cell r="K14364" t="str">
            <v>00201123D.111</v>
          </cell>
        </row>
        <row r="14365">
          <cell r="K14365" t="str">
            <v>00201134D.111</v>
          </cell>
        </row>
        <row r="14366">
          <cell r="K14366" t="str">
            <v>00201136D.111</v>
          </cell>
        </row>
        <row r="14367">
          <cell r="K14367" t="str">
            <v>00201149D.111</v>
          </cell>
        </row>
        <row r="14368">
          <cell r="K14368" t="str">
            <v>00201153D.111</v>
          </cell>
        </row>
        <row r="14369">
          <cell r="K14369" t="str">
            <v>00201110D.121</v>
          </cell>
        </row>
        <row r="14370">
          <cell r="K14370" t="str">
            <v>00201127D.121</v>
          </cell>
        </row>
        <row r="14371">
          <cell r="K14371" t="str">
            <v>00201136D.121</v>
          </cell>
        </row>
        <row r="14372">
          <cell r="K14372" t="str">
            <v>00201138D.121</v>
          </cell>
        </row>
        <row r="14373">
          <cell r="K14373" t="str">
            <v>00201156D.121</v>
          </cell>
        </row>
        <row r="14374">
          <cell r="K14374" t="str">
            <v>00201154D.122</v>
          </cell>
        </row>
        <row r="14375">
          <cell r="K14375" t="str">
            <v>00201112D.112</v>
          </cell>
        </row>
        <row r="14376">
          <cell r="K14376" t="str">
            <v>00201151D.121</v>
          </cell>
        </row>
        <row r="14377">
          <cell r="K14377" t="str">
            <v>00201151D.122</v>
          </cell>
        </row>
        <row r="14378">
          <cell r="K14378" t="str">
            <v>00201154D.122</v>
          </cell>
        </row>
        <row r="14379">
          <cell r="K14379" t="str">
            <v>00201156D.111</v>
          </cell>
        </row>
        <row r="14380">
          <cell r="K14380" t="str">
            <v>00201160D.122</v>
          </cell>
        </row>
        <row r="14381">
          <cell r="K14381" t="str">
            <v>00201149D.122</v>
          </cell>
        </row>
        <row r="14382">
          <cell r="K14382" t="str">
            <v>00201153D.122</v>
          </cell>
        </row>
        <row r="14383">
          <cell r="K14383" t="str">
            <v>00201157D.111</v>
          </cell>
        </row>
        <row r="14384">
          <cell r="K14384" t="str">
            <v>00201154D.122</v>
          </cell>
        </row>
        <row r="14385">
          <cell r="K14385" t="str">
            <v>00201156D.111</v>
          </cell>
        </row>
        <row r="14386">
          <cell r="K14386" t="str">
            <v>00201157D.121</v>
          </cell>
        </row>
        <row r="14387">
          <cell r="K14387" t="str">
            <v>00201160D.111</v>
          </cell>
        </row>
        <row r="14388">
          <cell r="K14388" t="str">
            <v>00201140D.111</v>
          </cell>
        </row>
        <row r="14389">
          <cell r="K14389" t="str">
            <v>00201140D.121</v>
          </cell>
        </row>
        <row r="14390">
          <cell r="K14390" t="str">
            <v>00201158D.111</v>
          </cell>
        </row>
        <row r="14391">
          <cell r="K14391" t="str">
            <v>00201138D.121</v>
          </cell>
        </row>
        <row r="14392">
          <cell r="K14392" t="str">
            <v>00201102D.112</v>
          </cell>
        </row>
        <row r="14393">
          <cell r="K14393" t="str">
            <v>00201135D.111</v>
          </cell>
        </row>
        <row r="14394">
          <cell r="K14394" t="str">
            <v>00201112D.121</v>
          </cell>
        </row>
        <row r="14395">
          <cell r="K14395" t="str">
            <v>00201119D.121</v>
          </cell>
        </row>
        <row r="14396">
          <cell r="K14396" t="str">
            <v>00201121D.121</v>
          </cell>
        </row>
        <row r="14397">
          <cell r="K14397" t="str">
            <v>00201122D.121</v>
          </cell>
        </row>
        <row r="14398">
          <cell r="K14398" t="str">
            <v>00201128D.121</v>
          </cell>
        </row>
        <row r="14399">
          <cell r="K14399" t="str">
            <v>00201132D.121</v>
          </cell>
        </row>
        <row r="14400">
          <cell r="K14400" t="str">
            <v>00201157D.121</v>
          </cell>
        </row>
        <row r="14401">
          <cell r="K14401" t="str">
            <v>00201151D.111</v>
          </cell>
        </row>
        <row r="14402">
          <cell r="K14402" t="str">
            <v>00201125D.112</v>
          </cell>
        </row>
        <row r="14403">
          <cell r="K14403" t="str">
            <v>00201101D.112</v>
          </cell>
        </row>
        <row r="14404">
          <cell r="K14404" t="str">
            <v>00201146D.121</v>
          </cell>
        </row>
        <row r="14405">
          <cell r="K14405" t="str">
            <v>00201153D.121</v>
          </cell>
        </row>
        <row r="14406">
          <cell r="K14406" t="str">
            <v>00201150D.121</v>
          </cell>
        </row>
        <row r="14407">
          <cell r="K14407" t="str">
            <v>00201150D.111</v>
          </cell>
        </row>
        <row r="14408">
          <cell r="K14408" t="str">
            <v>00201143D.29</v>
          </cell>
        </row>
        <row r="14409">
          <cell r="K14409" t="str">
            <v>00201158D.29</v>
          </cell>
        </row>
        <row r="14410">
          <cell r="K14410" t="str">
            <v>00201150D.29</v>
          </cell>
        </row>
        <row r="14411">
          <cell r="K14411" t="str">
            <v>00201160D.29</v>
          </cell>
        </row>
        <row r="14412">
          <cell r="K14412" t="str">
            <v>00201114D.29</v>
          </cell>
        </row>
        <row r="14413">
          <cell r="K14413" t="str">
            <v>00201130D.29</v>
          </cell>
        </row>
        <row r="14414">
          <cell r="K14414" t="str">
            <v>00201120D.29</v>
          </cell>
        </row>
        <row r="14415">
          <cell r="K14415" t="str">
            <v>00201136D.29</v>
          </cell>
        </row>
        <row r="14416">
          <cell r="K14416" t="str">
            <v>00201124D.29</v>
          </cell>
        </row>
        <row r="14417">
          <cell r="K14417" t="str">
            <v>00201126D.29</v>
          </cell>
        </row>
        <row r="14418">
          <cell r="K14418" t="str">
            <v>00201123D.29</v>
          </cell>
        </row>
        <row r="14419">
          <cell r="K14419" t="str">
            <v>00201114D.29</v>
          </cell>
        </row>
        <row r="14420">
          <cell r="K14420" t="str">
            <v>00201126D.29</v>
          </cell>
        </row>
        <row r="14421">
          <cell r="K14421" t="str">
            <v>00201131D.29</v>
          </cell>
        </row>
        <row r="14422">
          <cell r="K14422" t="str">
            <v>00201122D.29</v>
          </cell>
        </row>
        <row r="14423">
          <cell r="K14423" t="str">
            <v>00201128D.29</v>
          </cell>
        </row>
        <row r="14424">
          <cell r="K14424" t="str">
            <v>00201118D.29</v>
          </cell>
        </row>
        <row r="14425">
          <cell r="K14425" t="str">
            <v>00201128D.29</v>
          </cell>
        </row>
        <row r="14426">
          <cell r="K14426" t="str">
            <v>00201143D.29</v>
          </cell>
        </row>
        <row r="14427">
          <cell r="K14427" t="str">
            <v>00201153D.29</v>
          </cell>
        </row>
        <row r="14428">
          <cell r="K14428" t="str">
            <v>00201117D.29</v>
          </cell>
        </row>
        <row r="14429">
          <cell r="K14429" t="str">
            <v>00201127D.29</v>
          </cell>
        </row>
        <row r="14430">
          <cell r="K14430" t="str">
            <v>00201131D.29</v>
          </cell>
        </row>
        <row r="14431">
          <cell r="K14431" t="str">
            <v>00201132D.29</v>
          </cell>
        </row>
        <row r="14432">
          <cell r="K14432" t="str">
            <v>00201143D.29</v>
          </cell>
        </row>
        <row r="14433">
          <cell r="K14433" t="str">
            <v>00201113D.29</v>
          </cell>
        </row>
        <row r="14434">
          <cell r="K14434" t="str">
            <v>00201122D.29</v>
          </cell>
        </row>
        <row r="14435">
          <cell r="K14435" t="str">
            <v>00201158D.29</v>
          </cell>
        </row>
        <row r="14436">
          <cell r="K14436" t="str">
            <v>00201157D.29</v>
          </cell>
        </row>
        <row r="14437">
          <cell r="K14437" t="str">
            <v>00201109D.29</v>
          </cell>
        </row>
        <row r="14438">
          <cell r="K14438" t="str">
            <v>00201115D.29</v>
          </cell>
        </row>
        <row r="14439">
          <cell r="K14439" t="str">
            <v>00201121D.29</v>
          </cell>
        </row>
        <row r="14440">
          <cell r="K14440" t="str">
            <v>00201126D.29</v>
          </cell>
        </row>
        <row r="14441">
          <cell r="K14441" t="str">
            <v>00201127D.29</v>
          </cell>
        </row>
        <row r="14442">
          <cell r="K14442" t="str">
            <v>00201128D.29</v>
          </cell>
        </row>
        <row r="14443">
          <cell r="K14443" t="str">
            <v>00201135D.29</v>
          </cell>
        </row>
        <row r="14444">
          <cell r="K14444" t="str">
            <v>00201149D.29</v>
          </cell>
        </row>
        <row r="14445">
          <cell r="K14445" t="str">
            <v>00201151D.29</v>
          </cell>
        </row>
        <row r="14446">
          <cell r="K14446" t="str">
            <v>00201151D.29</v>
          </cell>
        </row>
        <row r="14447">
          <cell r="K14447" t="str">
            <v>00201154D.29</v>
          </cell>
        </row>
        <row r="14448">
          <cell r="K14448" t="str">
            <v>00201156D.29</v>
          </cell>
        </row>
        <row r="14449">
          <cell r="K14449" t="str">
            <v>00201140D.29</v>
          </cell>
        </row>
        <row r="14450">
          <cell r="K14450" t="str">
            <v>00201138D.29</v>
          </cell>
        </row>
        <row r="14451">
          <cell r="K14451" t="str">
            <v>00201113D.29</v>
          </cell>
        </row>
        <row r="14452">
          <cell r="K14452" t="str">
            <v>00201118D.29</v>
          </cell>
        </row>
        <row r="14453">
          <cell r="K14453" t="str">
            <v>00201129D.29</v>
          </cell>
        </row>
        <row r="14454">
          <cell r="K14454" t="str">
            <v>00201132D.29</v>
          </cell>
        </row>
        <row r="14455">
          <cell r="K14455" t="str">
            <v>00201134D.29</v>
          </cell>
        </row>
        <row r="14456">
          <cell r="K14456" t="str">
            <v>00201153D.29</v>
          </cell>
        </row>
        <row r="14457">
          <cell r="K14457" t="str">
            <v>00201157D.29</v>
          </cell>
        </row>
        <row r="14458">
          <cell r="K14458" t="str">
            <v>00201146D.29</v>
          </cell>
        </row>
        <row r="14459">
          <cell r="K14459" t="str">
            <v>00201153D.29</v>
          </cell>
        </row>
        <row r="14460">
          <cell r="K14460" t="str">
            <v>00201143K.1</v>
          </cell>
        </row>
        <row r="14461">
          <cell r="K14461" t="str">
            <v>00201156K.1</v>
          </cell>
        </row>
        <row r="14462">
          <cell r="K14462" t="str">
            <v>00201156K.1</v>
          </cell>
        </row>
        <row r="14463">
          <cell r="K14463" t="str">
            <v>00021248P.11</v>
          </cell>
        </row>
        <row r="14464">
          <cell r="K14464" t="str">
            <v>00021243P.11</v>
          </cell>
        </row>
        <row r="14465">
          <cell r="K14465" t="str">
            <v>00021243P.11</v>
          </cell>
        </row>
        <row r="14466">
          <cell r="K14466" t="str">
            <v>00021243P.11</v>
          </cell>
        </row>
        <row r="14467">
          <cell r="K14467" t="str">
            <v>00021203P.11</v>
          </cell>
        </row>
        <row r="14468">
          <cell r="K14468" t="str">
            <v>00021238P.11</v>
          </cell>
        </row>
        <row r="14469">
          <cell r="K14469" t="str">
            <v>00021238P.11</v>
          </cell>
        </row>
        <row r="14470">
          <cell r="K14470" t="str">
            <v>00021238P.11</v>
          </cell>
        </row>
        <row r="14471">
          <cell r="K14471" t="str">
            <v>00021238P.11</v>
          </cell>
        </row>
        <row r="14472">
          <cell r="K14472" t="str">
            <v>00021238P.11</v>
          </cell>
        </row>
        <row r="14473">
          <cell r="K14473" t="str">
            <v>00021239P.11</v>
          </cell>
        </row>
        <row r="14474">
          <cell r="K14474" t="str">
            <v>00021240P.11</v>
          </cell>
        </row>
        <row r="14475">
          <cell r="K14475" t="str">
            <v>00021240P.11</v>
          </cell>
        </row>
        <row r="14476">
          <cell r="K14476" t="str">
            <v>00021258P.11</v>
          </cell>
        </row>
        <row r="14477">
          <cell r="K14477" t="str">
            <v>00021258P.11</v>
          </cell>
        </row>
        <row r="14478">
          <cell r="K14478" t="str">
            <v>00021258P.11</v>
          </cell>
        </row>
        <row r="14479">
          <cell r="K14479" t="str">
            <v>00021258P.11</v>
          </cell>
        </row>
        <row r="14480">
          <cell r="K14480" t="str">
            <v>00021258P.11</v>
          </cell>
        </row>
        <row r="14481">
          <cell r="K14481" t="str">
            <v>00021258P.11</v>
          </cell>
        </row>
        <row r="14482">
          <cell r="K14482" t="str">
            <v>00021202P.11</v>
          </cell>
        </row>
        <row r="14483">
          <cell r="K14483" t="str">
            <v>00021202P.11</v>
          </cell>
        </row>
        <row r="14484">
          <cell r="K14484" t="str">
            <v>00021202P.12</v>
          </cell>
        </row>
        <row r="14485">
          <cell r="K14485" t="str">
            <v>00021202P.11</v>
          </cell>
        </row>
        <row r="14486">
          <cell r="K14486" t="str">
            <v>00021202P.11</v>
          </cell>
        </row>
        <row r="14487">
          <cell r="K14487" t="str">
            <v>00021202P.11</v>
          </cell>
        </row>
        <row r="14488">
          <cell r="K14488" t="str">
            <v>00021202P.11</v>
          </cell>
        </row>
        <row r="14489">
          <cell r="K14489" t="str">
            <v>00021210P.11</v>
          </cell>
        </row>
        <row r="14490">
          <cell r="K14490" t="str">
            <v>00021210P.11</v>
          </cell>
        </row>
        <row r="14491">
          <cell r="K14491" t="str">
            <v>00021210P.11</v>
          </cell>
        </row>
        <row r="14492">
          <cell r="K14492" t="str">
            <v>00021210P.11</v>
          </cell>
        </row>
        <row r="14493">
          <cell r="K14493" t="str">
            <v>00021210P.11</v>
          </cell>
        </row>
        <row r="14494">
          <cell r="K14494" t="str">
            <v>00021218P.11</v>
          </cell>
        </row>
        <row r="14495">
          <cell r="K14495" t="str">
            <v>00021218P.11</v>
          </cell>
        </row>
        <row r="14496">
          <cell r="K14496" t="str">
            <v>00021218P.11</v>
          </cell>
        </row>
        <row r="14497">
          <cell r="K14497" t="str">
            <v>00021226P.11</v>
          </cell>
        </row>
        <row r="14498">
          <cell r="K14498" t="str">
            <v>00021226P.11</v>
          </cell>
        </row>
        <row r="14499">
          <cell r="K14499" t="str">
            <v>00021234P.11</v>
          </cell>
        </row>
        <row r="14500">
          <cell r="K14500" t="str">
            <v>00021234P.11</v>
          </cell>
        </row>
        <row r="14501">
          <cell r="K14501" t="str">
            <v>00021234P.11</v>
          </cell>
        </row>
        <row r="14502">
          <cell r="K14502" t="str">
            <v>00021243P.11</v>
          </cell>
        </row>
        <row r="14503">
          <cell r="K14503" t="str">
            <v>00021245P.11</v>
          </cell>
        </row>
        <row r="14504">
          <cell r="K14504" t="str">
            <v>00021245P.11</v>
          </cell>
        </row>
        <row r="14505">
          <cell r="K14505" t="str">
            <v>00021245P.11</v>
          </cell>
        </row>
        <row r="14506">
          <cell r="K14506" t="str">
            <v>00021248P.11</v>
          </cell>
        </row>
        <row r="14507">
          <cell r="K14507" t="str">
            <v>00021250P.11</v>
          </cell>
        </row>
        <row r="14508">
          <cell r="K14508" t="str">
            <v>00021257P.11</v>
          </cell>
        </row>
        <row r="14509">
          <cell r="K14509" t="str">
            <v>00021257P.11</v>
          </cell>
        </row>
        <row r="14510">
          <cell r="K14510" t="str">
            <v>00021244P.11</v>
          </cell>
        </row>
        <row r="14511">
          <cell r="K14511" t="str">
            <v>00021260P.11</v>
          </cell>
        </row>
        <row r="14512">
          <cell r="K14512" t="str">
            <v>00021260P.11</v>
          </cell>
        </row>
        <row r="14513">
          <cell r="K14513" t="str">
            <v>00021260P.11</v>
          </cell>
        </row>
        <row r="14514">
          <cell r="K14514" t="str">
            <v>00021260P.13</v>
          </cell>
        </row>
        <row r="14515">
          <cell r="K14515" t="str">
            <v>00021259P.11</v>
          </cell>
        </row>
        <row r="14516">
          <cell r="K14516" t="str">
            <v>00021259P.11</v>
          </cell>
        </row>
        <row r="14517">
          <cell r="K14517" t="str">
            <v>00021259P.11</v>
          </cell>
        </row>
        <row r="14518">
          <cell r="K14518" t="str">
            <v>00021259P.11</v>
          </cell>
        </row>
        <row r="14519">
          <cell r="K14519" t="str">
            <v>00021232P.11</v>
          </cell>
        </row>
        <row r="14520">
          <cell r="K14520" t="str">
            <v>00021213P.11</v>
          </cell>
        </row>
        <row r="14521">
          <cell r="K14521" t="str">
            <v>00021211P.11</v>
          </cell>
        </row>
        <row r="14522">
          <cell r="K14522" t="str">
            <v>00021220P.11</v>
          </cell>
        </row>
        <row r="14523">
          <cell r="K14523" t="str">
            <v>00021212P.11</v>
          </cell>
        </row>
        <row r="14524">
          <cell r="K14524" t="str">
            <v>00021216P.11</v>
          </cell>
        </row>
        <row r="14525">
          <cell r="K14525" t="str">
            <v>00021212P.11</v>
          </cell>
        </row>
        <row r="14526">
          <cell r="K14526" t="str">
            <v>00021227P.11</v>
          </cell>
        </row>
        <row r="14527">
          <cell r="K14527" t="str">
            <v>00021232P.11</v>
          </cell>
        </row>
        <row r="14528">
          <cell r="K14528" t="str">
            <v>00021223P.11</v>
          </cell>
        </row>
        <row r="14529">
          <cell r="K14529" t="str">
            <v>00021211P.11</v>
          </cell>
        </row>
        <row r="14530">
          <cell r="K14530" t="str">
            <v>00021232P.11</v>
          </cell>
        </row>
        <row r="14531">
          <cell r="K14531" t="str">
            <v>00021211P.11</v>
          </cell>
        </row>
        <row r="14532">
          <cell r="K14532" t="str">
            <v>00021212P.11</v>
          </cell>
        </row>
        <row r="14533">
          <cell r="K14533" t="str">
            <v>00021211P.11</v>
          </cell>
        </row>
        <row r="14534">
          <cell r="K14534" t="str">
            <v>00021223P.11</v>
          </cell>
        </row>
        <row r="14535">
          <cell r="K14535" t="str">
            <v>00021213P.11</v>
          </cell>
        </row>
        <row r="14536">
          <cell r="K14536" t="str">
            <v>00021213P.11</v>
          </cell>
        </row>
        <row r="14537">
          <cell r="K14537" t="str">
            <v>00021213P.11</v>
          </cell>
        </row>
        <row r="14538">
          <cell r="K14538" t="str">
            <v>00021231P.11</v>
          </cell>
        </row>
        <row r="14539">
          <cell r="K14539" t="str">
            <v>00021210P.11</v>
          </cell>
        </row>
        <row r="14540">
          <cell r="K14540" t="str">
            <v>00021216P.11</v>
          </cell>
        </row>
        <row r="14541">
          <cell r="K14541" t="str">
            <v>00021231P.11</v>
          </cell>
        </row>
        <row r="14542">
          <cell r="K14542" t="str">
            <v>00021223P.11</v>
          </cell>
        </row>
        <row r="14543">
          <cell r="K14543" t="str">
            <v>00021225P.11</v>
          </cell>
        </row>
        <row r="14544">
          <cell r="K14544" t="str">
            <v>00021222P.11</v>
          </cell>
        </row>
        <row r="14545">
          <cell r="K14545" t="str">
            <v>00021211P.11</v>
          </cell>
        </row>
        <row r="14546">
          <cell r="K14546" t="str">
            <v>00021232P.11</v>
          </cell>
        </row>
        <row r="14547">
          <cell r="K14547" t="str">
            <v>00021211P.11</v>
          </cell>
        </row>
        <row r="14548">
          <cell r="K14548" t="str">
            <v>00021228P.11</v>
          </cell>
        </row>
        <row r="14549">
          <cell r="K14549" t="str">
            <v>00021236P.11</v>
          </cell>
        </row>
        <row r="14550">
          <cell r="K14550" t="str">
            <v>00021213P.11</v>
          </cell>
        </row>
        <row r="14551">
          <cell r="K14551" t="str">
            <v>00021223P.11</v>
          </cell>
        </row>
        <row r="14552">
          <cell r="K14552" t="str">
            <v>00021210P.11</v>
          </cell>
        </row>
        <row r="14553">
          <cell r="K14553" t="str">
            <v>00021210P.11</v>
          </cell>
        </row>
        <row r="14554">
          <cell r="K14554" t="str">
            <v>00021210P.11</v>
          </cell>
        </row>
        <row r="14555">
          <cell r="K14555" t="str">
            <v>00021213P.11</v>
          </cell>
        </row>
        <row r="14556">
          <cell r="K14556" t="str">
            <v>00021220P.11</v>
          </cell>
        </row>
        <row r="14557">
          <cell r="K14557" t="str">
            <v>00021210P.11</v>
          </cell>
        </row>
        <row r="14558">
          <cell r="K14558" t="str">
            <v>00021210P.11</v>
          </cell>
        </row>
        <row r="14559">
          <cell r="K14559" t="str">
            <v>00021217P.11</v>
          </cell>
        </row>
        <row r="14560">
          <cell r="K14560" t="str">
            <v>00021221P.11</v>
          </cell>
        </row>
        <row r="14561">
          <cell r="K14561" t="str">
            <v>00021229P.11</v>
          </cell>
        </row>
        <row r="14562">
          <cell r="K14562" t="str">
            <v>00021229P.11</v>
          </cell>
        </row>
        <row r="14563">
          <cell r="K14563" t="str">
            <v>00021231P.11</v>
          </cell>
        </row>
        <row r="14564">
          <cell r="K14564" t="str">
            <v>00021231P.11</v>
          </cell>
        </row>
        <row r="14565">
          <cell r="K14565" t="str">
            <v>00021233P.11</v>
          </cell>
        </row>
        <row r="14566">
          <cell r="K14566" t="str">
            <v>00021235P.11</v>
          </cell>
        </row>
        <row r="14567">
          <cell r="K14567" t="str">
            <v>00021235P.11</v>
          </cell>
        </row>
        <row r="14568">
          <cell r="K14568" t="str">
            <v>00021217P.11</v>
          </cell>
        </row>
        <row r="14569">
          <cell r="K14569" t="str">
            <v>00021218P.11</v>
          </cell>
        </row>
        <row r="14570">
          <cell r="K14570" t="str">
            <v>00021225P.11</v>
          </cell>
        </row>
        <row r="14571">
          <cell r="K14571" t="str">
            <v>00021228P.11</v>
          </cell>
        </row>
        <row r="14572">
          <cell r="K14572" t="str">
            <v>00021229P.11</v>
          </cell>
        </row>
        <row r="14573">
          <cell r="K14573" t="str">
            <v>00021229P.11</v>
          </cell>
        </row>
        <row r="14574">
          <cell r="K14574" t="str">
            <v>00021232P.11</v>
          </cell>
        </row>
        <row r="14575">
          <cell r="K14575" t="str">
            <v>00021232P.11</v>
          </cell>
        </row>
        <row r="14576">
          <cell r="K14576" t="str">
            <v>00021232P.11</v>
          </cell>
        </row>
        <row r="14577">
          <cell r="K14577" t="str">
            <v>00021232P.11</v>
          </cell>
        </row>
        <row r="14578">
          <cell r="K14578" t="str">
            <v>00021233P.11</v>
          </cell>
        </row>
        <row r="14579">
          <cell r="K14579" t="str">
            <v>00021235P.11</v>
          </cell>
        </row>
        <row r="14580">
          <cell r="K14580" t="str">
            <v>00021235P.11</v>
          </cell>
        </row>
        <row r="14581">
          <cell r="K14581" t="str">
            <v>00021236P.11</v>
          </cell>
        </row>
        <row r="14582">
          <cell r="K14582" t="str">
            <v>00021236P.11</v>
          </cell>
        </row>
        <row r="14583">
          <cell r="K14583" t="str">
            <v>00021236P.11</v>
          </cell>
        </row>
        <row r="14584">
          <cell r="K14584" t="str">
            <v>00021210P.11</v>
          </cell>
        </row>
        <row r="14585">
          <cell r="K14585" t="str">
            <v>00021213P.11</v>
          </cell>
        </row>
        <row r="14586">
          <cell r="K14586" t="str">
            <v>00021213P.11</v>
          </cell>
        </row>
        <row r="14587">
          <cell r="K14587" t="str">
            <v>00021221P.11</v>
          </cell>
        </row>
        <row r="14588">
          <cell r="K14588" t="str">
            <v>00021224P.11</v>
          </cell>
        </row>
        <row r="14589">
          <cell r="K14589" t="str">
            <v>00021228P.11</v>
          </cell>
        </row>
        <row r="14590">
          <cell r="K14590" t="str">
            <v>00021229P.11</v>
          </cell>
        </row>
        <row r="14591">
          <cell r="K14591" t="str">
            <v>00021229P.11</v>
          </cell>
        </row>
        <row r="14592">
          <cell r="K14592" t="str">
            <v>00021234P.11</v>
          </cell>
        </row>
        <row r="14593">
          <cell r="K14593" t="str">
            <v>00021235P.11</v>
          </cell>
        </row>
        <row r="14594">
          <cell r="K14594" t="str">
            <v>00021216P.11</v>
          </cell>
        </row>
        <row r="14595">
          <cell r="K14595" t="str">
            <v>00021222P.11</v>
          </cell>
        </row>
        <row r="14596">
          <cell r="K14596" t="str">
            <v>00021222P.11</v>
          </cell>
        </row>
        <row r="14597">
          <cell r="K14597" t="str">
            <v>00021230P.11</v>
          </cell>
        </row>
        <row r="14598">
          <cell r="K14598" t="str">
            <v>00021231P.11</v>
          </cell>
        </row>
        <row r="14599">
          <cell r="K14599" t="str">
            <v>00021233P.11</v>
          </cell>
        </row>
        <row r="14600">
          <cell r="K14600" t="str">
            <v>00021234P.11</v>
          </cell>
        </row>
        <row r="14601">
          <cell r="K14601" t="str">
            <v>00021236P.11</v>
          </cell>
        </row>
        <row r="14602">
          <cell r="K14602" t="str">
            <v>00021227P.11</v>
          </cell>
        </row>
        <row r="14603">
          <cell r="K14603" t="str">
            <v>00021228P.11</v>
          </cell>
        </row>
        <row r="14604">
          <cell r="K14604" t="str">
            <v>00021210P.11</v>
          </cell>
        </row>
        <row r="14605">
          <cell r="K14605" t="str">
            <v>00021217P.11</v>
          </cell>
        </row>
        <row r="14606">
          <cell r="K14606" t="str">
            <v>00021217P.11</v>
          </cell>
        </row>
        <row r="14607">
          <cell r="K14607" t="str">
            <v>00021217P.11</v>
          </cell>
        </row>
        <row r="14608">
          <cell r="K14608" t="str">
            <v>00021231P.11</v>
          </cell>
        </row>
        <row r="14609">
          <cell r="K14609" t="str">
            <v>00021234P.11</v>
          </cell>
        </row>
        <row r="14610">
          <cell r="K14610" t="str">
            <v>00021221P.11</v>
          </cell>
        </row>
        <row r="14611">
          <cell r="K14611" t="str">
            <v>00021226P.11</v>
          </cell>
        </row>
        <row r="14612">
          <cell r="K14612" t="str">
            <v>00021229P.11</v>
          </cell>
        </row>
        <row r="14613">
          <cell r="K14613" t="str">
            <v>00021231P.11</v>
          </cell>
        </row>
        <row r="14614">
          <cell r="K14614" t="str">
            <v>00021233P.11</v>
          </cell>
        </row>
        <row r="14615">
          <cell r="K14615" t="str">
            <v>00021236P.11</v>
          </cell>
        </row>
        <row r="14616">
          <cell r="K14616" t="str">
            <v>00021213P.11</v>
          </cell>
        </row>
        <row r="14617">
          <cell r="K14617" t="str">
            <v>00021210P.11</v>
          </cell>
        </row>
        <row r="14618">
          <cell r="K14618" t="str">
            <v>00021215P.11</v>
          </cell>
        </row>
        <row r="14619">
          <cell r="K14619" t="str">
            <v>00021217P.11</v>
          </cell>
        </row>
        <row r="14620">
          <cell r="K14620" t="str">
            <v>00021229P.11</v>
          </cell>
        </row>
        <row r="14621">
          <cell r="K14621" t="str">
            <v>00021234P.11</v>
          </cell>
        </row>
        <row r="14622">
          <cell r="K14622" t="str">
            <v>00021226P.11</v>
          </cell>
        </row>
        <row r="14623">
          <cell r="K14623" t="str">
            <v>00021231P.11</v>
          </cell>
        </row>
        <row r="14624">
          <cell r="K14624" t="str">
            <v>00021232P.11</v>
          </cell>
        </row>
        <row r="14625">
          <cell r="K14625" t="str">
            <v>00021229P.11</v>
          </cell>
        </row>
        <row r="14626">
          <cell r="K14626" t="str">
            <v>00021231P.11</v>
          </cell>
        </row>
        <row r="14627">
          <cell r="K14627" t="str">
            <v>00021232P.11</v>
          </cell>
        </row>
        <row r="14628">
          <cell r="K14628" t="str">
            <v>00021218P.11</v>
          </cell>
        </row>
        <row r="14629">
          <cell r="K14629" t="str">
            <v>00021213P.11</v>
          </cell>
        </row>
        <row r="14630">
          <cell r="K14630" t="str">
            <v>00021215P.11</v>
          </cell>
        </row>
        <row r="14631">
          <cell r="K14631" t="str">
            <v>00021236P.11</v>
          </cell>
        </row>
        <row r="14632">
          <cell r="K14632" t="str">
            <v>00021229P.11</v>
          </cell>
        </row>
        <row r="14633">
          <cell r="K14633" t="str">
            <v>00021235P.11</v>
          </cell>
        </row>
        <row r="14634">
          <cell r="K14634" t="str">
            <v>00021225P.11</v>
          </cell>
        </row>
        <row r="14635">
          <cell r="K14635" t="str">
            <v>00021230P.11</v>
          </cell>
        </row>
        <row r="14636">
          <cell r="K14636" t="str">
            <v>00021235P.11</v>
          </cell>
        </row>
        <row r="14637">
          <cell r="K14637" t="str">
            <v>00021231P.11</v>
          </cell>
        </row>
        <row r="14638">
          <cell r="K14638" t="str">
            <v>00021233P.11</v>
          </cell>
        </row>
        <row r="14639">
          <cell r="K14639" t="str">
            <v>00021235P.11</v>
          </cell>
        </row>
        <row r="14640">
          <cell r="K14640" t="str">
            <v>00021217P.11</v>
          </cell>
        </row>
        <row r="14641">
          <cell r="K14641" t="str">
            <v>00021232P.11</v>
          </cell>
        </row>
        <row r="14642">
          <cell r="K14642" t="str">
            <v>00021232P.11</v>
          </cell>
        </row>
        <row r="14643">
          <cell r="K14643" t="str">
            <v>00021213P.11</v>
          </cell>
        </row>
        <row r="14644">
          <cell r="K14644" t="str">
            <v>00021222P.11</v>
          </cell>
        </row>
        <row r="14645">
          <cell r="K14645" t="str">
            <v>00021233P.11</v>
          </cell>
        </row>
        <row r="14646">
          <cell r="K14646" t="str">
            <v>00021233P.11</v>
          </cell>
        </row>
        <row r="14647">
          <cell r="K14647" t="str">
            <v>00021213P.11</v>
          </cell>
        </row>
        <row r="14648">
          <cell r="K14648" t="str">
            <v>00021236P.11</v>
          </cell>
        </row>
        <row r="14649">
          <cell r="K14649" t="str">
            <v>00021224P.11</v>
          </cell>
        </row>
        <row r="14650">
          <cell r="K14650" t="str">
            <v>00021232P.11</v>
          </cell>
        </row>
        <row r="14651">
          <cell r="K14651" t="str">
            <v>00021229P.11</v>
          </cell>
        </row>
        <row r="14652">
          <cell r="K14652" t="str">
            <v>00021233P.11</v>
          </cell>
        </row>
        <row r="14653">
          <cell r="K14653" t="str">
            <v>00021210P.11</v>
          </cell>
        </row>
        <row r="14654">
          <cell r="K14654" t="str">
            <v>00021229P.11</v>
          </cell>
        </row>
        <row r="14655">
          <cell r="K14655" t="str">
            <v>00021230P.11</v>
          </cell>
        </row>
        <row r="14656">
          <cell r="K14656" t="str">
            <v>00021210P.11</v>
          </cell>
        </row>
        <row r="14657">
          <cell r="K14657" t="str">
            <v>00021234P.11</v>
          </cell>
        </row>
        <row r="14658">
          <cell r="K14658" t="str">
            <v>00021217P.11</v>
          </cell>
        </row>
        <row r="14659">
          <cell r="K14659" t="str">
            <v>00021224P.11</v>
          </cell>
        </row>
        <row r="14660">
          <cell r="K14660" t="str">
            <v>00021229P.11</v>
          </cell>
        </row>
        <row r="14661">
          <cell r="K14661" t="str">
            <v>00021236P.11</v>
          </cell>
        </row>
        <row r="14662">
          <cell r="K14662" t="str">
            <v>00021233P.11</v>
          </cell>
        </row>
        <row r="14663">
          <cell r="K14663" t="str">
            <v>00021229P.11</v>
          </cell>
        </row>
        <row r="14664">
          <cell r="K14664" t="str">
            <v>00021222P.11</v>
          </cell>
        </row>
        <row r="14665">
          <cell r="K14665" t="str">
            <v>00021231P.11</v>
          </cell>
        </row>
        <row r="14666">
          <cell r="K14666" t="str">
            <v>00021234P.11</v>
          </cell>
        </row>
        <row r="14667">
          <cell r="K14667" t="str">
            <v>00021234P.11</v>
          </cell>
        </row>
        <row r="14668">
          <cell r="K14668" t="str">
            <v>00021234P.11</v>
          </cell>
        </row>
        <row r="14669">
          <cell r="K14669" t="str">
            <v>00021232P.11</v>
          </cell>
        </row>
        <row r="14670">
          <cell r="K14670" t="str">
            <v>00021235P.11</v>
          </cell>
        </row>
        <row r="14671">
          <cell r="K14671" t="str">
            <v>00021221P.11</v>
          </cell>
        </row>
        <row r="14672">
          <cell r="K14672" t="str">
            <v>00021233P.11</v>
          </cell>
        </row>
        <row r="14673">
          <cell r="K14673" t="str">
            <v>00021236P.11</v>
          </cell>
        </row>
        <row r="14674">
          <cell r="K14674" t="str">
            <v>00021221P.11</v>
          </cell>
        </row>
        <row r="14675">
          <cell r="K14675" t="str">
            <v>00021233P.11</v>
          </cell>
        </row>
        <row r="14676">
          <cell r="K14676" t="str">
            <v>00021229P.11</v>
          </cell>
        </row>
        <row r="14677">
          <cell r="K14677" t="str">
            <v>00021221P.11</v>
          </cell>
        </row>
        <row r="14678">
          <cell r="K14678" t="str">
            <v>00021236P.11</v>
          </cell>
        </row>
        <row r="14679">
          <cell r="K14679" t="str">
            <v>00021221P.11</v>
          </cell>
        </row>
        <row r="14680">
          <cell r="K14680" t="str">
            <v>00021226P.11</v>
          </cell>
        </row>
        <row r="14681">
          <cell r="K14681" t="str">
            <v>00021229P.11</v>
          </cell>
        </row>
        <row r="14682">
          <cell r="K14682" t="str">
            <v>00021235P.11</v>
          </cell>
        </row>
        <row r="14683">
          <cell r="K14683" t="str">
            <v>00021229P.11</v>
          </cell>
        </row>
        <row r="14684">
          <cell r="K14684" t="str">
            <v>00021236P.11</v>
          </cell>
        </row>
        <row r="14685">
          <cell r="K14685" t="str">
            <v>00021217P.11</v>
          </cell>
        </row>
        <row r="14686">
          <cell r="K14686" t="str">
            <v>00021226P.11</v>
          </cell>
        </row>
        <row r="14687">
          <cell r="K14687" t="str">
            <v>00021234P.11</v>
          </cell>
        </row>
        <row r="14688">
          <cell r="K14688" t="str">
            <v>00021234P.11</v>
          </cell>
        </row>
        <row r="14689">
          <cell r="K14689" t="str">
            <v>00021225P.11</v>
          </cell>
        </row>
        <row r="14690">
          <cell r="K14690" t="str">
            <v>00021210P.11</v>
          </cell>
        </row>
        <row r="14691">
          <cell r="K14691" t="str">
            <v>00021231P.11</v>
          </cell>
        </row>
        <row r="14692">
          <cell r="K14692" t="str">
            <v>00021230P.11</v>
          </cell>
        </row>
        <row r="14693">
          <cell r="K14693" t="str">
            <v>00021216P.11</v>
          </cell>
        </row>
        <row r="14694">
          <cell r="K14694" t="str">
            <v>00021230P.11</v>
          </cell>
        </row>
        <row r="14695">
          <cell r="K14695" t="str">
            <v>00021233P.11</v>
          </cell>
        </row>
        <row r="14696">
          <cell r="K14696" t="str">
            <v>00021225P.11</v>
          </cell>
        </row>
        <row r="14697">
          <cell r="K14697" t="str">
            <v>00021229P.11</v>
          </cell>
        </row>
        <row r="14698">
          <cell r="K14698" t="str">
            <v>00021230P.11</v>
          </cell>
        </row>
        <row r="14699">
          <cell r="K14699" t="str">
            <v>00021228P.11</v>
          </cell>
        </row>
        <row r="14700">
          <cell r="K14700" t="str">
            <v>00021224P.11</v>
          </cell>
        </row>
        <row r="14701">
          <cell r="K14701" t="str">
            <v>00021228P.11</v>
          </cell>
        </row>
        <row r="14702">
          <cell r="K14702" t="str">
            <v>00021231P.11</v>
          </cell>
        </row>
        <row r="14703">
          <cell r="K14703" t="str">
            <v>00021225P.11</v>
          </cell>
        </row>
        <row r="14704">
          <cell r="K14704" t="str">
            <v>00021236P.11</v>
          </cell>
        </row>
        <row r="14705">
          <cell r="K14705" t="str">
            <v>00021229P.11</v>
          </cell>
        </row>
        <row r="14706">
          <cell r="K14706" t="str">
            <v>00021230P.11</v>
          </cell>
        </row>
        <row r="14707">
          <cell r="K14707" t="str">
            <v>00021230P.11</v>
          </cell>
        </row>
        <row r="14708">
          <cell r="K14708" t="str">
            <v>00021222P.11</v>
          </cell>
        </row>
        <row r="14709">
          <cell r="K14709" t="str">
            <v>00021229P.11</v>
          </cell>
        </row>
        <row r="14710">
          <cell r="K14710" t="str">
            <v>00021222P.11</v>
          </cell>
        </row>
        <row r="14711">
          <cell r="K14711" t="str">
            <v>00021225P.11</v>
          </cell>
        </row>
        <row r="14712">
          <cell r="K14712" t="str">
            <v>00021232P.11</v>
          </cell>
        </row>
        <row r="14713">
          <cell r="K14713" t="str">
            <v>00021221P.11</v>
          </cell>
        </row>
        <row r="14714">
          <cell r="K14714" t="str">
            <v>00021213P.11</v>
          </cell>
        </row>
        <row r="14715">
          <cell r="K14715" t="str">
            <v>00021222P.11</v>
          </cell>
        </row>
        <row r="14716">
          <cell r="K14716" t="str">
            <v>00021235P.11</v>
          </cell>
        </row>
        <row r="14717">
          <cell r="K14717" t="str">
            <v>00021213P.11</v>
          </cell>
        </row>
        <row r="14718">
          <cell r="K14718" t="str">
            <v>00021221P.11</v>
          </cell>
        </row>
        <row r="14719">
          <cell r="K14719" t="str">
            <v>00021230P.11</v>
          </cell>
        </row>
        <row r="14720">
          <cell r="K14720" t="str">
            <v>00021231P.11</v>
          </cell>
        </row>
        <row r="14721">
          <cell r="K14721" t="str">
            <v>00021222P.11</v>
          </cell>
        </row>
        <row r="14722">
          <cell r="K14722" t="str">
            <v>00021221P.11</v>
          </cell>
        </row>
        <row r="14723">
          <cell r="K14723" t="str">
            <v>00021225P.11</v>
          </cell>
        </row>
        <row r="14724">
          <cell r="K14724" t="str">
            <v>00021210P.11</v>
          </cell>
        </row>
        <row r="14725">
          <cell r="K14725" t="str">
            <v>00021236P.11</v>
          </cell>
        </row>
        <row r="14726">
          <cell r="K14726" t="str">
            <v>00021233P.11</v>
          </cell>
        </row>
        <row r="14727">
          <cell r="K14727" t="str">
            <v>00021229P.11</v>
          </cell>
        </row>
        <row r="14728">
          <cell r="K14728" t="str">
            <v>00021235P.11</v>
          </cell>
        </row>
        <row r="14729">
          <cell r="K14729" t="str">
            <v>00021213P.11</v>
          </cell>
        </row>
        <row r="14730">
          <cell r="K14730" t="str">
            <v>00021221P.11</v>
          </cell>
        </row>
        <row r="14731">
          <cell r="K14731" t="str">
            <v>00021223P.11</v>
          </cell>
        </row>
        <row r="14732">
          <cell r="K14732" t="str">
            <v>00021228P.11</v>
          </cell>
        </row>
        <row r="14733">
          <cell r="K14733" t="str">
            <v>00021235P.11</v>
          </cell>
        </row>
        <row r="14734">
          <cell r="K14734" t="str">
            <v>00021233P.11</v>
          </cell>
        </row>
        <row r="14735">
          <cell r="K14735" t="str">
            <v>00021224P.11</v>
          </cell>
        </row>
        <row r="14736">
          <cell r="K14736" t="str">
            <v>00021211P.11</v>
          </cell>
        </row>
        <row r="14737">
          <cell r="K14737" t="str">
            <v>00021221P.11</v>
          </cell>
        </row>
        <row r="14738">
          <cell r="K14738" t="str">
            <v>00021213P.11</v>
          </cell>
        </row>
        <row r="14739">
          <cell r="K14739" t="str">
            <v>00021228P.11</v>
          </cell>
        </row>
        <row r="14740">
          <cell r="K14740" t="str">
            <v>00021232P.11</v>
          </cell>
        </row>
        <row r="14741">
          <cell r="K14741" t="str">
            <v>00021232P.11</v>
          </cell>
        </row>
        <row r="14742">
          <cell r="K14742" t="str">
            <v>00021216P.11</v>
          </cell>
        </row>
        <row r="14743">
          <cell r="K14743" t="str">
            <v>00021216P.11</v>
          </cell>
        </row>
        <row r="14744">
          <cell r="K14744" t="str">
            <v>00021223P.11</v>
          </cell>
        </row>
        <row r="14745">
          <cell r="K14745" t="str">
            <v>00021228P.11</v>
          </cell>
        </row>
        <row r="14746">
          <cell r="K14746" t="str">
            <v>00021227P.11</v>
          </cell>
        </row>
        <row r="14747">
          <cell r="K14747" t="str">
            <v>00021234P.11</v>
          </cell>
        </row>
        <row r="14748">
          <cell r="K14748" t="str">
            <v>00021235P.11</v>
          </cell>
        </row>
        <row r="14749">
          <cell r="K14749" t="str">
            <v>00021229P.11</v>
          </cell>
        </row>
        <row r="14750">
          <cell r="K14750" t="str">
            <v>00021216P.11</v>
          </cell>
        </row>
        <row r="14751">
          <cell r="K14751" t="str">
            <v>00021231P.11</v>
          </cell>
        </row>
        <row r="14752">
          <cell r="K14752" t="str">
            <v>00021225P.11</v>
          </cell>
        </row>
        <row r="14753">
          <cell r="K14753" t="str">
            <v>00021234P.11</v>
          </cell>
        </row>
        <row r="14754">
          <cell r="K14754" t="str">
            <v>00021230P.11</v>
          </cell>
        </row>
        <row r="14755">
          <cell r="K14755" t="str">
            <v>00021236P.11</v>
          </cell>
        </row>
        <row r="14756">
          <cell r="K14756" t="str">
            <v>00021234P.11</v>
          </cell>
        </row>
        <row r="14757">
          <cell r="K14757" t="str">
            <v>00021236P.11</v>
          </cell>
        </row>
        <row r="14758">
          <cell r="K14758" t="str">
            <v>00021221P.11</v>
          </cell>
        </row>
        <row r="14759">
          <cell r="K14759" t="str">
            <v>00021212P.11</v>
          </cell>
        </row>
        <row r="14760">
          <cell r="K14760" t="str">
            <v>00021225P.11</v>
          </cell>
        </row>
        <row r="14761">
          <cell r="K14761" t="str">
            <v>00021232P.11</v>
          </cell>
        </row>
        <row r="14762">
          <cell r="K14762" t="str">
            <v>00021231P.11</v>
          </cell>
        </row>
        <row r="14763">
          <cell r="K14763" t="str">
            <v>00021236P.11</v>
          </cell>
        </row>
        <row r="14764">
          <cell r="K14764" t="str">
            <v>00021234P.11</v>
          </cell>
        </row>
        <row r="14765">
          <cell r="K14765" t="str">
            <v>00021229P.11</v>
          </cell>
        </row>
        <row r="14766">
          <cell r="K14766" t="str">
            <v>00021229P.11</v>
          </cell>
        </row>
        <row r="14767">
          <cell r="K14767" t="str">
            <v>00021219P.11</v>
          </cell>
        </row>
        <row r="14768">
          <cell r="K14768" t="str">
            <v>00021235P.11</v>
          </cell>
        </row>
        <row r="14769">
          <cell r="K14769" t="str">
            <v>00021233P.11</v>
          </cell>
        </row>
        <row r="14770">
          <cell r="K14770" t="str">
            <v>00021212P.11</v>
          </cell>
        </row>
        <row r="14771">
          <cell r="K14771" t="str">
            <v>00021229P.11</v>
          </cell>
        </row>
        <row r="14772">
          <cell r="K14772" t="str">
            <v>00021218P.11</v>
          </cell>
        </row>
        <row r="14773">
          <cell r="K14773" t="str">
            <v>00021233P.11</v>
          </cell>
        </row>
        <row r="14774">
          <cell r="K14774" t="str">
            <v>00021229P.11</v>
          </cell>
        </row>
        <row r="14775">
          <cell r="K14775" t="str">
            <v>00021226P.11</v>
          </cell>
        </row>
        <row r="14776">
          <cell r="K14776" t="str">
            <v>00021210P.11</v>
          </cell>
        </row>
        <row r="14777">
          <cell r="K14777" t="str">
            <v>00021223P.11</v>
          </cell>
        </row>
        <row r="14778">
          <cell r="K14778" t="str">
            <v>00021230P.11</v>
          </cell>
        </row>
        <row r="14779">
          <cell r="K14779" t="str">
            <v>00021227P.11</v>
          </cell>
        </row>
        <row r="14780">
          <cell r="K14780" t="str">
            <v>00021233P.11</v>
          </cell>
        </row>
        <row r="14781">
          <cell r="K14781" t="str">
            <v>00021231P.11</v>
          </cell>
        </row>
        <row r="14782">
          <cell r="K14782" t="str">
            <v>00021232P.11</v>
          </cell>
        </row>
        <row r="14783">
          <cell r="K14783" t="str">
            <v>00021229P.11</v>
          </cell>
        </row>
        <row r="14784">
          <cell r="K14784" t="str">
            <v>00021225P.11</v>
          </cell>
        </row>
        <row r="14785">
          <cell r="K14785" t="str">
            <v>00021210P.11</v>
          </cell>
        </row>
        <row r="14786">
          <cell r="K14786" t="str">
            <v>00021236P.11</v>
          </cell>
        </row>
        <row r="14787">
          <cell r="K14787" t="str">
            <v>00021234P.11</v>
          </cell>
        </row>
        <row r="14788">
          <cell r="K14788" t="str">
            <v>00021236P.11</v>
          </cell>
        </row>
        <row r="14789">
          <cell r="K14789" t="str">
            <v>00021213P.11</v>
          </cell>
        </row>
        <row r="14790">
          <cell r="K14790" t="str">
            <v>00021222P.11</v>
          </cell>
        </row>
        <row r="14791">
          <cell r="K14791" t="str">
            <v>00021226P.11</v>
          </cell>
        </row>
        <row r="14792">
          <cell r="K14792" t="str">
            <v>00021216P.11</v>
          </cell>
        </row>
        <row r="14793">
          <cell r="K14793" t="str">
            <v>00021229P.11</v>
          </cell>
        </row>
        <row r="14794">
          <cell r="K14794" t="str">
            <v>00021233P.11</v>
          </cell>
        </row>
        <row r="14795">
          <cell r="K14795" t="str">
            <v>00021214P.11</v>
          </cell>
        </row>
        <row r="14796">
          <cell r="K14796" t="str">
            <v>00021227P.11</v>
          </cell>
        </row>
        <row r="14797">
          <cell r="K14797" t="str">
            <v>00021225P.11</v>
          </cell>
        </row>
        <row r="14798">
          <cell r="K14798" t="str">
            <v>00021223P.11</v>
          </cell>
        </row>
        <row r="14799">
          <cell r="K14799" t="str">
            <v>00021231P.11</v>
          </cell>
        </row>
        <row r="14800">
          <cell r="K14800" t="str">
            <v>00021220P.11</v>
          </cell>
        </row>
        <row r="14801">
          <cell r="K14801" t="str">
            <v>00021213P.11</v>
          </cell>
        </row>
        <row r="14802">
          <cell r="K14802" t="str">
            <v>00021222P.11</v>
          </cell>
        </row>
        <row r="14803">
          <cell r="K14803" t="str">
            <v>00021229P.11</v>
          </cell>
        </row>
        <row r="14804">
          <cell r="K14804" t="str">
            <v>00021236P.11</v>
          </cell>
        </row>
        <row r="14805">
          <cell r="K14805" t="str">
            <v>00021220P.11</v>
          </cell>
        </row>
        <row r="14806">
          <cell r="K14806" t="str">
            <v>00021229P.11</v>
          </cell>
        </row>
        <row r="14807">
          <cell r="K14807" t="str">
            <v>00021233P.11</v>
          </cell>
        </row>
        <row r="14808">
          <cell r="K14808" t="str">
            <v>00021233P.11</v>
          </cell>
        </row>
        <row r="14809">
          <cell r="K14809" t="str">
            <v>00021229P.11</v>
          </cell>
        </row>
        <row r="14810">
          <cell r="K14810" t="str">
            <v>00021235P.11</v>
          </cell>
        </row>
        <row r="14811">
          <cell r="K14811" t="str">
            <v>00021224P.11</v>
          </cell>
        </row>
        <row r="14812">
          <cell r="K14812" t="str">
            <v>00021234P.11</v>
          </cell>
        </row>
        <row r="14813">
          <cell r="K14813" t="str">
            <v>00021223P.11</v>
          </cell>
        </row>
        <row r="14814">
          <cell r="K14814" t="str">
            <v>00021223P.11</v>
          </cell>
        </row>
        <row r="14815">
          <cell r="K14815" t="str">
            <v>00021213P.11</v>
          </cell>
        </row>
        <row r="14816">
          <cell r="K14816" t="str">
            <v>00021232P.11</v>
          </cell>
        </row>
        <row r="14817">
          <cell r="K14817" t="str">
            <v>00021231P.11</v>
          </cell>
        </row>
        <row r="14818">
          <cell r="K14818" t="str">
            <v>00021217P.11</v>
          </cell>
        </row>
        <row r="14819">
          <cell r="K14819" t="str">
            <v>00021229P.11</v>
          </cell>
        </row>
        <row r="14820">
          <cell r="K14820" t="str">
            <v>00021217P.11</v>
          </cell>
        </row>
        <row r="14821">
          <cell r="K14821" t="str">
            <v>00021235P.11</v>
          </cell>
        </row>
        <row r="14822">
          <cell r="K14822" t="str">
            <v>00021210P.11</v>
          </cell>
        </row>
        <row r="14823">
          <cell r="K14823" t="str">
            <v>00021233P.11</v>
          </cell>
        </row>
        <row r="14824">
          <cell r="K14824" t="str">
            <v>00021229P.11</v>
          </cell>
        </row>
        <row r="14825">
          <cell r="K14825" t="str">
            <v>00021210P.11</v>
          </cell>
        </row>
        <row r="14826">
          <cell r="K14826" t="str">
            <v>00021231P.11</v>
          </cell>
        </row>
        <row r="14827">
          <cell r="K14827" t="str">
            <v>00021229P.11</v>
          </cell>
        </row>
        <row r="14828">
          <cell r="K14828" t="str">
            <v>00021210P.11</v>
          </cell>
        </row>
        <row r="14829">
          <cell r="K14829" t="str">
            <v>00021228P.11</v>
          </cell>
        </row>
        <row r="14830">
          <cell r="K14830" t="str">
            <v>00021224P.11</v>
          </cell>
        </row>
        <row r="14831">
          <cell r="K14831" t="str">
            <v>00021234P.11</v>
          </cell>
        </row>
        <row r="14832">
          <cell r="K14832" t="str">
            <v>00021231P.11</v>
          </cell>
        </row>
        <row r="14833">
          <cell r="K14833" t="str">
            <v>00021233P.11</v>
          </cell>
        </row>
        <row r="14834">
          <cell r="K14834" t="str">
            <v>00021221P.11</v>
          </cell>
        </row>
        <row r="14835">
          <cell r="K14835" t="str">
            <v>00021225P.11</v>
          </cell>
        </row>
        <row r="14836">
          <cell r="K14836" t="str">
            <v>00021228P.11</v>
          </cell>
        </row>
        <row r="14837">
          <cell r="K14837" t="str">
            <v>00021214P.11</v>
          </cell>
        </row>
        <row r="14838">
          <cell r="K14838" t="str">
            <v>00021235P.11</v>
          </cell>
        </row>
        <row r="14839">
          <cell r="K14839" t="str">
            <v>00021232P.11</v>
          </cell>
        </row>
        <row r="14840">
          <cell r="K14840" t="str">
            <v>00021228P.11</v>
          </cell>
        </row>
        <row r="14841">
          <cell r="K14841" t="str">
            <v>00021233P.11</v>
          </cell>
        </row>
        <row r="14842">
          <cell r="K14842" t="str">
            <v>00021233P.11</v>
          </cell>
        </row>
        <row r="14843">
          <cell r="K14843" t="str">
            <v>00021211P.11</v>
          </cell>
        </row>
        <row r="14844">
          <cell r="K14844" t="str">
            <v>00021231P.11</v>
          </cell>
        </row>
        <row r="14845">
          <cell r="K14845" t="str">
            <v>00021236P.11</v>
          </cell>
        </row>
        <row r="14846">
          <cell r="K14846" t="str">
            <v>00021213P.11</v>
          </cell>
        </row>
        <row r="14847">
          <cell r="K14847" t="str">
            <v>00021233P.11</v>
          </cell>
        </row>
        <row r="14848">
          <cell r="K14848" t="str">
            <v>00021228P.11</v>
          </cell>
        </row>
        <row r="14849">
          <cell r="K14849" t="str">
            <v>00021221P.11</v>
          </cell>
        </row>
        <row r="14850">
          <cell r="K14850" t="str">
            <v>00021223P.11</v>
          </cell>
        </row>
        <row r="14851">
          <cell r="K14851" t="str">
            <v>00021228P.11</v>
          </cell>
        </row>
        <row r="14852">
          <cell r="K14852" t="str">
            <v>00021232P.11</v>
          </cell>
        </row>
        <row r="14853">
          <cell r="K14853" t="str">
            <v>00021212P.11</v>
          </cell>
        </row>
        <row r="14854">
          <cell r="K14854" t="str">
            <v>00021233P.11</v>
          </cell>
        </row>
        <row r="14855">
          <cell r="K14855" t="str">
            <v>00021218P.11</v>
          </cell>
        </row>
        <row r="14856">
          <cell r="K14856" t="str">
            <v>00021229P.11</v>
          </cell>
        </row>
        <row r="14857">
          <cell r="K14857" t="str">
            <v>00021222P.11</v>
          </cell>
        </row>
        <row r="14858">
          <cell r="K14858" t="str">
            <v>00021214P.11</v>
          </cell>
        </row>
        <row r="14859">
          <cell r="K14859" t="str">
            <v>00021229P.11</v>
          </cell>
        </row>
        <row r="14860">
          <cell r="K14860" t="str">
            <v>00021210P.11</v>
          </cell>
        </row>
        <row r="14861">
          <cell r="K14861" t="str">
            <v>00021228P.11</v>
          </cell>
        </row>
        <row r="14862">
          <cell r="K14862" t="str">
            <v>00021222P.11</v>
          </cell>
        </row>
        <row r="14863">
          <cell r="K14863" t="str">
            <v>00021231P.11</v>
          </cell>
        </row>
        <row r="14864">
          <cell r="K14864" t="str">
            <v>00021231P.11</v>
          </cell>
        </row>
        <row r="14865">
          <cell r="K14865" t="str">
            <v>00021210P.11</v>
          </cell>
        </row>
        <row r="14866">
          <cell r="K14866" t="str">
            <v>00021228P.11</v>
          </cell>
        </row>
        <row r="14867">
          <cell r="K14867" t="str">
            <v>00021226P.11</v>
          </cell>
        </row>
        <row r="14868">
          <cell r="K14868" t="str">
            <v>00021229P.11</v>
          </cell>
        </row>
        <row r="14869">
          <cell r="K14869" t="str">
            <v>00021228P.11</v>
          </cell>
        </row>
        <row r="14870">
          <cell r="K14870" t="str">
            <v>00021228P.11</v>
          </cell>
        </row>
        <row r="14871">
          <cell r="K14871" t="str">
            <v>00021232P.11</v>
          </cell>
        </row>
        <row r="14872">
          <cell r="K14872" t="str">
            <v>00021236P.11</v>
          </cell>
        </row>
        <row r="14873">
          <cell r="K14873" t="str">
            <v>00021233P.11</v>
          </cell>
        </row>
        <row r="14874">
          <cell r="K14874" t="str">
            <v>00021228P.11</v>
          </cell>
        </row>
        <row r="14875">
          <cell r="K14875" t="str">
            <v>00021218P.11</v>
          </cell>
        </row>
        <row r="14876">
          <cell r="K14876" t="str">
            <v>00021226P.11</v>
          </cell>
        </row>
        <row r="14877">
          <cell r="K14877" t="str">
            <v>00021236P.11</v>
          </cell>
        </row>
        <row r="14878">
          <cell r="K14878" t="str">
            <v>00021227P.11</v>
          </cell>
        </row>
        <row r="14879">
          <cell r="K14879" t="str">
            <v>00021214P.11</v>
          </cell>
        </row>
        <row r="14880">
          <cell r="K14880" t="str">
            <v>00021236P.11</v>
          </cell>
        </row>
        <row r="14881">
          <cell r="K14881" t="str">
            <v>00021215P.11</v>
          </cell>
        </row>
        <row r="14882">
          <cell r="K14882" t="str">
            <v>00021232P.11</v>
          </cell>
        </row>
        <row r="14883">
          <cell r="K14883" t="str">
            <v>00021233P.11</v>
          </cell>
        </row>
        <row r="14884">
          <cell r="K14884" t="str">
            <v>00021230P.11</v>
          </cell>
        </row>
        <row r="14885">
          <cell r="K14885" t="str">
            <v>00021233P.11</v>
          </cell>
        </row>
        <row r="14886">
          <cell r="K14886" t="str">
            <v>00021223P.11</v>
          </cell>
        </row>
        <row r="14887">
          <cell r="K14887" t="str">
            <v>00021223P.11</v>
          </cell>
        </row>
        <row r="14888">
          <cell r="K14888" t="str">
            <v>00021222P.11</v>
          </cell>
        </row>
        <row r="14889">
          <cell r="K14889" t="str">
            <v>00021230P.11</v>
          </cell>
        </row>
        <row r="14890">
          <cell r="K14890" t="str">
            <v>00021229P.11</v>
          </cell>
        </row>
        <row r="14891">
          <cell r="K14891" t="str">
            <v>00021224P.11</v>
          </cell>
        </row>
        <row r="14892">
          <cell r="K14892" t="str">
            <v>00021232P.11</v>
          </cell>
        </row>
        <row r="14893">
          <cell r="K14893" t="str">
            <v>00021210P.11</v>
          </cell>
        </row>
        <row r="14894">
          <cell r="K14894" t="str">
            <v>00021212P.11</v>
          </cell>
        </row>
        <row r="14895">
          <cell r="K14895" t="str">
            <v>00021232P.11</v>
          </cell>
        </row>
        <row r="14896">
          <cell r="K14896" t="str">
            <v>00021213P.11</v>
          </cell>
        </row>
        <row r="14897">
          <cell r="K14897" t="str">
            <v>00021232P.11</v>
          </cell>
        </row>
        <row r="14898">
          <cell r="K14898" t="str">
            <v>00021217P.11</v>
          </cell>
        </row>
        <row r="14899">
          <cell r="K14899" t="str">
            <v>00021214P.11</v>
          </cell>
        </row>
        <row r="14900">
          <cell r="K14900" t="str">
            <v>00021230P.11</v>
          </cell>
        </row>
        <row r="14901">
          <cell r="K14901" t="str">
            <v>00021220P.11</v>
          </cell>
        </row>
        <row r="14902">
          <cell r="K14902" t="str">
            <v>00021222P.11</v>
          </cell>
        </row>
        <row r="14903">
          <cell r="K14903" t="str">
            <v>00021230P.11</v>
          </cell>
        </row>
        <row r="14904">
          <cell r="K14904" t="str">
            <v>00021235P.11</v>
          </cell>
        </row>
        <row r="14905">
          <cell r="K14905" t="str">
            <v>00021233P.11</v>
          </cell>
        </row>
        <row r="14906">
          <cell r="K14906" t="str">
            <v>00021234P.11</v>
          </cell>
        </row>
        <row r="14907">
          <cell r="K14907" t="str">
            <v>00021228P.11</v>
          </cell>
        </row>
        <row r="14908">
          <cell r="K14908" t="str">
            <v>00021228P.11</v>
          </cell>
        </row>
        <row r="14909">
          <cell r="K14909" t="str">
            <v>00021213P.11</v>
          </cell>
        </row>
        <row r="14910">
          <cell r="K14910" t="str">
            <v>00021212P.11</v>
          </cell>
        </row>
        <row r="14911">
          <cell r="K14911" t="str">
            <v>00021234P.11</v>
          </cell>
        </row>
        <row r="14912">
          <cell r="K14912" t="str">
            <v>00021218P.11</v>
          </cell>
        </row>
        <row r="14913">
          <cell r="K14913" t="str">
            <v>00021251P.11</v>
          </cell>
        </row>
        <row r="14914">
          <cell r="K14914" t="str">
            <v>00021210P.11</v>
          </cell>
        </row>
        <row r="14915">
          <cell r="K14915" t="str">
            <v>00021210P.11</v>
          </cell>
        </row>
        <row r="14916">
          <cell r="K14916" t="str">
            <v>00021210P.11</v>
          </cell>
        </row>
        <row r="14917">
          <cell r="K14917" t="str">
            <v>00021210P.11</v>
          </cell>
        </row>
        <row r="14918">
          <cell r="K14918" t="str">
            <v>00021212P.11</v>
          </cell>
        </row>
        <row r="14919">
          <cell r="K14919" t="str">
            <v>00021213P.11</v>
          </cell>
        </row>
        <row r="14920">
          <cell r="K14920" t="str">
            <v>00021213P.11</v>
          </cell>
        </row>
        <row r="14921">
          <cell r="K14921" t="str">
            <v>00021221P.11</v>
          </cell>
        </row>
        <row r="14922">
          <cell r="K14922" t="str">
            <v>00021222P.11</v>
          </cell>
        </row>
        <row r="14923">
          <cell r="K14923" t="str">
            <v>00021222P.11</v>
          </cell>
        </row>
        <row r="14924">
          <cell r="K14924" t="str">
            <v>00021223P.11</v>
          </cell>
        </row>
        <row r="14925">
          <cell r="K14925" t="str">
            <v>00021223P.11</v>
          </cell>
        </row>
        <row r="14926">
          <cell r="K14926" t="str">
            <v>00021226P.11</v>
          </cell>
        </row>
        <row r="14927">
          <cell r="K14927" t="str">
            <v>00021228P.11</v>
          </cell>
        </row>
        <row r="14928">
          <cell r="K14928" t="str">
            <v>00021228P.11</v>
          </cell>
        </row>
        <row r="14929">
          <cell r="K14929" t="str">
            <v>00021228P.11</v>
          </cell>
        </row>
        <row r="14930">
          <cell r="K14930" t="str">
            <v>00021228P.11</v>
          </cell>
        </row>
        <row r="14931">
          <cell r="K14931" t="str">
            <v>00021228P.11</v>
          </cell>
        </row>
        <row r="14932">
          <cell r="K14932" t="str">
            <v>00021228P.11</v>
          </cell>
        </row>
        <row r="14933">
          <cell r="K14933" t="str">
            <v>00021228P.11</v>
          </cell>
        </row>
        <row r="14934">
          <cell r="K14934" t="str">
            <v>00021233P.11</v>
          </cell>
        </row>
        <row r="14935">
          <cell r="K14935" t="str">
            <v>00021233P.11</v>
          </cell>
        </row>
        <row r="14936">
          <cell r="K14936" t="str">
            <v>00021211P.11</v>
          </cell>
        </row>
        <row r="14937">
          <cell r="K14937" t="str">
            <v>00021216P.11</v>
          </cell>
        </row>
        <row r="14938">
          <cell r="K14938" t="str">
            <v>00021216P.11</v>
          </cell>
        </row>
        <row r="14939">
          <cell r="K14939" t="str">
            <v>00021217P.11</v>
          </cell>
        </row>
        <row r="14940">
          <cell r="K14940" t="str">
            <v>00021217P.11</v>
          </cell>
        </row>
        <row r="14941">
          <cell r="K14941" t="str">
            <v>00021217P.11</v>
          </cell>
        </row>
        <row r="14942">
          <cell r="K14942" t="str">
            <v>00021220P.11</v>
          </cell>
        </row>
        <row r="14943">
          <cell r="K14943" t="str">
            <v>00021220P.11</v>
          </cell>
        </row>
        <row r="14944">
          <cell r="K14944" t="str">
            <v>00021222P.11</v>
          </cell>
        </row>
        <row r="14945">
          <cell r="K14945" t="str">
            <v>00021222P.11</v>
          </cell>
        </row>
        <row r="14946">
          <cell r="K14946" t="str">
            <v>00021222P.11</v>
          </cell>
        </row>
        <row r="14947">
          <cell r="K14947" t="str">
            <v>00021222P.11</v>
          </cell>
        </row>
        <row r="14948">
          <cell r="K14948" t="str">
            <v>00021225P.11</v>
          </cell>
        </row>
        <row r="14949">
          <cell r="K14949" t="str">
            <v>00021225P.11</v>
          </cell>
        </row>
        <row r="14950">
          <cell r="K14950" t="str">
            <v>00021225P.11</v>
          </cell>
        </row>
        <row r="14951">
          <cell r="K14951" t="str">
            <v>00021228P.11</v>
          </cell>
        </row>
        <row r="14952">
          <cell r="K14952" t="str">
            <v>00021228P.11</v>
          </cell>
        </row>
        <row r="14953">
          <cell r="K14953" t="str">
            <v>00021228P.11</v>
          </cell>
        </row>
        <row r="14954">
          <cell r="K14954" t="str">
            <v>00021228P.11</v>
          </cell>
        </row>
        <row r="14955">
          <cell r="K14955" t="str">
            <v>00021228P.11</v>
          </cell>
        </row>
        <row r="14956">
          <cell r="K14956" t="str">
            <v>00021228P.11</v>
          </cell>
        </row>
        <row r="14957">
          <cell r="K14957" t="str">
            <v>00021229P.11</v>
          </cell>
        </row>
        <row r="14958">
          <cell r="K14958" t="str">
            <v>00021229P.11</v>
          </cell>
        </row>
        <row r="14959">
          <cell r="K14959" t="str">
            <v>00021229P.11</v>
          </cell>
        </row>
        <row r="14960">
          <cell r="K14960" t="str">
            <v>00021229P.11</v>
          </cell>
        </row>
        <row r="14961">
          <cell r="K14961" t="str">
            <v>00021230P.11</v>
          </cell>
        </row>
        <row r="14962">
          <cell r="K14962" t="str">
            <v>00021230P.11</v>
          </cell>
        </row>
        <row r="14963">
          <cell r="K14963" t="str">
            <v>00021230P.11</v>
          </cell>
        </row>
        <row r="14964">
          <cell r="K14964" t="str">
            <v>00021231P.11</v>
          </cell>
        </row>
        <row r="14965">
          <cell r="K14965" t="str">
            <v>00021231P.11</v>
          </cell>
        </row>
        <row r="14966">
          <cell r="K14966" t="str">
            <v>00021231P.11</v>
          </cell>
        </row>
        <row r="14967">
          <cell r="K14967" t="str">
            <v>00021231P.11</v>
          </cell>
        </row>
        <row r="14968">
          <cell r="K14968" t="str">
            <v>00021231P.11</v>
          </cell>
        </row>
        <row r="14969">
          <cell r="K14969" t="str">
            <v>00021231P.11</v>
          </cell>
        </row>
        <row r="14970">
          <cell r="K14970" t="str">
            <v>00021231P.11</v>
          </cell>
        </row>
        <row r="14971">
          <cell r="K14971" t="str">
            <v>00021231P.11</v>
          </cell>
        </row>
        <row r="14972">
          <cell r="K14972" t="str">
            <v>00021231P.11</v>
          </cell>
        </row>
        <row r="14973">
          <cell r="K14973" t="str">
            <v>00021235P.11</v>
          </cell>
        </row>
        <row r="14974">
          <cell r="K14974" t="str">
            <v>00021235P.11</v>
          </cell>
        </row>
        <row r="14975">
          <cell r="K14975" t="str">
            <v>00021253P.11</v>
          </cell>
        </row>
        <row r="14976">
          <cell r="K14976" t="str">
            <v>00021243P.11</v>
          </cell>
        </row>
        <row r="14977">
          <cell r="K14977" t="str">
            <v>00021243P.11</v>
          </cell>
        </row>
        <row r="14978">
          <cell r="K14978" t="str">
            <v>00021250P.11</v>
          </cell>
        </row>
        <row r="14979">
          <cell r="K14979" t="str">
            <v>00021210P.11</v>
          </cell>
        </row>
        <row r="14980">
          <cell r="K14980" t="str">
            <v>00021210P.11</v>
          </cell>
        </row>
        <row r="14981">
          <cell r="K14981" t="str">
            <v>00021210P.11</v>
          </cell>
        </row>
        <row r="14982">
          <cell r="K14982" t="str">
            <v>00021211P.11</v>
          </cell>
        </row>
        <row r="14983">
          <cell r="K14983" t="str">
            <v>00021212P.11</v>
          </cell>
        </row>
        <row r="14984">
          <cell r="K14984" t="str">
            <v>00021212P.11</v>
          </cell>
        </row>
        <row r="14985">
          <cell r="K14985" t="str">
            <v>00021213P.11</v>
          </cell>
        </row>
        <row r="14986">
          <cell r="K14986" t="str">
            <v>00021213P.11</v>
          </cell>
        </row>
        <row r="14987">
          <cell r="K14987" t="str">
            <v>00021213P.11</v>
          </cell>
        </row>
        <row r="14988">
          <cell r="K14988" t="str">
            <v>00021213P.11</v>
          </cell>
        </row>
        <row r="14989">
          <cell r="K14989" t="str">
            <v>00021213P.11</v>
          </cell>
        </row>
        <row r="14990">
          <cell r="K14990" t="str">
            <v>00021213P.11</v>
          </cell>
        </row>
        <row r="14991">
          <cell r="K14991" t="str">
            <v>00021215P.11</v>
          </cell>
        </row>
        <row r="14992">
          <cell r="K14992" t="str">
            <v>00021215P.11</v>
          </cell>
        </row>
        <row r="14993">
          <cell r="K14993" t="str">
            <v>00021215P.11</v>
          </cell>
        </row>
        <row r="14994">
          <cell r="K14994" t="str">
            <v>00021216P.11</v>
          </cell>
        </row>
        <row r="14995">
          <cell r="K14995" t="str">
            <v>00021217P.11</v>
          </cell>
        </row>
        <row r="14996">
          <cell r="K14996" t="str">
            <v>00021218P.11</v>
          </cell>
        </row>
        <row r="14997">
          <cell r="K14997" t="str">
            <v>00021218P.11</v>
          </cell>
        </row>
        <row r="14998">
          <cell r="K14998" t="str">
            <v>00021220P.11</v>
          </cell>
        </row>
        <row r="14999">
          <cell r="K14999" t="str">
            <v>00021220P.11</v>
          </cell>
        </row>
        <row r="15000">
          <cell r="K15000" t="str">
            <v>00021220P.11</v>
          </cell>
        </row>
        <row r="15001">
          <cell r="K15001" t="str">
            <v>00021221P.11</v>
          </cell>
        </row>
        <row r="15002">
          <cell r="K15002" t="str">
            <v>00021221P.11</v>
          </cell>
        </row>
        <row r="15003">
          <cell r="K15003" t="str">
            <v>00021221P.11</v>
          </cell>
        </row>
        <row r="15004">
          <cell r="K15004" t="str">
            <v>00021221P.11</v>
          </cell>
        </row>
        <row r="15005">
          <cell r="K15005" t="str">
            <v>00021221P.11</v>
          </cell>
        </row>
        <row r="15006">
          <cell r="K15006" t="str">
            <v>00021221P.11</v>
          </cell>
        </row>
        <row r="15007">
          <cell r="K15007" t="str">
            <v>00021221P.11</v>
          </cell>
        </row>
        <row r="15008">
          <cell r="K15008" t="str">
            <v>00021221P.11</v>
          </cell>
        </row>
        <row r="15009">
          <cell r="K15009" t="str">
            <v>00021222P.11</v>
          </cell>
        </row>
        <row r="15010">
          <cell r="K15010" t="str">
            <v>00021222P.11</v>
          </cell>
        </row>
        <row r="15011">
          <cell r="K15011" t="str">
            <v>00021222P.11</v>
          </cell>
        </row>
        <row r="15012">
          <cell r="K15012" t="str">
            <v>00021222P.11</v>
          </cell>
        </row>
        <row r="15013">
          <cell r="K15013" t="str">
            <v>00021222P.11</v>
          </cell>
        </row>
        <row r="15014">
          <cell r="K15014" t="str">
            <v>00021222P.11</v>
          </cell>
        </row>
        <row r="15015">
          <cell r="K15015" t="str">
            <v>00021222P.11</v>
          </cell>
        </row>
        <row r="15016">
          <cell r="K15016" t="str">
            <v>00021223P.11</v>
          </cell>
        </row>
        <row r="15017">
          <cell r="K15017" t="str">
            <v>00021223P.11</v>
          </cell>
        </row>
        <row r="15018">
          <cell r="K15018" t="str">
            <v>00021225P.11</v>
          </cell>
        </row>
        <row r="15019">
          <cell r="K15019" t="str">
            <v>00021225P.11</v>
          </cell>
        </row>
        <row r="15020">
          <cell r="K15020" t="str">
            <v>00021225P.11</v>
          </cell>
        </row>
        <row r="15021">
          <cell r="K15021" t="str">
            <v>00021225P.11</v>
          </cell>
        </row>
        <row r="15022">
          <cell r="K15022" t="str">
            <v>00021226P.11</v>
          </cell>
        </row>
        <row r="15023">
          <cell r="K15023" t="str">
            <v>00021226P.11</v>
          </cell>
        </row>
        <row r="15024">
          <cell r="K15024" t="str">
            <v>00021226P.11</v>
          </cell>
        </row>
        <row r="15025">
          <cell r="K15025" t="str">
            <v>00021226P.11</v>
          </cell>
        </row>
        <row r="15026">
          <cell r="K15026" t="str">
            <v>00021226P.11</v>
          </cell>
        </row>
        <row r="15027">
          <cell r="K15027" t="str">
            <v>00021227P.11</v>
          </cell>
        </row>
        <row r="15028">
          <cell r="K15028" t="str">
            <v>00021227P.11</v>
          </cell>
        </row>
        <row r="15029">
          <cell r="K15029" t="str">
            <v>00021227P.11</v>
          </cell>
        </row>
        <row r="15030">
          <cell r="K15030" t="str">
            <v>00021228P.11</v>
          </cell>
        </row>
        <row r="15031">
          <cell r="K15031" t="str">
            <v>00021228P.11</v>
          </cell>
        </row>
        <row r="15032">
          <cell r="K15032" t="str">
            <v>00021228P.11</v>
          </cell>
        </row>
        <row r="15033">
          <cell r="K15033" t="str">
            <v>00021228P.11</v>
          </cell>
        </row>
        <row r="15034">
          <cell r="K15034" t="str">
            <v>00021228P.11</v>
          </cell>
        </row>
        <row r="15035">
          <cell r="K15035" t="str">
            <v>00021228P.11</v>
          </cell>
        </row>
        <row r="15036">
          <cell r="K15036" t="str">
            <v>00021228P.11</v>
          </cell>
        </row>
        <row r="15037">
          <cell r="K15037" t="str">
            <v>00021228P.11</v>
          </cell>
        </row>
        <row r="15038">
          <cell r="K15038" t="str">
            <v>00021228P.11</v>
          </cell>
        </row>
        <row r="15039">
          <cell r="K15039" t="str">
            <v>00021228P.11</v>
          </cell>
        </row>
        <row r="15040">
          <cell r="K15040" t="str">
            <v>00021228P.11</v>
          </cell>
        </row>
        <row r="15041">
          <cell r="K15041" t="str">
            <v>00021228P.11</v>
          </cell>
        </row>
        <row r="15042">
          <cell r="K15042" t="str">
            <v>00021228P.11</v>
          </cell>
        </row>
        <row r="15043">
          <cell r="K15043" t="str">
            <v>00021229P.11</v>
          </cell>
        </row>
        <row r="15044">
          <cell r="K15044" t="str">
            <v>00021229P.11</v>
          </cell>
        </row>
        <row r="15045">
          <cell r="K15045" t="str">
            <v>00021229P.11</v>
          </cell>
        </row>
        <row r="15046">
          <cell r="K15046" t="str">
            <v>00021229P.11</v>
          </cell>
        </row>
        <row r="15047">
          <cell r="K15047" t="str">
            <v>00021229P.11</v>
          </cell>
        </row>
        <row r="15048">
          <cell r="K15048" t="str">
            <v>00021229P.11</v>
          </cell>
        </row>
        <row r="15049">
          <cell r="K15049" t="str">
            <v>00021229P.11</v>
          </cell>
        </row>
        <row r="15050">
          <cell r="K15050" t="str">
            <v>00021229P.11</v>
          </cell>
        </row>
        <row r="15051">
          <cell r="K15051" t="str">
            <v>00021230P.11</v>
          </cell>
        </row>
        <row r="15052">
          <cell r="K15052" t="str">
            <v>00021230P.11</v>
          </cell>
        </row>
        <row r="15053">
          <cell r="K15053" t="str">
            <v>00021230P.11</v>
          </cell>
        </row>
        <row r="15054">
          <cell r="K15054" t="str">
            <v>00021231P.11</v>
          </cell>
        </row>
        <row r="15055">
          <cell r="K15055" t="str">
            <v>00021231P.11</v>
          </cell>
        </row>
        <row r="15056">
          <cell r="K15056" t="str">
            <v>00021231P.11</v>
          </cell>
        </row>
        <row r="15057">
          <cell r="K15057" t="str">
            <v>00021231P.11</v>
          </cell>
        </row>
        <row r="15058">
          <cell r="K15058" t="str">
            <v>00021231P.11</v>
          </cell>
        </row>
        <row r="15059">
          <cell r="K15059" t="str">
            <v>00021231P.11</v>
          </cell>
        </row>
        <row r="15060">
          <cell r="K15060" t="str">
            <v>00021231P.11</v>
          </cell>
        </row>
        <row r="15061">
          <cell r="K15061" t="str">
            <v>00021231P.11</v>
          </cell>
        </row>
        <row r="15062">
          <cell r="K15062" t="str">
            <v>00021232P.11</v>
          </cell>
        </row>
        <row r="15063">
          <cell r="K15063" t="str">
            <v>00021232P.11</v>
          </cell>
        </row>
        <row r="15064">
          <cell r="K15064" t="str">
            <v>00021232P.11</v>
          </cell>
        </row>
        <row r="15065">
          <cell r="K15065" t="str">
            <v>00021232P.11</v>
          </cell>
        </row>
        <row r="15066">
          <cell r="K15066" t="str">
            <v>00021232P.11</v>
          </cell>
        </row>
        <row r="15067">
          <cell r="K15067" t="str">
            <v>00021232P.11</v>
          </cell>
        </row>
        <row r="15068">
          <cell r="K15068" t="str">
            <v>00021232P.11</v>
          </cell>
        </row>
        <row r="15069">
          <cell r="K15069" t="str">
            <v>00021232P.11</v>
          </cell>
        </row>
        <row r="15070">
          <cell r="K15070" t="str">
            <v>00021232P.11</v>
          </cell>
        </row>
        <row r="15071">
          <cell r="K15071" t="str">
            <v>00021232P.11</v>
          </cell>
        </row>
        <row r="15072">
          <cell r="K15072" t="str">
            <v>00021233P.11</v>
          </cell>
        </row>
        <row r="15073">
          <cell r="K15073" t="str">
            <v>00021233P.11</v>
          </cell>
        </row>
        <row r="15074">
          <cell r="K15074" t="str">
            <v>00021233P.11</v>
          </cell>
        </row>
        <row r="15075">
          <cell r="K15075" t="str">
            <v>00021233P.11</v>
          </cell>
        </row>
        <row r="15076">
          <cell r="K15076" t="str">
            <v>00021234P.11</v>
          </cell>
        </row>
        <row r="15077">
          <cell r="K15077" t="str">
            <v>00021234P.11</v>
          </cell>
        </row>
        <row r="15078">
          <cell r="K15078" t="str">
            <v>00021234P.11</v>
          </cell>
        </row>
        <row r="15079">
          <cell r="K15079" t="str">
            <v>00021235P.11</v>
          </cell>
        </row>
        <row r="15080">
          <cell r="K15080" t="str">
            <v>00021235P.11</v>
          </cell>
        </row>
        <row r="15081">
          <cell r="K15081" t="str">
            <v>00021235P.11</v>
          </cell>
        </row>
        <row r="15082">
          <cell r="K15082" t="str">
            <v>00021235P.11</v>
          </cell>
        </row>
        <row r="15083">
          <cell r="K15083" t="str">
            <v>00021235P.11</v>
          </cell>
        </row>
        <row r="15084">
          <cell r="K15084" t="str">
            <v>00021236P.11</v>
          </cell>
        </row>
        <row r="15085">
          <cell r="K15085" t="str">
            <v>00021236P.11</v>
          </cell>
        </row>
        <row r="15086">
          <cell r="K15086" t="str">
            <v>00021236P.11</v>
          </cell>
        </row>
        <row r="15087">
          <cell r="K15087" t="str">
            <v>00021236P.11</v>
          </cell>
        </row>
        <row r="15088">
          <cell r="K15088" t="str">
            <v>00021236P.11</v>
          </cell>
        </row>
        <row r="15089">
          <cell r="K15089" t="str">
            <v>00021236P.11</v>
          </cell>
        </row>
        <row r="15090">
          <cell r="K15090" t="str">
            <v>00021236P.11</v>
          </cell>
        </row>
        <row r="15091">
          <cell r="K15091" t="str">
            <v>00021236P.11</v>
          </cell>
        </row>
        <row r="15092">
          <cell r="K15092" t="str">
            <v>00021242P.11</v>
          </cell>
        </row>
        <row r="15093">
          <cell r="K15093" t="str">
            <v>00021206P.11</v>
          </cell>
        </row>
        <row r="15094">
          <cell r="K15094" t="str">
            <v>00021206P.11</v>
          </cell>
        </row>
        <row r="15095">
          <cell r="K15095" t="str">
            <v>00021214P.11</v>
          </cell>
        </row>
        <row r="15096">
          <cell r="K15096" t="str">
            <v>00021228P.11</v>
          </cell>
        </row>
        <row r="15097">
          <cell r="K15097" t="str">
            <v>00021228P.11</v>
          </cell>
        </row>
        <row r="15098">
          <cell r="K15098" t="str">
            <v>00021228P.11</v>
          </cell>
        </row>
        <row r="15099">
          <cell r="K15099" t="str">
            <v>00021228P.11</v>
          </cell>
        </row>
        <row r="15100">
          <cell r="K15100" t="str">
            <v>00021228P.11</v>
          </cell>
        </row>
        <row r="15101">
          <cell r="K15101" t="str">
            <v>00021228P.11</v>
          </cell>
        </row>
        <row r="15102">
          <cell r="K15102" t="str">
            <v>00021228P.11</v>
          </cell>
        </row>
        <row r="15103">
          <cell r="K15103" t="str">
            <v>00021228P.11</v>
          </cell>
        </row>
        <row r="15104">
          <cell r="K15104" t="str">
            <v>00021228P.11</v>
          </cell>
        </row>
        <row r="15105">
          <cell r="K15105" t="str">
            <v>00021228P.11</v>
          </cell>
        </row>
        <row r="15106">
          <cell r="K15106" t="str">
            <v>00021230P.11</v>
          </cell>
        </row>
        <row r="15107">
          <cell r="K15107" t="str">
            <v>00021230P.11</v>
          </cell>
        </row>
        <row r="15108">
          <cell r="K15108" t="str">
            <v>00021230P.11</v>
          </cell>
        </row>
        <row r="15109">
          <cell r="K15109" t="str">
            <v>00021253P.11</v>
          </cell>
        </row>
        <row r="15110">
          <cell r="K15110" t="str">
            <v>00021257P.11</v>
          </cell>
        </row>
        <row r="15111">
          <cell r="K15111" t="str">
            <v>00021217P.11</v>
          </cell>
        </row>
        <row r="15112">
          <cell r="K15112" t="str">
            <v>00021249P.11</v>
          </cell>
        </row>
        <row r="15113">
          <cell r="K15113" t="str">
            <v>00021243P.11</v>
          </cell>
        </row>
        <row r="15114">
          <cell r="K15114" t="str">
            <v>00021210P.11</v>
          </cell>
        </row>
        <row r="15115">
          <cell r="K15115" t="str">
            <v>00021213P.11</v>
          </cell>
        </row>
        <row r="15116">
          <cell r="K15116" t="str">
            <v>00021217P.11</v>
          </cell>
        </row>
        <row r="15117">
          <cell r="K15117" t="str">
            <v>00021221P.11</v>
          </cell>
        </row>
        <row r="15118">
          <cell r="K15118" t="str">
            <v>00021222P.11</v>
          </cell>
        </row>
        <row r="15119">
          <cell r="K15119" t="str">
            <v>00021222P.11</v>
          </cell>
        </row>
        <row r="15120">
          <cell r="K15120" t="str">
            <v>00021228P.11</v>
          </cell>
        </row>
        <row r="15121">
          <cell r="K15121" t="str">
            <v>00021229P.11</v>
          </cell>
        </row>
        <row r="15122">
          <cell r="K15122" t="str">
            <v>00021230P.11</v>
          </cell>
        </row>
        <row r="15123">
          <cell r="K15123" t="str">
            <v>00021230P.11</v>
          </cell>
        </row>
        <row r="15124">
          <cell r="K15124" t="str">
            <v>00021232P.11</v>
          </cell>
        </row>
        <row r="15125">
          <cell r="K15125" t="str">
            <v>00021233P.11</v>
          </cell>
        </row>
        <row r="15126">
          <cell r="K15126" t="str">
            <v>00021235P.11</v>
          </cell>
        </row>
        <row r="15127">
          <cell r="K15127" t="str">
            <v>00021236P.11</v>
          </cell>
        </row>
        <row r="15128">
          <cell r="K15128" t="str">
            <v>00021236P.11</v>
          </cell>
        </row>
        <row r="15129">
          <cell r="K15129" t="str">
            <v>00021258P.11</v>
          </cell>
        </row>
        <row r="15130">
          <cell r="K15130" t="str">
            <v>00021259P.11</v>
          </cell>
        </row>
        <row r="15131">
          <cell r="K15131" t="str">
            <v>00021217P.11</v>
          </cell>
        </row>
        <row r="15132">
          <cell r="K15132" t="str">
            <v>00021218P.11</v>
          </cell>
        </row>
        <row r="15133">
          <cell r="K15133" t="str">
            <v>00021223P.11</v>
          </cell>
        </row>
        <row r="15134">
          <cell r="K15134" t="str">
            <v>00021224P.11</v>
          </cell>
        </row>
        <row r="15135">
          <cell r="K15135" t="str">
            <v>00021229P.11</v>
          </cell>
        </row>
        <row r="15136">
          <cell r="K15136" t="str">
            <v>00021229P.11</v>
          </cell>
        </row>
        <row r="15137">
          <cell r="K15137" t="str">
            <v>00021230P.11</v>
          </cell>
        </row>
        <row r="15138">
          <cell r="K15138" t="str">
            <v>00021231P.11</v>
          </cell>
        </row>
        <row r="15139">
          <cell r="K15139" t="str">
            <v>00021232P.11</v>
          </cell>
        </row>
        <row r="15140">
          <cell r="K15140" t="str">
            <v>00021234P.11</v>
          </cell>
        </row>
        <row r="15141">
          <cell r="K15141" t="str">
            <v>00021258P.11</v>
          </cell>
        </row>
        <row r="15142">
          <cell r="K15142" t="str">
            <v>00021249P.11</v>
          </cell>
        </row>
        <row r="15143">
          <cell r="K15143" t="str">
            <v>00021251P.11</v>
          </cell>
        </row>
        <row r="15144">
          <cell r="K15144" t="str">
            <v>00021253P.11</v>
          </cell>
        </row>
        <row r="15145">
          <cell r="K15145" t="str">
            <v>00021253P.11</v>
          </cell>
        </row>
        <row r="15146">
          <cell r="K15146" t="str">
            <v>00021253P.11</v>
          </cell>
        </row>
        <row r="15147">
          <cell r="K15147" t="str">
            <v>00021259P.11</v>
          </cell>
        </row>
        <row r="15148">
          <cell r="K15148" t="str">
            <v>00021259P.11</v>
          </cell>
        </row>
        <row r="15149">
          <cell r="K15149" t="str">
            <v>00021210P.11</v>
          </cell>
        </row>
        <row r="15150">
          <cell r="K15150" t="str">
            <v>00021210P.11</v>
          </cell>
        </row>
        <row r="15151">
          <cell r="K15151" t="str">
            <v>00021212P.11</v>
          </cell>
        </row>
        <row r="15152">
          <cell r="K15152" t="str">
            <v>00021212P.11</v>
          </cell>
        </row>
        <row r="15153">
          <cell r="K15153" t="str">
            <v>00021212P.11</v>
          </cell>
        </row>
        <row r="15154">
          <cell r="K15154" t="str">
            <v>00021212P.11</v>
          </cell>
        </row>
        <row r="15155">
          <cell r="K15155" t="str">
            <v>00021212P.11</v>
          </cell>
        </row>
        <row r="15156">
          <cell r="K15156" t="str">
            <v>00021212P.11</v>
          </cell>
        </row>
        <row r="15157">
          <cell r="K15157" t="str">
            <v>00021212P.11</v>
          </cell>
        </row>
        <row r="15158">
          <cell r="K15158" t="str">
            <v>00021213P.11</v>
          </cell>
        </row>
        <row r="15159">
          <cell r="K15159" t="str">
            <v>00021213P.11</v>
          </cell>
        </row>
        <row r="15160">
          <cell r="K15160" t="str">
            <v>00021213P.11</v>
          </cell>
        </row>
        <row r="15161">
          <cell r="K15161" t="str">
            <v>00021213P.11</v>
          </cell>
        </row>
        <row r="15162">
          <cell r="K15162" t="str">
            <v>00021217P.11</v>
          </cell>
        </row>
        <row r="15163">
          <cell r="K15163" t="str">
            <v>00021217P.11</v>
          </cell>
        </row>
        <row r="15164">
          <cell r="K15164" t="str">
            <v>00021217P.11</v>
          </cell>
        </row>
        <row r="15165">
          <cell r="K15165" t="str">
            <v>00021217P.11</v>
          </cell>
        </row>
        <row r="15166">
          <cell r="K15166" t="str">
            <v>00021217P.11</v>
          </cell>
        </row>
        <row r="15167">
          <cell r="K15167" t="str">
            <v>00021218P.11</v>
          </cell>
        </row>
        <row r="15168">
          <cell r="K15168" t="str">
            <v>00021220P.11</v>
          </cell>
        </row>
        <row r="15169">
          <cell r="K15169" t="str">
            <v>00021220P.11</v>
          </cell>
        </row>
        <row r="15170">
          <cell r="K15170" t="str">
            <v>00021221P.11</v>
          </cell>
        </row>
        <row r="15171">
          <cell r="K15171" t="str">
            <v>00021221P.11</v>
          </cell>
        </row>
        <row r="15172">
          <cell r="K15172" t="str">
            <v>00021221P.11</v>
          </cell>
        </row>
        <row r="15173">
          <cell r="K15173" t="str">
            <v>00021222P.11</v>
          </cell>
        </row>
        <row r="15174">
          <cell r="K15174" t="str">
            <v>00021222P.11</v>
          </cell>
        </row>
        <row r="15175">
          <cell r="K15175" t="str">
            <v>00021222P.11</v>
          </cell>
        </row>
        <row r="15176">
          <cell r="K15176" t="str">
            <v>00021222P.11</v>
          </cell>
        </row>
        <row r="15177">
          <cell r="K15177" t="str">
            <v>00021222P.11</v>
          </cell>
        </row>
        <row r="15178">
          <cell r="K15178" t="str">
            <v>00021222P.11</v>
          </cell>
        </row>
        <row r="15179">
          <cell r="K15179" t="str">
            <v>00021224P.11</v>
          </cell>
        </row>
        <row r="15180">
          <cell r="K15180" t="str">
            <v>00021224P.11</v>
          </cell>
        </row>
        <row r="15181">
          <cell r="K15181" t="str">
            <v>00021224P.11</v>
          </cell>
        </row>
        <row r="15182">
          <cell r="K15182" t="str">
            <v>00021226P.11</v>
          </cell>
        </row>
        <row r="15183">
          <cell r="K15183" t="str">
            <v>00021226P.11</v>
          </cell>
        </row>
        <row r="15184">
          <cell r="K15184" t="str">
            <v>00021228P.11</v>
          </cell>
        </row>
        <row r="15185">
          <cell r="K15185" t="str">
            <v>00021228P.11</v>
          </cell>
        </row>
        <row r="15186">
          <cell r="K15186" t="str">
            <v>00021228P.11</v>
          </cell>
        </row>
        <row r="15187">
          <cell r="K15187" t="str">
            <v>00021228P.11</v>
          </cell>
        </row>
        <row r="15188">
          <cell r="K15188" t="str">
            <v>00021228P.11</v>
          </cell>
        </row>
        <row r="15189">
          <cell r="K15189" t="str">
            <v>00021228P.11</v>
          </cell>
        </row>
        <row r="15190">
          <cell r="K15190" t="str">
            <v>00021228P.11</v>
          </cell>
        </row>
        <row r="15191">
          <cell r="K15191" t="str">
            <v>00021228P.11</v>
          </cell>
        </row>
        <row r="15192">
          <cell r="K15192" t="str">
            <v>00021230P.11</v>
          </cell>
        </row>
        <row r="15193">
          <cell r="K15193" t="str">
            <v>00021230P.11</v>
          </cell>
        </row>
        <row r="15194">
          <cell r="K15194" t="str">
            <v>00021231P.11</v>
          </cell>
        </row>
        <row r="15195">
          <cell r="K15195" t="str">
            <v>00021231P.11</v>
          </cell>
        </row>
        <row r="15196">
          <cell r="K15196" t="str">
            <v>00021231P.11</v>
          </cell>
        </row>
        <row r="15197">
          <cell r="K15197" t="str">
            <v>00021231P.11</v>
          </cell>
        </row>
        <row r="15198">
          <cell r="K15198" t="str">
            <v>00021231P.11</v>
          </cell>
        </row>
        <row r="15199">
          <cell r="K15199" t="str">
            <v>00021255P.11</v>
          </cell>
        </row>
        <row r="15200">
          <cell r="K15200" t="str">
            <v>00021234P.11</v>
          </cell>
        </row>
        <row r="15201">
          <cell r="K15201" t="str">
            <v>00021234P.11</v>
          </cell>
        </row>
        <row r="15202">
          <cell r="K15202" t="str">
            <v>00021234P.11</v>
          </cell>
        </row>
        <row r="15203">
          <cell r="K15203" t="str">
            <v>00021236P.11</v>
          </cell>
        </row>
        <row r="15204">
          <cell r="K15204" t="str">
            <v>00021236P.11</v>
          </cell>
        </row>
        <row r="15205">
          <cell r="K15205" t="str">
            <v>00021236P.11</v>
          </cell>
        </row>
        <row r="15206">
          <cell r="K15206" t="str">
            <v>00021236P.11</v>
          </cell>
        </row>
        <row r="15207">
          <cell r="K15207" t="str">
            <v>00021259P.11</v>
          </cell>
        </row>
        <row r="15208">
          <cell r="K15208" t="str">
            <v>00021258P.11</v>
          </cell>
        </row>
        <row r="15209">
          <cell r="K15209" t="str">
            <v>00021240P.11</v>
          </cell>
        </row>
        <row r="15210">
          <cell r="K15210" t="str">
            <v>00021240P.11</v>
          </cell>
        </row>
        <row r="15211">
          <cell r="K15211" t="str">
            <v>00021245P.11</v>
          </cell>
        </row>
        <row r="15212">
          <cell r="K15212" t="str">
            <v>00021245P.11</v>
          </cell>
        </row>
        <row r="15213">
          <cell r="K15213" t="str">
            <v>00021245P.11</v>
          </cell>
        </row>
        <row r="15214">
          <cell r="K15214" t="str">
            <v>00021248P.11</v>
          </cell>
        </row>
        <row r="15215">
          <cell r="K15215" t="str">
            <v>00021248P.11</v>
          </cell>
        </row>
        <row r="15216">
          <cell r="K15216" t="str">
            <v>00021257P.11</v>
          </cell>
        </row>
        <row r="15217">
          <cell r="K15217" t="str">
            <v>00021224P.11</v>
          </cell>
        </row>
        <row r="15218">
          <cell r="K15218" t="str">
            <v>00021206P.11</v>
          </cell>
        </row>
        <row r="15219">
          <cell r="K15219" t="str">
            <v>00021206P.11</v>
          </cell>
        </row>
        <row r="15220">
          <cell r="K15220" t="str">
            <v>00021207P.11</v>
          </cell>
        </row>
        <row r="15221">
          <cell r="K15221" t="str">
            <v>00021207P.11</v>
          </cell>
        </row>
        <row r="15222">
          <cell r="K15222" t="str">
            <v>00021207P.11</v>
          </cell>
        </row>
        <row r="15223">
          <cell r="K15223" t="str">
            <v>00021210P.11</v>
          </cell>
        </row>
        <row r="15224">
          <cell r="K15224" t="str">
            <v>00021210P.11</v>
          </cell>
        </row>
        <row r="15225">
          <cell r="K15225" t="str">
            <v>00021210P.11</v>
          </cell>
        </row>
        <row r="15226">
          <cell r="K15226" t="str">
            <v>00021211P.11</v>
          </cell>
        </row>
        <row r="15227">
          <cell r="K15227" t="str">
            <v>00021213P.11</v>
          </cell>
        </row>
        <row r="15228">
          <cell r="K15228" t="str">
            <v>00021213P.11</v>
          </cell>
        </row>
        <row r="15229">
          <cell r="K15229" t="str">
            <v>00021213P.11</v>
          </cell>
        </row>
        <row r="15230">
          <cell r="K15230" t="str">
            <v>00021213P.11</v>
          </cell>
        </row>
        <row r="15231">
          <cell r="K15231" t="str">
            <v>00021213P.11</v>
          </cell>
        </row>
        <row r="15232">
          <cell r="K15232" t="str">
            <v>00021213P.11</v>
          </cell>
        </row>
        <row r="15233">
          <cell r="K15233" t="str">
            <v>00021213P.11</v>
          </cell>
        </row>
        <row r="15234">
          <cell r="K15234" t="str">
            <v>00021214P.11</v>
          </cell>
        </row>
        <row r="15235">
          <cell r="K15235" t="str">
            <v>00021214P.11</v>
          </cell>
        </row>
        <row r="15236">
          <cell r="K15236" t="str">
            <v>00021215P.11</v>
          </cell>
        </row>
        <row r="15237">
          <cell r="K15237" t="str">
            <v>00021215P.11</v>
          </cell>
        </row>
        <row r="15238">
          <cell r="K15238" t="str">
            <v>00021216P.11</v>
          </cell>
        </row>
        <row r="15239">
          <cell r="K15239" t="str">
            <v>00021217P.11</v>
          </cell>
        </row>
        <row r="15240">
          <cell r="K15240" t="str">
            <v>00021217P.11</v>
          </cell>
        </row>
        <row r="15241">
          <cell r="K15241" t="str">
            <v>00021217P.11</v>
          </cell>
        </row>
        <row r="15242">
          <cell r="K15242" t="str">
            <v>00021220P.11</v>
          </cell>
        </row>
        <row r="15243">
          <cell r="K15243" t="str">
            <v>00021220P.11</v>
          </cell>
        </row>
        <row r="15244">
          <cell r="K15244" t="str">
            <v>00021220P.11</v>
          </cell>
        </row>
        <row r="15245">
          <cell r="K15245" t="str">
            <v>00021220P.11</v>
          </cell>
        </row>
        <row r="15246">
          <cell r="K15246" t="str">
            <v>00021220P.11</v>
          </cell>
        </row>
        <row r="15247">
          <cell r="K15247" t="str">
            <v>00021220P.11</v>
          </cell>
        </row>
        <row r="15248">
          <cell r="K15248" t="str">
            <v>00021221P.11</v>
          </cell>
        </row>
        <row r="15249">
          <cell r="K15249" t="str">
            <v>00021221P.11</v>
          </cell>
        </row>
        <row r="15250">
          <cell r="K15250" t="str">
            <v>00021222P.11</v>
          </cell>
        </row>
        <row r="15251">
          <cell r="K15251" t="str">
            <v>00021222P.11</v>
          </cell>
        </row>
        <row r="15252">
          <cell r="K15252" t="str">
            <v>00021222P.11</v>
          </cell>
        </row>
        <row r="15253">
          <cell r="K15253" t="str">
            <v>00021222P.11</v>
          </cell>
        </row>
        <row r="15254">
          <cell r="K15254" t="str">
            <v>00021222P.11</v>
          </cell>
        </row>
        <row r="15255">
          <cell r="K15255" t="str">
            <v>00021222P.11</v>
          </cell>
        </row>
        <row r="15256">
          <cell r="K15256" t="str">
            <v>00021223P.11</v>
          </cell>
        </row>
        <row r="15257">
          <cell r="K15257" t="str">
            <v>00021223P.11</v>
          </cell>
        </row>
        <row r="15258">
          <cell r="K15258" t="str">
            <v>00021223P.11</v>
          </cell>
        </row>
        <row r="15259">
          <cell r="K15259" t="str">
            <v>00021223P.11</v>
          </cell>
        </row>
        <row r="15260">
          <cell r="K15260" t="str">
            <v>00021223P.11</v>
          </cell>
        </row>
        <row r="15261">
          <cell r="K15261" t="str">
            <v>00021225P.11</v>
          </cell>
        </row>
        <row r="15262">
          <cell r="K15262" t="str">
            <v>00021225P.11</v>
          </cell>
        </row>
        <row r="15263">
          <cell r="K15263" t="str">
            <v>00021226P.11</v>
          </cell>
        </row>
        <row r="15264">
          <cell r="K15264" t="str">
            <v>00021226P.11</v>
          </cell>
        </row>
        <row r="15265">
          <cell r="K15265" t="str">
            <v>00021226P.11</v>
          </cell>
        </row>
        <row r="15266">
          <cell r="K15266" t="str">
            <v>00021226P.11</v>
          </cell>
        </row>
        <row r="15267">
          <cell r="K15267" t="str">
            <v>00021226P.11</v>
          </cell>
        </row>
        <row r="15268">
          <cell r="K15268" t="str">
            <v>00021227P.11</v>
          </cell>
        </row>
        <row r="15269">
          <cell r="K15269" t="str">
            <v>00021228P.11</v>
          </cell>
        </row>
        <row r="15270">
          <cell r="K15270" t="str">
            <v>00021228P.11</v>
          </cell>
        </row>
        <row r="15271">
          <cell r="K15271" t="str">
            <v>00021228P.11</v>
          </cell>
        </row>
        <row r="15272">
          <cell r="K15272" t="str">
            <v>00021228P.11</v>
          </cell>
        </row>
        <row r="15273">
          <cell r="K15273" t="str">
            <v>00021228P.11</v>
          </cell>
        </row>
        <row r="15274">
          <cell r="K15274" t="str">
            <v>00021229P.11</v>
          </cell>
        </row>
        <row r="15275">
          <cell r="K15275" t="str">
            <v>00021229P.11</v>
          </cell>
        </row>
        <row r="15276">
          <cell r="K15276" t="str">
            <v>00021229P.11</v>
          </cell>
        </row>
        <row r="15277">
          <cell r="K15277" t="str">
            <v>00021229P.11</v>
          </cell>
        </row>
        <row r="15278">
          <cell r="K15278" t="str">
            <v>00021229P.11</v>
          </cell>
        </row>
        <row r="15279">
          <cell r="K15279" t="str">
            <v>00021229P.11</v>
          </cell>
        </row>
        <row r="15280">
          <cell r="K15280" t="str">
            <v>00021229P.11</v>
          </cell>
        </row>
        <row r="15281">
          <cell r="K15281" t="str">
            <v>00021229P.11</v>
          </cell>
        </row>
        <row r="15282">
          <cell r="K15282" t="str">
            <v>00021229P.11</v>
          </cell>
        </row>
        <row r="15283">
          <cell r="K15283" t="str">
            <v>00021230P.11</v>
          </cell>
        </row>
        <row r="15284">
          <cell r="K15284" t="str">
            <v>00021230P.11</v>
          </cell>
        </row>
        <row r="15285">
          <cell r="K15285" t="str">
            <v>00021230P.11</v>
          </cell>
        </row>
        <row r="15286">
          <cell r="K15286" t="str">
            <v>00021231P.11</v>
          </cell>
        </row>
        <row r="15287">
          <cell r="K15287" t="str">
            <v>00021231P.11</v>
          </cell>
        </row>
        <row r="15288">
          <cell r="K15288" t="str">
            <v>00021231P.11</v>
          </cell>
        </row>
        <row r="15289">
          <cell r="K15289" t="str">
            <v>00021231P.11</v>
          </cell>
        </row>
        <row r="15290">
          <cell r="K15290" t="str">
            <v>00021231P.11</v>
          </cell>
        </row>
        <row r="15291">
          <cell r="K15291" t="str">
            <v>00021231P.11</v>
          </cell>
        </row>
        <row r="15292">
          <cell r="K15292" t="str">
            <v>00021232P.11</v>
          </cell>
        </row>
        <row r="15293">
          <cell r="K15293" t="str">
            <v>00021232P.11</v>
          </cell>
        </row>
        <row r="15294">
          <cell r="K15294" t="str">
            <v>00021232P.11</v>
          </cell>
        </row>
        <row r="15295">
          <cell r="K15295" t="str">
            <v>00021232P.11</v>
          </cell>
        </row>
        <row r="15296">
          <cell r="K15296" t="str">
            <v>00021232P.11</v>
          </cell>
        </row>
        <row r="15297">
          <cell r="K15297" t="str">
            <v>00021232P.11</v>
          </cell>
        </row>
        <row r="15298">
          <cell r="K15298" t="str">
            <v>00021232P.11</v>
          </cell>
        </row>
        <row r="15299">
          <cell r="K15299" t="str">
            <v>00021233P.11</v>
          </cell>
        </row>
        <row r="15300">
          <cell r="K15300" t="str">
            <v>00021233P.11</v>
          </cell>
        </row>
        <row r="15301">
          <cell r="K15301" t="str">
            <v>00021233P.11</v>
          </cell>
        </row>
        <row r="15302">
          <cell r="K15302" t="str">
            <v>00021233P.11</v>
          </cell>
        </row>
        <row r="15303">
          <cell r="K15303" t="str">
            <v>00021234P.11</v>
          </cell>
        </row>
        <row r="15304">
          <cell r="K15304" t="str">
            <v>00021234P.11</v>
          </cell>
        </row>
        <row r="15305">
          <cell r="K15305" t="str">
            <v>00021234P.11</v>
          </cell>
        </row>
        <row r="15306">
          <cell r="K15306" t="str">
            <v>00021234P.11</v>
          </cell>
        </row>
        <row r="15307">
          <cell r="K15307" t="str">
            <v>00021235P.11</v>
          </cell>
        </row>
        <row r="15308">
          <cell r="K15308" t="str">
            <v>00021236P.11</v>
          </cell>
        </row>
        <row r="15309">
          <cell r="K15309" t="str">
            <v>00021236P.11</v>
          </cell>
        </row>
        <row r="15310">
          <cell r="K15310" t="str">
            <v>00021236P.11</v>
          </cell>
        </row>
        <row r="15311">
          <cell r="K15311" t="str">
            <v>00021238P.11</v>
          </cell>
        </row>
        <row r="15312">
          <cell r="K15312" t="str">
            <v>00021240P.11</v>
          </cell>
        </row>
        <row r="15313">
          <cell r="K15313" t="str">
            <v>00021245P.11</v>
          </cell>
        </row>
        <row r="15314">
          <cell r="K15314" t="str">
            <v>00021245P.11</v>
          </cell>
        </row>
        <row r="15315">
          <cell r="K15315" t="str">
            <v>00021245P.11</v>
          </cell>
        </row>
        <row r="15316">
          <cell r="K15316" t="str">
            <v>00021248P.11</v>
          </cell>
        </row>
        <row r="15317">
          <cell r="K15317" t="str">
            <v>00021248P.11</v>
          </cell>
        </row>
        <row r="15318">
          <cell r="K15318" t="str">
            <v>00021248P.11</v>
          </cell>
        </row>
        <row r="15319">
          <cell r="K15319" t="str">
            <v>00021248P.11</v>
          </cell>
        </row>
        <row r="15320">
          <cell r="K15320" t="str">
            <v>00021249P.11</v>
          </cell>
        </row>
        <row r="15321">
          <cell r="K15321" t="str">
            <v>00021249P.11</v>
          </cell>
        </row>
        <row r="15322">
          <cell r="K15322" t="str">
            <v>00021253P.11</v>
          </cell>
        </row>
        <row r="15323">
          <cell r="K15323" t="str">
            <v>00021253P.11</v>
          </cell>
        </row>
        <row r="15324">
          <cell r="K15324" t="str">
            <v>00021259P.11</v>
          </cell>
        </row>
        <row r="15325">
          <cell r="K15325" t="str">
            <v>00021211P.11</v>
          </cell>
        </row>
        <row r="15326">
          <cell r="K15326" t="str">
            <v>00021220P.11</v>
          </cell>
        </row>
        <row r="15327">
          <cell r="K15327" t="str">
            <v>00021220P.11</v>
          </cell>
        </row>
        <row r="15328">
          <cell r="K15328" t="str">
            <v>00021222P.11</v>
          </cell>
        </row>
        <row r="15329">
          <cell r="K15329" t="str">
            <v>00021222P.11</v>
          </cell>
        </row>
        <row r="15330">
          <cell r="K15330" t="str">
            <v>00021254P.11</v>
          </cell>
        </row>
        <row r="15331">
          <cell r="K15331" t="str">
            <v>00021256P.13</v>
          </cell>
        </row>
        <row r="15332">
          <cell r="K15332" t="str">
            <v>00021260P.13</v>
          </cell>
        </row>
        <row r="15333">
          <cell r="K15333" t="str">
            <v>00021247P.11</v>
          </cell>
        </row>
        <row r="15334">
          <cell r="K15334" t="str">
            <v>00021202P.11</v>
          </cell>
        </row>
        <row r="15335">
          <cell r="K15335" t="str">
            <v>00021202P.11</v>
          </cell>
        </row>
        <row r="15336">
          <cell r="K15336" t="str">
            <v>00021205P.11</v>
          </cell>
        </row>
        <row r="15337">
          <cell r="K15337" t="str">
            <v>00021202P.11</v>
          </cell>
        </row>
        <row r="15338">
          <cell r="K15338" t="str">
            <v>00021215P.11</v>
          </cell>
        </row>
        <row r="15339">
          <cell r="K15339" t="str">
            <v>00021230P.11</v>
          </cell>
        </row>
        <row r="15340">
          <cell r="K15340" t="str">
            <v>00021210P.11</v>
          </cell>
        </row>
        <row r="15341">
          <cell r="K15341" t="str">
            <v>00021210P.11</v>
          </cell>
        </row>
        <row r="15342">
          <cell r="K15342" t="str">
            <v>00021212P.11</v>
          </cell>
        </row>
        <row r="15343">
          <cell r="K15343" t="str">
            <v>00021251P.11</v>
          </cell>
        </row>
        <row r="15344">
          <cell r="K15344" t="str">
            <v>00021251P.11</v>
          </cell>
        </row>
        <row r="15345">
          <cell r="K15345" t="str">
            <v>00021251P.11</v>
          </cell>
        </row>
        <row r="15346">
          <cell r="K15346" t="str">
            <v>00021254P.11</v>
          </cell>
        </row>
        <row r="15347">
          <cell r="K15347" t="str">
            <v>00021256P.11</v>
          </cell>
        </row>
        <row r="15348">
          <cell r="K15348" t="str">
            <v>00021256P.11</v>
          </cell>
        </row>
        <row r="15349">
          <cell r="K15349" t="str">
            <v>00021256P.11</v>
          </cell>
        </row>
        <row r="15350">
          <cell r="K15350" t="str">
            <v>00021256P.11</v>
          </cell>
        </row>
        <row r="15351">
          <cell r="K15351" t="str">
            <v>00021256P.11</v>
          </cell>
        </row>
        <row r="15352">
          <cell r="K15352" t="str">
            <v>00021256P.11</v>
          </cell>
        </row>
        <row r="15353">
          <cell r="K15353" t="str">
            <v>00021249P.11</v>
          </cell>
        </row>
        <row r="15354">
          <cell r="K15354" t="str">
            <v>00021249P.11</v>
          </cell>
        </row>
        <row r="15355">
          <cell r="K15355" t="str">
            <v>00021249P.11</v>
          </cell>
        </row>
        <row r="15356">
          <cell r="K15356" t="str">
            <v>00021257P.11</v>
          </cell>
        </row>
        <row r="15357">
          <cell r="K15357" t="str">
            <v>00021256P.13</v>
          </cell>
        </row>
        <row r="15358">
          <cell r="K15358" t="str">
            <v>00021254P.11</v>
          </cell>
        </row>
        <row r="15359">
          <cell r="K15359" t="str">
            <v>00021254P.11</v>
          </cell>
        </row>
        <row r="15360">
          <cell r="K15360" t="str">
            <v>00021254P.11</v>
          </cell>
        </row>
        <row r="15361">
          <cell r="K15361" t="str">
            <v>00021254P.11</v>
          </cell>
        </row>
        <row r="15362">
          <cell r="K15362" t="str">
            <v>00021254P.11</v>
          </cell>
        </row>
        <row r="15363">
          <cell r="K15363" t="str">
            <v>00021254P.11</v>
          </cell>
        </row>
        <row r="15364">
          <cell r="K15364" t="str">
            <v>00021256P.11</v>
          </cell>
        </row>
        <row r="15365">
          <cell r="K15365" t="str">
            <v>00021257P.13</v>
          </cell>
        </row>
        <row r="15366">
          <cell r="K15366" t="str">
            <v>00021260P.13</v>
          </cell>
        </row>
        <row r="15367">
          <cell r="K15367" t="str">
            <v>00021257P.11</v>
          </cell>
        </row>
        <row r="15368">
          <cell r="K15368" t="str">
            <v>00021257P.11</v>
          </cell>
        </row>
        <row r="15369">
          <cell r="K15369" t="str">
            <v>00021212P.11</v>
          </cell>
        </row>
        <row r="15370">
          <cell r="K15370" t="str">
            <v>00021212P.11</v>
          </cell>
        </row>
        <row r="15371">
          <cell r="K15371" t="str">
            <v>00021212P.11</v>
          </cell>
        </row>
        <row r="15372">
          <cell r="K15372" t="str">
            <v>00021212P.11</v>
          </cell>
        </row>
        <row r="15373">
          <cell r="K15373" t="str">
            <v>00021213P.11</v>
          </cell>
        </row>
        <row r="15374">
          <cell r="K15374" t="str">
            <v>00021217P.11</v>
          </cell>
        </row>
        <row r="15375">
          <cell r="K15375" t="str">
            <v>00021218P.11</v>
          </cell>
        </row>
        <row r="15376">
          <cell r="K15376" t="str">
            <v>00021221P.11</v>
          </cell>
        </row>
        <row r="15377">
          <cell r="K15377" t="str">
            <v>00021221P.11</v>
          </cell>
        </row>
        <row r="15378">
          <cell r="K15378" t="str">
            <v>00021222P.11</v>
          </cell>
        </row>
        <row r="15379">
          <cell r="K15379" t="str">
            <v>00021222P.11</v>
          </cell>
        </row>
        <row r="15380">
          <cell r="K15380" t="str">
            <v>00021223P.11</v>
          </cell>
        </row>
        <row r="15381">
          <cell r="K15381" t="str">
            <v>00021225P.11</v>
          </cell>
        </row>
        <row r="15382">
          <cell r="K15382" t="str">
            <v>00021227P.11</v>
          </cell>
        </row>
        <row r="15383">
          <cell r="K15383" t="str">
            <v>00021228P.11</v>
          </cell>
        </row>
        <row r="15384">
          <cell r="K15384" t="str">
            <v>00021228P.11</v>
          </cell>
        </row>
        <row r="15385">
          <cell r="K15385" t="str">
            <v>00021228P.11</v>
          </cell>
        </row>
        <row r="15386">
          <cell r="K15386" t="str">
            <v>00021231P.11</v>
          </cell>
        </row>
        <row r="15387">
          <cell r="K15387" t="str">
            <v>00021231P.11</v>
          </cell>
        </row>
        <row r="15388">
          <cell r="K15388" t="str">
            <v>00021232P.11</v>
          </cell>
        </row>
        <row r="15389">
          <cell r="K15389" t="str">
            <v>00021232P.11</v>
          </cell>
        </row>
        <row r="15390">
          <cell r="K15390" t="str">
            <v>00021233P.11</v>
          </cell>
        </row>
        <row r="15391">
          <cell r="K15391" t="str">
            <v>00021233P.11</v>
          </cell>
        </row>
        <row r="15392">
          <cell r="K15392" t="str">
            <v>00021233P.11</v>
          </cell>
        </row>
        <row r="15393">
          <cell r="K15393" t="str">
            <v>00021234P.11</v>
          </cell>
        </row>
        <row r="15394">
          <cell r="K15394" t="str">
            <v>00021234P.11</v>
          </cell>
        </row>
        <row r="15395">
          <cell r="K15395" t="str">
            <v>00021236P.11</v>
          </cell>
        </row>
        <row r="15396">
          <cell r="K15396" t="str">
            <v>00021245P.11</v>
          </cell>
        </row>
        <row r="15397">
          <cell r="K15397" t="str">
            <v>00021257P.11</v>
          </cell>
        </row>
        <row r="15398">
          <cell r="K15398" t="str">
            <v>00021257P.11</v>
          </cell>
        </row>
        <row r="15399">
          <cell r="K15399" t="str">
            <v>00021228P.11</v>
          </cell>
        </row>
        <row r="15400">
          <cell r="K15400" t="str">
            <v>00021228P.11</v>
          </cell>
        </row>
        <row r="15401">
          <cell r="K15401" t="str">
            <v>00021226P.11</v>
          </cell>
        </row>
        <row r="15402">
          <cell r="K15402" t="str">
            <v>00021250P.11</v>
          </cell>
        </row>
        <row r="15403">
          <cell r="K15403" t="str">
            <v>00021213P.11</v>
          </cell>
        </row>
        <row r="15404">
          <cell r="K15404" t="str">
            <v>00021221P.11</v>
          </cell>
        </row>
        <row r="15405">
          <cell r="K15405" t="str">
            <v>00021246P.11</v>
          </cell>
        </row>
        <row r="15406">
          <cell r="K15406" t="str">
            <v>00021245P.11</v>
          </cell>
        </row>
        <row r="15407">
          <cell r="K15407" t="str">
            <v>00021222P.11</v>
          </cell>
        </row>
        <row r="15408">
          <cell r="K15408" t="str">
            <v>00021223P.11</v>
          </cell>
        </row>
        <row r="15409">
          <cell r="K15409" t="str">
            <v>00021245P.11</v>
          </cell>
        </row>
        <row r="15410">
          <cell r="K15410" t="str">
            <v>00021245P.11</v>
          </cell>
        </row>
        <row r="15411">
          <cell r="K15411" t="str">
            <v>00021245P.11</v>
          </cell>
        </row>
        <row r="15412">
          <cell r="K15412" t="str">
            <v>00021245P.11</v>
          </cell>
        </row>
        <row r="15413">
          <cell r="K15413" t="str">
            <v>00021253P.11</v>
          </cell>
        </row>
        <row r="15414">
          <cell r="K15414" t="str">
            <v>00021245P.11</v>
          </cell>
        </row>
        <row r="15415">
          <cell r="K15415" t="str">
            <v>00021245P.11</v>
          </cell>
        </row>
        <row r="15416">
          <cell r="K15416" t="str">
            <v>00021245P.11</v>
          </cell>
        </row>
        <row r="15417">
          <cell r="K15417" t="str">
            <v>00021245P.11</v>
          </cell>
        </row>
        <row r="15418">
          <cell r="K15418" t="str">
            <v>00021245P.11</v>
          </cell>
        </row>
        <row r="15419">
          <cell r="K15419" t="str">
            <v>00021245P.11</v>
          </cell>
        </row>
        <row r="15420">
          <cell r="K15420" t="str">
            <v>00021245P.11</v>
          </cell>
        </row>
        <row r="15421">
          <cell r="K15421" t="str">
            <v>00021250P.11</v>
          </cell>
        </row>
        <row r="15422">
          <cell r="K15422" t="str">
            <v>00111148P.2</v>
          </cell>
        </row>
        <row r="15423">
          <cell r="K15423" t="str">
            <v>00111148P.2</v>
          </cell>
        </row>
        <row r="15424">
          <cell r="K15424" t="str">
            <v>00111148P.2</v>
          </cell>
        </row>
        <row r="15425">
          <cell r="K15425" t="str">
            <v>00111148P.2</v>
          </cell>
        </row>
        <row r="15426">
          <cell r="K15426" t="str">
            <v>00111143P.2</v>
          </cell>
        </row>
        <row r="15427">
          <cell r="K15427" t="str">
            <v>00111143P.2</v>
          </cell>
        </row>
        <row r="15428">
          <cell r="K15428" t="str">
            <v>00111143P.2</v>
          </cell>
        </row>
        <row r="15429">
          <cell r="K15429" t="str">
            <v>00111143P.2</v>
          </cell>
        </row>
        <row r="15430">
          <cell r="K15430" t="str">
            <v>00111143P.2</v>
          </cell>
        </row>
        <row r="15431">
          <cell r="K15431" t="str">
            <v>00111143P.2</v>
          </cell>
        </row>
        <row r="15432">
          <cell r="K15432" t="str">
            <v>00111143P.2</v>
          </cell>
        </row>
        <row r="15433">
          <cell r="K15433" t="str">
            <v>00111143P.2</v>
          </cell>
        </row>
        <row r="15434">
          <cell r="K15434" t="str">
            <v>00111143P.2</v>
          </cell>
        </row>
        <row r="15435">
          <cell r="K15435" t="str">
            <v>00111143P.2</v>
          </cell>
        </row>
        <row r="15436">
          <cell r="K15436" t="str">
            <v>00111143P.2</v>
          </cell>
        </row>
        <row r="15437">
          <cell r="K15437" t="str">
            <v>00111143P.2</v>
          </cell>
        </row>
        <row r="15438">
          <cell r="K15438" t="str">
            <v>00111143P.2</v>
          </cell>
        </row>
        <row r="15439">
          <cell r="K15439" t="str">
            <v>00111143P.2</v>
          </cell>
        </row>
        <row r="15440">
          <cell r="K15440" t="str">
            <v>00111143P.2</v>
          </cell>
        </row>
        <row r="15441">
          <cell r="K15441" t="str">
            <v>00111143P.2</v>
          </cell>
        </row>
        <row r="15442">
          <cell r="K15442" t="str">
            <v>00111143P.2</v>
          </cell>
        </row>
        <row r="15443">
          <cell r="K15443" t="str">
            <v>00111143P.2</v>
          </cell>
        </row>
        <row r="15444">
          <cell r="K15444" t="str">
            <v>00111143P.2</v>
          </cell>
        </row>
        <row r="15445">
          <cell r="K15445" t="str">
            <v>00111143P.2</v>
          </cell>
        </row>
        <row r="15446">
          <cell r="K15446" t="str">
            <v>00111143P.2</v>
          </cell>
        </row>
        <row r="15447">
          <cell r="K15447" t="str">
            <v>00111143P.2</v>
          </cell>
        </row>
        <row r="15448">
          <cell r="K15448" t="str">
            <v>00111143P.2</v>
          </cell>
        </row>
        <row r="15449">
          <cell r="K15449" t="str">
            <v>00111143P.2</v>
          </cell>
        </row>
        <row r="15450">
          <cell r="K15450" t="str">
            <v>00111143P.2</v>
          </cell>
        </row>
        <row r="15451">
          <cell r="K15451" t="str">
            <v>00111143P.2</v>
          </cell>
        </row>
        <row r="15452">
          <cell r="K15452" t="str">
            <v>00111103P.2</v>
          </cell>
        </row>
        <row r="15453">
          <cell r="K15453" t="str">
            <v>00111103P.2</v>
          </cell>
        </row>
        <row r="15454">
          <cell r="K15454" t="str">
            <v>00111104P.2</v>
          </cell>
        </row>
        <row r="15455">
          <cell r="K15455" t="str">
            <v>00111104P.2</v>
          </cell>
        </row>
        <row r="15456">
          <cell r="K15456" t="str">
            <v>00111105P.2</v>
          </cell>
        </row>
        <row r="15457">
          <cell r="K15457" t="str">
            <v>00111105P.2</v>
          </cell>
        </row>
        <row r="15458">
          <cell r="K15458" t="str">
            <v>00111105P.2</v>
          </cell>
        </row>
        <row r="15459">
          <cell r="K15459" t="str">
            <v>00111138P.2</v>
          </cell>
        </row>
        <row r="15460">
          <cell r="K15460" t="str">
            <v>00111138P.2</v>
          </cell>
        </row>
        <row r="15461">
          <cell r="K15461" t="str">
            <v>00111138P.2</v>
          </cell>
        </row>
        <row r="15462">
          <cell r="K15462" t="str">
            <v>00111138P.2</v>
          </cell>
        </row>
        <row r="15463">
          <cell r="K15463" t="str">
            <v>00111138P.2</v>
          </cell>
        </row>
        <row r="15464">
          <cell r="K15464" t="str">
            <v>00111138P.2</v>
          </cell>
        </row>
        <row r="15465">
          <cell r="K15465" t="str">
            <v>00111138P.2</v>
          </cell>
        </row>
        <row r="15466">
          <cell r="K15466" t="str">
            <v>00111138P.2</v>
          </cell>
        </row>
        <row r="15467">
          <cell r="K15467" t="str">
            <v>00111138P.2</v>
          </cell>
        </row>
        <row r="15468">
          <cell r="K15468" t="str">
            <v>00111138P.2</v>
          </cell>
        </row>
        <row r="15469">
          <cell r="K15469" t="str">
            <v>00111138P.2</v>
          </cell>
        </row>
        <row r="15470">
          <cell r="K15470" t="str">
            <v>00111138P.2</v>
          </cell>
        </row>
        <row r="15471">
          <cell r="K15471" t="str">
            <v>00111138P.2</v>
          </cell>
        </row>
        <row r="15472">
          <cell r="K15472" t="str">
            <v>00111138P.2</v>
          </cell>
        </row>
        <row r="15473">
          <cell r="K15473" t="str">
            <v>00111138P.2</v>
          </cell>
        </row>
        <row r="15474">
          <cell r="K15474" t="str">
            <v>00111140P.2</v>
          </cell>
        </row>
        <row r="15475">
          <cell r="K15475" t="str">
            <v>00111140P.2</v>
          </cell>
        </row>
        <row r="15476">
          <cell r="K15476" t="str">
            <v>00111140P.2</v>
          </cell>
        </row>
        <row r="15477">
          <cell r="K15477" t="str">
            <v>00111140P.2</v>
          </cell>
        </row>
        <row r="15478">
          <cell r="K15478" t="str">
            <v>00111140P.2</v>
          </cell>
        </row>
        <row r="15479">
          <cell r="K15479" t="str">
            <v>00111140P.2</v>
          </cell>
        </row>
        <row r="15480">
          <cell r="K15480" t="str">
            <v>00111140P.2</v>
          </cell>
        </row>
        <row r="15481">
          <cell r="K15481" t="str">
            <v>00111140P.2</v>
          </cell>
        </row>
        <row r="15482">
          <cell r="K15482" t="str">
            <v>00111140P.2</v>
          </cell>
        </row>
        <row r="15483">
          <cell r="K15483" t="str">
            <v>00111140P.2</v>
          </cell>
        </row>
        <row r="15484">
          <cell r="K15484" t="str">
            <v>00111140P.2</v>
          </cell>
        </row>
        <row r="15485">
          <cell r="K15485" t="str">
            <v>00111140P.2</v>
          </cell>
        </row>
        <row r="15486">
          <cell r="K15486" t="str">
            <v>00111140P.2</v>
          </cell>
        </row>
        <row r="15487">
          <cell r="K15487" t="str">
            <v>00111140P.2</v>
          </cell>
        </row>
        <row r="15488">
          <cell r="K15488" t="str">
            <v>00111140P.2</v>
          </cell>
        </row>
        <row r="15489">
          <cell r="K15489" t="str">
            <v>00111140P.2</v>
          </cell>
        </row>
        <row r="15490">
          <cell r="K15490" t="str">
            <v>00111140P.2</v>
          </cell>
        </row>
        <row r="15491">
          <cell r="K15491" t="str">
            <v>00111140P.2</v>
          </cell>
        </row>
        <row r="15492">
          <cell r="K15492" t="str">
            <v>00111158P.2</v>
          </cell>
        </row>
        <row r="15493">
          <cell r="K15493" t="str">
            <v>00111158P.2</v>
          </cell>
        </row>
        <row r="15494">
          <cell r="K15494" t="str">
            <v>00111158P.2</v>
          </cell>
        </row>
        <row r="15495">
          <cell r="K15495" t="str">
            <v>00111158P.2</v>
          </cell>
        </row>
        <row r="15496">
          <cell r="K15496" t="str">
            <v>00111158P.2</v>
          </cell>
        </row>
        <row r="15497">
          <cell r="K15497" t="str">
            <v>00111158P.2</v>
          </cell>
        </row>
        <row r="15498">
          <cell r="K15498" t="str">
            <v>00111158P.2</v>
          </cell>
        </row>
        <row r="15499">
          <cell r="K15499" t="str">
            <v>00111158P.2</v>
          </cell>
        </row>
        <row r="15500">
          <cell r="K15500" t="str">
            <v>00111158P.2</v>
          </cell>
        </row>
        <row r="15501">
          <cell r="K15501" t="str">
            <v>00111158P.2</v>
          </cell>
        </row>
        <row r="15502">
          <cell r="K15502" t="str">
            <v>00111158P.2</v>
          </cell>
        </row>
        <row r="15503">
          <cell r="K15503" t="str">
            <v>00111158P.2</v>
          </cell>
        </row>
        <row r="15504">
          <cell r="K15504" t="str">
            <v>00111158P.2</v>
          </cell>
        </row>
        <row r="15505">
          <cell r="K15505" t="str">
            <v>00111158P.2</v>
          </cell>
        </row>
        <row r="15506">
          <cell r="K15506" t="str">
            <v>00111158P.2</v>
          </cell>
        </row>
        <row r="15507">
          <cell r="K15507" t="str">
            <v>00111158P.2</v>
          </cell>
        </row>
        <row r="15508">
          <cell r="K15508" t="str">
            <v>00111150P.2</v>
          </cell>
        </row>
        <row r="15509">
          <cell r="K15509" t="str">
            <v>00111150P.2</v>
          </cell>
        </row>
        <row r="15510">
          <cell r="K15510" t="str">
            <v>00111150P.2</v>
          </cell>
        </row>
        <row r="15511">
          <cell r="K15511" t="str">
            <v>00111150P.2</v>
          </cell>
        </row>
        <row r="15512">
          <cell r="K15512" t="str">
            <v>00111150P.2</v>
          </cell>
        </row>
        <row r="15513">
          <cell r="K15513" t="str">
            <v>00111102P.2</v>
          </cell>
        </row>
        <row r="15514">
          <cell r="K15514" t="str">
            <v>00111102P.2</v>
          </cell>
        </row>
        <row r="15515">
          <cell r="K15515" t="str">
            <v>00111102P.2</v>
          </cell>
        </row>
        <row r="15516">
          <cell r="K15516" t="str">
            <v>00111102P.2</v>
          </cell>
        </row>
        <row r="15517">
          <cell r="K15517" t="str">
            <v>00111102P.2</v>
          </cell>
        </row>
        <row r="15518">
          <cell r="K15518" t="str">
            <v>00111102P.2</v>
          </cell>
        </row>
        <row r="15519">
          <cell r="K15519" t="str">
            <v>00111102P.2</v>
          </cell>
        </row>
        <row r="15520">
          <cell r="K15520" t="str">
            <v>00111102P.2</v>
          </cell>
        </row>
        <row r="15521">
          <cell r="K15521" t="str">
            <v>00111102P.2</v>
          </cell>
        </row>
        <row r="15522">
          <cell r="K15522" t="str">
            <v>00111102P.2</v>
          </cell>
        </row>
        <row r="15523">
          <cell r="K15523" t="str">
            <v>00111102P.2</v>
          </cell>
        </row>
        <row r="15524">
          <cell r="K15524" t="str">
            <v>00111102P.2</v>
          </cell>
        </row>
        <row r="15525">
          <cell r="K15525" t="str">
            <v>00111102P.2</v>
          </cell>
        </row>
        <row r="15526">
          <cell r="K15526" t="str">
            <v>00111102P.2</v>
          </cell>
        </row>
        <row r="15527">
          <cell r="K15527" t="str">
            <v>00111102P.2</v>
          </cell>
        </row>
        <row r="15528">
          <cell r="K15528" t="str">
            <v>00111102P.2</v>
          </cell>
        </row>
        <row r="15529">
          <cell r="K15529" t="str">
            <v>00111102P.2</v>
          </cell>
        </row>
        <row r="15530">
          <cell r="K15530" t="str">
            <v>00111102P.2</v>
          </cell>
        </row>
        <row r="15531">
          <cell r="K15531" t="str">
            <v>00111102P.2</v>
          </cell>
        </row>
        <row r="15532">
          <cell r="K15532" t="str">
            <v>00111102P.2</v>
          </cell>
        </row>
        <row r="15533">
          <cell r="K15533" t="str">
            <v>00111102P.2</v>
          </cell>
        </row>
        <row r="15534">
          <cell r="K15534" t="str">
            <v>00111102P.2</v>
          </cell>
        </row>
        <row r="15535">
          <cell r="K15535" t="str">
            <v>00111102P.2</v>
          </cell>
        </row>
        <row r="15536">
          <cell r="K15536" t="str">
            <v>00111102P.2</v>
          </cell>
        </row>
        <row r="15537">
          <cell r="K15537" t="str">
            <v>00111102P.2</v>
          </cell>
        </row>
        <row r="15538">
          <cell r="K15538" t="str">
            <v>00111102P.2</v>
          </cell>
        </row>
        <row r="15539">
          <cell r="K15539" t="str">
            <v>00111102P.2</v>
          </cell>
        </row>
        <row r="15540">
          <cell r="K15540" t="str">
            <v>00111102P.2</v>
          </cell>
        </row>
        <row r="15541">
          <cell r="K15541" t="str">
            <v>00111152P.2</v>
          </cell>
        </row>
        <row r="15542">
          <cell r="K15542" t="str">
            <v>00111152P.2</v>
          </cell>
        </row>
        <row r="15543">
          <cell r="K15543" t="str">
            <v>00111152P.2</v>
          </cell>
        </row>
        <row r="15544">
          <cell r="K15544" t="str">
            <v>00111152P.2</v>
          </cell>
        </row>
        <row r="15545">
          <cell r="K15545" t="str">
            <v>00111152P.2</v>
          </cell>
        </row>
        <row r="15546">
          <cell r="K15546" t="str">
            <v>00111152P.2</v>
          </cell>
        </row>
        <row r="15547">
          <cell r="K15547" t="str">
            <v>00111152P.2</v>
          </cell>
        </row>
        <row r="15548">
          <cell r="K15548" t="str">
            <v>00111123P.2</v>
          </cell>
        </row>
        <row r="15549">
          <cell r="K15549" t="str">
            <v>00111123P.2</v>
          </cell>
        </row>
        <row r="15550">
          <cell r="K15550" t="str">
            <v>00111135P.2</v>
          </cell>
        </row>
        <row r="15551">
          <cell r="K15551" t="str">
            <v>00111135P.2</v>
          </cell>
        </row>
        <row r="15552">
          <cell r="K15552" t="str">
            <v>00111135P.2</v>
          </cell>
        </row>
        <row r="15553">
          <cell r="K15553" t="str">
            <v>00111135P.2</v>
          </cell>
        </row>
        <row r="15554">
          <cell r="K15554" t="str">
            <v>00111135P.2</v>
          </cell>
        </row>
        <row r="15555">
          <cell r="K15555" t="str">
            <v>00111135P.2</v>
          </cell>
        </row>
        <row r="15556">
          <cell r="K15556" t="str">
            <v>00111136P.2</v>
          </cell>
        </row>
        <row r="15557">
          <cell r="K15557" t="str">
            <v>00111136P.2</v>
          </cell>
        </row>
        <row r="15558">
          <cell r="K15558" t="str">
            <v>00111136P.2</v>
          </cell>
        </row>
        <row r="15559">
          <cell r="K15559" t="str">
            <v>00111122P.2</v>
          </cell>
        </row>
        <row r="15560">
          <cell r="K15560" t="str">
            <v>00111122P.2</v>
          </cell>
        </row>
        <row r="15561">
          <cell r="K15561" t="str">
            <v>00111122P.2</v>
          </cell>
        </row>
        <row r="15562">
          <cell r="K15562" t="str">
            <v>00111128P.2</v>
          </cell>
        </row>
        <row r="15563">
          <cell r="K15563" t="str">
            <v>00111128P.2</v>
          </cell>
        </row>
        <row r="15564">
          <cell r="K15564" t="str">
            <v>00111128P.2</v>
          </cell>
        </row>
        <row r="15565">
          <cell r="K15565" t="str">
            <v>00111153P.2</v>
          </cell>
        </row>
        <row r="15566">
          <cell r="K15566" t="str">
            <v>00111153P.2</v>
          </cell>
        </row>
        <row r="15567">
          <cell r="K15567" t="str">
            <v>00111122P.2</v>
          </cell>
        </row>
        <row r="15568">
          <cell r="K15568" t="str">
            <v>00111122P.2</v>
          </cell>
        </row>
        <row r="15569">
          <cell r="K15569" t="str">
            <v>00111110P.2</v>
          </cell>
        </row>
        <row r="15570">
          <cell r="K15570" t="str">
            <v>00111110P.2</v>
          </cell>
        </row>
        <row r="15571">
          <cell r="K15571" t="str">
            <v>00111110P.2</v>
          </cell>
        </row>
        <row r="15572">
          <cell r="K15572" t="str">
            <v>00111110P.2</v>
          </cell>
        </row>
        <row r="15573">
          <cell r="K15573" t="str">
            <v>00111110P.2</v>
          </cell>
        </row>
        <row r="15574">
          <cell r="K15574" t="str">
            <v>00111110P.2</v>
          </cell>
        </row>
        <row r="15575">
          <cell r="K15575" t="str">
            <v>00111110P.2</v>
          </cell>
        </row>
        <row r="15576">
          <cell r="K15576" t="str">
            <v>00111110P.2</v>
          </cell>
        </row>
        <row r="15577">
          <cell r="K15577" t="str">
            <v>00111110P.2</v>
          </cell>
        </row>
        <row r="15578">
          <cell r="K15578" t="str">
            <v>00111110P.2</v>
          </cell>
        </row>
        <row r="15579">
          <cell r="K15579" t="str">
            <v>00111110P.2</v>
          </cell>
        </row>
        <row r="15580">
          <cell r="K15580" t="str">
            <v>00111110P.2</v>
          </cell>
        </row>
        <row r="15581">
          <cell r="K15581" t="str">
            <v>00111118P.2</v>
          </cell>
        </row>
        <row r="15582">
          <cell r="K15582" t="str">
            <v>00111118P.2</v>
          </cell>
        </row>
        <row r="15583">
          <cell r="K15583" t="str">
            <v>00111126P.2</v>
          </cell>
        </row>
        <row r="15584">
          <cell r="K15584" t="str">
            <v>00111126P.2</v>
          </cell>
        </row>
        <row r="15585">
          <cell r="K15585" t="str">
            <v>00111126P.2</v>
          </cell>
        </row>
        <row r="15586">
          <cell r="K15586" t="str">
            <v>00111126P.2</v>
          </cell>
        </row>
        <row r="15587">
          <cell r="K15587" t="str">
            <v>00111126P.2</v>
          </cell>
        </row>
        <row r="15588">
          <cell r="K15588" t="str">
            <v>00111126P.2</v>
          </cell>
        </row>
        <row r="15589">
          <cell r="K15589" t="str">
            <v>00111126P.2</v>
          </cell>
        </row>
        <row r="15590">
          <cell r="K15590" t="str">
            <v>00111126P.2</v>
          </cell>
        </row>
        <row r="15591">
          <cell r="K15591" t="str">
            <v>00111126P.2</v>
          </cell>
        </row>
        <row r="15592">
          <cell r="K15592" t="str">
            <v>00111126P.2</v>
          </cell>
        </row>
        <row r="15593">
          <cell r="K15593" t="str">
            <v>00111126P.2</v>
          </cell>
        </row>
        <row r="15594">
          <cell r="K15594" t="str">
            <v>00111134P.2</v>
          </cell>
        </row>
        <row r="15595">
          <cell r="K15595" t="str">
            <v>00111134P.2</v>
          </cell>
        </row>
        <row r="15596">
          <cell r="K15596" t="str">
            <v>00111134P.2</v>
          </cell>
        </row>
        <row r="15597">
          <cell r="K15597" t="str">
            <v>00111143P.2</v>
          </cell>
        </row>
        <row r="15598">
          <cell r="K15598" t="str">
            <v>00111143P.2</v>
          </cell>
        </row>
        <row r="15599">
          <cell r="K15599" t="str">
            <v>00111143P.2</v>
          </cell>
        </row>
        <row r="15600">
          <cell r="K15600" t="str">
            <v>00111143P.2</v>
          </cell>
        </row>
        <row r="15601">
          <cell r="K15601" t="str">
            <v>00111143P.2</v>
          </cell>
        </row>
        <row r="15602">
          <cell r="K15602" t="str">
            <v>00111143P.2</v>
          </cell>
        </row>
        <row r="15603">
          <cell r="K15603" t="str">
            <v>00111143P.2</v>
          </cell>
        </row>
        <row r="15604">
          <cell r="K15604" t="str">
            <v>00111143P.2</v>
          </cell>
        </row>
        <row r="15605">
          <cell r="K15605" t="str">
            <v>00111143P.2</v>
          </cell>
        </row>
        <row r="15606">
          <cell r="K15606" t="str">
            <v>00111145P.2</v>
          </cell>
        </row>
        <row r="15607">
          <cell r="K15607" t="str">
            <v>00111145P.2</v>
          </cell>
        </row>
        <row r="15608">
          <cell r="K15608" t="str">
            <v>00111145P.2</v>
          </cell>
        </row>
        <row r="15609">
          <cell r="K15609" t="str">
            <v>00111145P.2</v>
          </cell>
        </row>
        <row r="15610">
          <cell r="K15610" t="str">
            <v>00111145P.2</v>
          </cell>
        </row>
        <row r="15611">
          <cell r="K15611" t="str">
            <v>00111145P.2</v>
          </cell>
        </row>
        <row r="15612">
          <cell r="K15612" t="str">
            <v>00111145P.2</v>
          </cell>
        </row>
        <row r="15613">
          <cell r="K15613" t="str">
            <v>00111145P.2</v>
          </cell>
        </row>
        <row r="15614">
          <cell r="K15614" t="str">
            <v>00111145P.2</v>
          </cell>
        </row>
        <row r="15615">
          <cell r="K15615" t="str">
            <v>00111145P.2</v>
          </cell>
        </row>
        <row r="15616">
          <cell r="K15616" t="str">
            <v>00111145P.2</v>
          </cell>
        </row>
        <row r="15617">
          <cell r="K15617" t="str">
            <v>00111145P.2</v>
          </cell>
        </row>
        <row r="15618">
          <cell r="K15618" t="str">
            <v>00111145P.2</v>
          </cell>
        </row>
        <row r="15619">
          <cell r="K15619" t="str">
            <v>00111145P.2</v>
          </cell>
        </row>
        <row r="15620">
          <cell r="K15620" t="str">
            <v>00111145P.2</v>
          </cell>
        </row>
        <row r="15621">
          <cell r="K15621" t="str">
            <v>00111145P.2</v>
          </cell>
        </row>
        <row r="15622">
          <cell r="K15622" t="str">
            <v>00111145P.2</v>
          </cell>
        </row>
        <row r="15623">
          <cell r="K15623" t="str">
            <v>00111145P.2</v>
          </cell>
        </row>
        <row r="15624">
          <cell r="K15624" t="str">
            <v>00111145P.2</v>
          </cell>
        </row>
        <row r="15625">
          <cell r="K15625" t="str">
            <v>00111145P.2</v>
          </cell>
        </row>
        <row r="15626">
          <cell r="K15626" t="str">
            <v>00111145P.2</v>
          </cell>
        </row>
        <row r="15627">
          <cell r="K15627" t="str">
            <v>00111145P.2</v>
          </cell>
        </row>
        <row r="15628">
          <cell r="K15628" t="str">
            <v>00111145P.2</v>
          </cell>
        </row>
        <row r="15629">
          <cell r="K15629" t="str">
            <v>00111145P.2</v>
          </cell>
        </row>
        <row r="15630">
          <cell r="K15630" t="str">
            <v>00111148P.2</v>
          </cell>
        </row>
        <row r="15631">
          <cell r="K15631" t="str">
            <v>00111148P.2</v>
          </cell>
        </row>
        <row r="15632">
          <cell r="K15632" t="str">
            <v>00111148P.2</v>
          </cell>
        </row>
        <row r="15633">
          <cell r="K15633" t="str">
            <v>00111148P.2</v>
          </cell>
        </row>
        <row r="15634">
          <cell r="K15634" t="str">
            <v>00111148P.2</v>
          </cell>
        </row>
        <row r="15635">
          <cell r="K15635" t="str">
            <v>00111149P.2</v>
          </cell>
        </row>
        <row r="15636">
          <cell r="K15636" t="str">
            <v>00111149P.2</v>
          </cell>
        </row>
        <row r="15637">
          <cell r="K15637" t="str">
            <v>00111149P.2</v>
          </cell>
        </row>
        <row r="15638">
          <cell r="K15638" t="str">
            <v>00111150P.2</v>
          </cell>
        </row>
        <row r="15639">
          <cell r="K15639" t="str">
            <v>00111150P.2</v>
          </cell>
        </row>
        <row r="15640">
          <cell r="K15640" t="str">
            <v>00111150P.2</v>
          </cell>
        </row>
        <row r="15641">
          <cell r="K15641" t="str">
            <v>00111150P.2</v>
          </cell>
        </row>
        <row r="15642">
          <cell r="K15642" t="str">
            <v>00111150P.2</v>
          </cell>
        </row>
        <row r="15643">
          <cell r="K15643" t="str">
            <v>00111150P.2</v>
          </cell>
        </row>
        <row r="15644">
          <cell r="K15644" t="str">
            <v>00111150P.2</v>
          </cell>
        </row>
        <row r="15645">
          <cell r="K15645" t="str">
            <v>00111150P.2</v>
          </cell>
        </row>
        <row r="15646">
          <cell r="K15646" t="str">
            <v>00111150P.2</v>
          </cell>
        </row>
        <row r="15647">
          <cell r="K15647" t="str">
            <v>00111157P.2</v>
          </cell>
        </row>
        <row r="15648">
          <cell r="K15648" t="str">
            <v>00111157P.2</v>
          </cell>
        </row>
        <row r="15649">
          <cell r="K15649" t="str">
            <v>00111157P.2</v>
          </cell>
        </row>
        <row r="15650">
          <cell r="K15650" t="str">
            <v>00111157P.2</v>
          </cell>
        </row>
        <row r="15651">
          <cell r="K15651" t="str">
            <v>00111157P.2</v>
          </cell>
        </row>
        <row r="15652">
          <cell r="K15652" t="str">
            <v>00111157P.2</v>
          </cell>
        </row>
        <row r="15653">
          <cell r="K15653" t="str">
            <v>00111157P.2</v>
          </cell>
        </row>
        <row r="15654">
          <cell r="K15654" t="str">
            <v>00111157P.2</v>
          </cell>
        </row>
        <row r="15655">
          <cell r="K15655" t="str">
            <v>00111157P.2</v>
          </cell>
        </row>
        <row r="15656">
          <cell r="K15656" t="str">
            <v>00111159P.2</v>
          </cell>
        </row>
        <row r="15657">
          <cell r="K15657" t="str">
            <v>00111159P.2</v>
          </cell>
        </row>
        <row r="15658">
          <cell r="K15658" t="str">
            <v>00111159P.2</v>
          </cell>
        </row>
        <row r="15659">
          <cell r="K15659" t="str">
            <v>00111159P.2</v>
          </cell>
        </row>
        <row r="15660">
          <cell r="K15660" t="str">
            <v>00111159P.2</v>
          </cell>
        </row>
        <row r="15661">
          <cell r="K15661" t="str">
            <v>00111159P.2</v>
          </cell>
        </row>
        <row r="15662">
          <cell r="K15662" t="str">
            <v>00111159P.2</v>
          </cell>
        </row>
        <row r="15663">
          <cell r="K15663" t="str">
            <v>00111159P.2</v>
          </cell>
        </row>
        <row r="15664">
          <cell r="K15664" t="str">
            <v>00111159P.2</v>
          </cell>
        </row>
        <row r="15665">
          <cell r="K15665" t="str">
            <v>00111159P.2</v>
          </cell>
        </row>
        <row r="15666">
          <cell r="K15666" t="str">
            <v>00111159P.2</v>
          </cell>
        </row>
        <row r="15667">
          <cell r="K15667" t="str">
            <v>00111107P.2</v>
          </cell>
        </row>
        <row r="15668">
          <cell r="K15668" t="str">
            <v>00111107P.2</v>
          </cell>
        </row>
        <row r="15669">
          <cell r="K15669" t="str">
            <v>00111107P.2</v>
          </cell>
        </row>
        <row r="15670">
          <cell r="K15670" t="str">
            <v>00111144P.2</v>
          </cell>
        </row>
        <row r="15671">
          <cell r="K15671" t="str">
            <v>00111144P.2</v>
          </cell>
        </row>
        <row r="15672">
          <cell r="K15672" t="str">
            <v>00111144P.2</v>
          </cell>
        </row>
        <row r="15673">
          <cell r="K15673" t="str">
            <v>00111144P.2</v>
          </cell>
        </row>
        <row r="15674">
          <cell r="K15674" t="str">
            <v>00111144P.2</v>
          </cell>
        </row>
        <row r="15675">
          <cell r="K15675" t="str">
            <v>00111144P.2</v>
          </cell>
        </row>
        <row r="15676">
          <cell r="K15676" t="str">
            <v>00111144P.2</v>
          </cell>
        </row>
        <row r="15677">
          <cell r="K15677" t="str">
            <v>00111144P.2</v>
          </cell>
        </row>
        <row r="15678">
          <cell r="K15678" t="str">
            <v>00111144P.2</v>
          </cell>
        </row>
        <row r="15679">
          <cell r="K15679" t="str">
            <v>00111144P.2</v>
          </cell>
        </row>
        <row r="15680">
          <cell r="K15680" t="str">
            <v>00111153P.2</v>
          </cell>
        </row>
        <row r="15681">
          <cell r="K15681" t="str">
            <v>00111126P.2</v>
          </cell>
        </row>
        <row r="15682">
          <cell r="K15682" t="str">
            <v>00111126P.2</v>
          </cell>
        </row>
        <row r="15683">
          <cell r="K15683" t="str">
            <v>00111126P.2</v>
          </cell>
        </row>
        <row r="15684">
          <cell r="K15684" t="str">
            <v>00111126P.2</v>
          </cell>
        </row>
        <row r="15685">
          <cell r="K15685" t="str">
            <v>00111160P.2</v>
          </cell>
        </row>
        <row r="15686">
          <cell r="K15686" t="str">
            <v>00111160P.2</v>
          </cell>
        </row>
        <row r="15687">
          <cell r="K15687" t="str">
            <v>00111160P.2</v>
          </cell>
        </row>
        <row r="15688">
          <cell r="K15688" t="str">
            <v>00111160P.2</v>
          </cell>
        </row>
        <row r="15689">
          <cell r="K15689" t="str">
            <v>00111160P.2</v>
          </cell>
        </row>
        <row r="15690">
          <cell r="K15690" t="str">
            <v>00111160P.2</v>
          </cell>
        </row>
        <row r="15691">
          <cell r="K15691" t="str">
            <v>00111160P.2</v>
          </cell>
        </row>
        <row r="15692">
          <cell r="K15692" t="str">
            <v>00111160P.2</v>
          </cell>
        </row>
        <row r="15693">
          <cell r="K15693" t="str">
            <v>00111160P.2</v>
          </cell>
        </row>
        <row r="15694">
          <cell r="K15694" t="str">
            <v>00111160P.2</v>
          </cell>
        </row>
        <row r="15695">
          <cell r="K15695" t="str">
            <v>00111160P.2</v>
          </cell>
        </row>
        <row r="15696">
          <cell r="K15696" t="str">
            <v>00111160P.2</v>
          </cell>
        </row>
        <row r="15697">
          <cell r="K15697" t="str">
            <v>00111160P.2</v>
          </cell>
        </row>
        <row r="15698">
          <cell r="K15698" t="str">
            <v>00111160P.2</v>
          </cell>
        </row>
        <row r="15699">
          <cell r="K15699" t="str">
            <v>00111160P.2</v>
          </cell>
        </row>
        <row r="15700">
          <cell r="K15700" t="str">
            <v>00111160P.2</v>
          </cell>
        </row>
        <row r="15701">
          <cell r="K15701" t="str">
            <v>00111160P.2</v>
          </cell>
        </row>
        <row r="15702">
          <cell r="K15702" t="str">
            <v>00111160P.2</v>
          </cell>
        </row>
        <row r="15703">
          <cell r="K15703" t="str">
            <v>00111160P.2</v>
          </cell>
        </row>
        <row r="15704">
          <cell r="K15704" t="str">
            <v>00111160P.2</v>
          </cell>
        </row>
        <row r="15705">
          <cell r="K15705" t="str">
            <v>00111160P.2</v>
          </cell>
        </row>
        <row r="15706">
          <cell r="K15706" t="str">
            <v>00111160P.2</v>
          </cell>
        </row>
        <row r="15707">
          <cell r="K15707" t="str">
            <v>00111160P.2</v>
          </cell>
        </row>
        <row r="15708">
          <cell r="K15708" t="str">
            <v>00111160P.2</v>
          </cell>
        </row>
        <row r="15709">
          <cell r="K15709" t="str">
            <v>00111160P.2</v>
          </cell>
        </row>
        <row r="15710">
          <cell r="K15710" t="str">
            <v>00111160P.2</v>
          </cell>
        </row>
        <row r="15711">
          <cell r="K15711" t="str">
            <v>00111159P.2</v>
          </cell>
        </row>
        <row r="15712">
          <cell r="K15712" t="str">
            <v>00111159P.2</v>
          </cell>
        </row>
        <row r="15713">
          <cell r="K15713" t="str">
            <v>00111159P.2</v>
          </cell>
        </row>
        <row r="15714">
          <cell r="K15714" t="str">
            <v>00111159P.2</v>
          </cell>
        </row>
        <row r="15715">
          <cell r="K15715" t="str">
            <v>00111159P.2</v>
          </cell>
        </row>
        <row r="15716">
          <cell r="K15716" t="str">
            <v>00111159P.2</v>
          </cell>
        </row>
        <row r="15717">
          <cell r="K15717" t="str">
            <v>00111159P.2</v>
          </cell>
        </row>
        <row r="15718">
          <cell r="K15718" t="str">
            <v>00111159P.2</v>
          </cell>
        </row>
        <row r="15719">
          <cell r="K15719" t="str">
            <v>00111159P.2</v>
          </cell>
        </row>
        <row r="15720">
          <cell r="K15720" t="str">
            <v>00111159P.2</v>
          </cell>
        </row>
        <row r="15721">
          <cell r="K15721" t="str">
            <v>00111159P.2</v>
          </cell>
        </row>
        <row r="15722">
          <cell r="K15722" t="str">
            <v>00111159P.2</v>
          </cell>
        </row>
        <row r="15723">
          <cell r="K15723" t="str">
            <v>00111114P.2</v>
          </cell>
        </row>
        <row r="15724">
          <cell r="K15724" t="str">
            <v>00111115P.2</v>
          </cell>
        </row>
        <row r="15725">
          <cell r="K15725" t="str">
            <v>00111117P.2</v>
          </cell>
        </row>
        <row r="15726">
          <cell r="K15726" t="str">
            <v>00111121P.2</v>
          </cell>
        </row>
        <row r="15727">
          <cell r="K15727" t="str">
            <v>00111121P.2</v>
          </cell>
        </row>
        <row r="15728">
          <cell r="K15728" t="str">
            <v>00111128P.2</v>
          </cell>
        </row>
        <row r="15729">
          <cell r="K15729" t="str">
            <v>00111130P.2</v>
          </cell>
        </row>
        <row r="15730">
          <cell r="K15730" t="str">
            <v>00111135P.2</v>
          </cell>
        </row>
        <row r="15731">
          <cell r="K15731" t="str">
            <v>00111110P.2</v>
          </cell>
        </row>
        <row r="15732">
          <cell r="K15732" t="str">
            <v>00111111P.2</v>
          </cell>
        </row>
        <row r="15733">
          <cell r="K15733" t="str">
            <v>00111111P.2</v>
          </cell>
        </row>
        <row r="15734">
          <cell r="K15734" t="str">
            <v>00111114P.2</v>
          </cell>
        </row>
        <row r="15735">
          <cell r="K15735" t="str">
            <v>00111119P.2</v>
          </cell>
        </row>
        <row r="15736">
          <cell r="K15736" t="str">
            <v>00111119P.2</v>
          </cell>
        </row>
        <row r="15737">
          <cell r="K15737" t="str">
            <v>00111119P.2</v>
          </cell>
        </row>
        <row r="15738">
          <cell r="K15738" t="str">
            <v>00111119P.2</v>
          </cell>
        </row>
        <row r="15739">
          <cell r="K15739" t="str">
            <v>00111123P.2</v>
          </cell>
        </row>
        <row r="15740">
          <cell r="K15740" t="str">
            <v>00111126P.2</v>
          </cell>
        </row>
        <row r="15741">
          <cell r="K15741" t="str">
            <v>00111127P.2</v>
          </cell>
        </row>
        <row r="15742">
          <cell r="K15742" t="str">
            <v>00111130P.2</v>
          </cell>
        </row>
        <row r="15743">
          <cell r="K15743" t="str">
            <v>00111131P.2</v>
          </cell>
        </row>
        <row r="15744">
          <cell r="K15744" t="str">
            <v>00111132P.2</v>
          </cell>
        </row>
        <row r="15745">
          <cell r="K15745" t="str">
            <v>00111133P.2</v>
          </cell>
        </row>
        <row r="15746">
          <cell r="K15746" t="str">
            <v>00111133P.2</v>
          </cell>
        </row>
        <row r="15747">
          <cell r="K15747" t="str">
            <v>00111134P.2</v>
          </cell>
        </row>
        <row r="15748">
          <cell r="K15748" t="str">
            <v>00111135P.2</v>
          </cell>
        </row>
        <row r="15749">
          <cell r="K15749" t="str">
            <v>00111135P.2</v>
          </cell>
        </row>
        <row r="15750">
          <cell r="K15750" t="str">
            <v>00111135P.2</v>
          </cell>
        </row>
        <row r="15751">
          <cell r="K15751" t="str">
            <v>00111136P.2</v>
          </cell>
        </row>
        <row r="15752">
          <cell r="K15752" t="str">
            <v>00111136P.2</v>
          </cell>
        </row>
        <row r="15753">
          <cell r="K15753" t="str">
            <v>00111136P.2</v>
          </cell>
        </row>
        <row r="15754">
          <cell r="K15754" t="str">
            <v>00111128P.2</v>
          </cell>
        </row>
        <row r="15755">
          <cell r="K15755" t="str">
            <v>00111130P.2</v>
          </cell>
        </row>
        <row r="15756">
          <cell r="K15756" t="str">
            <v>00111130P.2</v>
          </cell>
        </row>
        <row r="15757">
          <cell r="K15757" t="str">
            <v>00111131P.2</v>
          </cell>
        </row>
        <row r="15758">
          <cell r="K15758" t="str">
            <v>00111131P.2</v>
          </cell>
        </row>
        <row r="15759">
          <cell r="K15759" t="str">
            <v>00111110P.2</v>
          </cell>
        </row>
        <row r="15760">
          <cell r="K15760" t="str">
            <v>00111113P.2</v>
          </cell>
        </row>
        <row r="15761">
          <cell r="K15761" t="str">
            <v>00111116P.2</v>
          </cell>
        </row>
        <row r="15762">
          <cell r="K15762" t="str">
            <v>00111118P.2</v>
          </cell>
        </row>
        <row r="15763">
          <cell r="K15763" t="str">
            <v>00111118P.2</v>
          </cell>
        </row>
        <row r="15764">
          <cell r="K15764" t="str">
            <v>00111120P.2</v>
          </cell>
        </row>
        <row r="15765">
          <cell r="K15765" t="str">
            <v>00111129P.2</v>
          </cell>
        </row>
        <row r="15766">
          <cell r="K15766" t="str">
            <v>00111131P.2</v>
          </cell>
        </row>
        <row r="15767">
          <cell r="K15767" t="str">
            <v>00111131P.2</v>
          </cell>
        </row>
        <row r="15768">
          <cell r="K15768" t="str">
            <v>00111136P.2</v>
          </cell>
        </row>
        <row r="15769">
          <cell r="K15769" t="str">
            <v>00111110P.2</v>
          </cell>
        </row>
        <row r="15770">
          <cell r="K15770" t="str">
            <v>00111110P.2</v>
          </cell>
        </row>
        <row r="15771">
          <cell r="K15771" t="str">
            <v>00111118P.2</v>
          </cell>
        </row>
        <row r="15772">
          <cell r="K15772" t="str">
            <v>00111120P.2</v>
          </cell>
        </row>
        <row r="15773">
          <cell r="K15773" t="str">
            <v>00111121P.2</v>
          </cell>
        </row>
        <row r="15774">
          <cell r="K15774" t="str">
            <v>00111129P.2</v>
          </cell>
        </row>
        <row r="15775">
          <cell r="K15775" t="str">
            <v>00111110P.2</v>
          </cell>
        </row>
        <row r="15776">
          <cell r="K15776" t="str">
            <v>00111114P.2</v>
          </cell>
        </row>
        <row r="15777">
          <cell r="K15777" t="str">
            <v>00111114P.2</v>
          </cell>
        </row>
        <row r="15778">
          <cell r="K15778" t="str">
            <v>00111119P.2</v>
          </cell>
        </row>
        <row r="15779">
          <cell r="K15779" t="str">
            <v>00111126P.2</v>
          </cell>
        </row>
        <row r="15780">
          <cell r="K15780" t="str">
            <v>00111126P.2</v>
          </cell>
        </row>
        <row r="15781">
          <cell r="K15781" t="str">
            <v>00111129P.2</v>
          </cell>
        </row>
        <row r="15782">
          <cell r="K15782" t="str">
            <v>00111130P.2</v>
          </cell>
        </row>
        <row r="15783">
          <cell r="K15783" t="str">
            <v>00111135P.2</v>
          </cell>
        </row>
        <row r="15784">
          <cell r="K15784" t="str">
            <v>00111136P.2</v>
          </cell>
        </row>
        <row r="15785">
          <cell r="K15785" t="str">
            <v>00111123P.2</v>
          </cell>
        </row>
        <row r="15786">
          <cell r="K15786" t="str">
            <v>00111131P.2</v>
          </cell>
        </row>
        <row r="15787">
          <cell r="K15787" t="str">
            <v>00111132P.2</v>
          </cell>
        </row>
        <row r="15788">
          <cell r="K15788" t="str">
            <v>00111114P.2</v>
          </cell>
        </row>
        <row r="15789">
          <cell r="K15789" t="str">
            <v>00111114P.2</v>
          </cell>
        </row>
        <row r="15790">
          <cell r="K15790" t="str">
            <v>00111118P.2</v>
          </cell>
        </row>
        <row r="15791">
          <cell r="K15791" t="str">
            <v>00111120P.2</v>
          </cell>
        </row>
        <row r="15792">
          <cell r="K15792" t="str">
            <v>00111124P.2</v>
          </cell>
        </row>
        <row r="15793">
          <cell r="K15793" t="str">
            <v>00111126P.2</v>
          </cell>
        </row>
        <row r="15794">
          <cell r="K15794" t="str">
            <v>00111128P.2</v>
          </cell>
        </row>
        <row r="15795">
          <cell r="K15795" t="str">
            <v>00111136P.2</v>
          </cell>
        </row>
        <row r="15796">
          <cell r="K15796" t="str">
            <v>00111110P.2</v>
          </cell>
        </row>
        <row r="15797">
          <cell r="K15797" t="str">
            <v>00111120P.2</v>
          </cell>
        </row>
        <row r="15798">
          <cell r="K15798" t="str">
            <v>00111122P.2</v>
          </cell>
        </row>
        <row r="15799">
          <cell r="K15799" t="str">
            <v>00111127P.2</v>
          </cell>
        </row>
        <row r="15800">
          <cell r="K15800" t="str">
            <v>00111130P.2</v>
          </cell>
        </row>
        <row r="15801">
          <cell r="K15801" t="str">
            <v>00111131P.2</v>
          </cell>
        </row>
        <row r="15802">
          <cell r="K15802" t="str">
            <v>00111115P.2</v>
          </cell>
        </row>
        <row r="15803">
          <cell r="K15803" t="str">
            <v>00111115P.2</v>
          </cell>
        </row>
        <row r="15804">
          <cell r="K15804" t="str">
            <v>00111116P.2</v>
          </cell>
        </row>
        <row r="15805">
          <cell r="K15805" t="str">
            <v>00111119P.2</v>
          </cell>
        </row>
        <row r="15806">
          <cell r="K15806" t="str">
            <v>00111126P.2</v>
          </cell>
        </row>
        <row r="15807">
          <cell r="K15807" t="str">
            <v>00111129P.2</v>
          </cell>
        </row>
        <row r="15808">
          <cell r="K15808" t="str">
            <v>00111129P.2</v>
          </cell>
        </row>
        <row r="15809">
          <cell r="K15809" t="str">
            <v>00111133P.2</v>
          </cell>
        </row>
        <row r="15810">
          <cell r="K15810" t="str">
            <v>00111134P.2</v>
          </cell>
        </row>
        <row r="15811">
          <cell r="K15811" t="str">
            <v>00111136P.2</v>
          </cell>
        </row>
        <row r="15812">
          <cell r="K15812" t="str">
            <v>00111126P.2</v>
          </cell>
        </row>
        <row r="15813">
          <cell r="K15813" t="str">
            <v>00111128P.2</v>
          </cell>
        </row>
        <row r="15814">
          <cell r="K15814" t="str">
            <v>00111131P.2</v>
          </cell>
        </row>
        <row r="15815">
          <cell r="K15815" t="str">
            <v>00111131P.2</v>
          </cell>
        </row>
        <row r="15816">
          <cell r="K15816" t="str">
            <v>00111132P.2</v>
          </cell>
        </row>
        <row r="15817">
          <cell r="K15817" t="str">
            <v>00111116P.2</v>
          </cell>
        </row>
        <row r="15818">
          <cell r="K15818" t="str">
            <v>00111123P.2</v>
          </cell>
        </row>
        <row r="15819">
          <cell r="K15819" t="str">
            <v>00111129P.2</v>
          </cell>
        </row>
        <row r="15820">
          <cell r="K15820" t="str">
            <v>00111131P.2</v>
          </cell>
        </row>
        <row r="15821">
          <cell r="K15821" t="str">
            <v>00111115P.2</v>
          </cell>
        </row>
        <row r="15822">
          <cell r="K15822" t="str">
            <v>00111118P.2</v>
          </cell>
        </row>
        <row r="15823">
          <cell r="K15823" t="str">
            <v>00111120P.2</v>
          </cell>
        </row>
        <row r="15824">
          <cell r="K15824" t="str">
            <v>00111124P.2</v>
          </cell>
        </row>
        <row r="15825">
          <cell r="K15825" t="str">
            <v>00111130P.2</v>
          </cell>
        </row>
        <row r="15826">
          <cell r="K15826" t="str">
            <v>00111133P.2</v>
          </cell>
        </row>
        <row r="15827">
          <cell r="K15827" t="str">
            <v>00111121P.2</v>
          </cell>
        </row>
        <row r="15828">
          <cell r="K15828" t="str">
            <v>00111131P.2</v>
          </cell>
        </row>
        <row r="15829">
          <cell r="K15829" t="str">
            <v>00111115P.2</v>
          </cell>
        </row>
        <row r="15830">
          <cell r="K15830" t="str">
            <v>00111117P.2</v>
          </cell>
        </row>
        <row r="15831">
          <cell r="K15831" t="str">
            <v>00111123P.2</v>
          </cell>
        </row>
        <row r="15832">
          <cell r="K15832" t="str">
            <v>00111124P.2</v>
          </cell>
        </row>
        <row r="15833">
          <cell r="K15833" t="str">
            <v>00111127P.2</v>
          </cell>
        </row>
        <row r="15834">
          <cell r="K15834" t="str">
            <v>00111132P.2</v>
          </cell>
        </row>
        <row r="15835">
          <cell r="K15835" t="str">
            <v>00111136P.2</v>
          </cell>
        </row>
        <row r="15836">
          <cell r="K15836" t="str">
            <v>00111129P.2</v>
          </cell>
        </row>
        <row r="15837">
          <cell r="K15837" t="str">
            <v>00111110P.2</v>
          </cell>
        </row>
        <row r="15838">
          <cell r="K15838" t="str">
            <v>00111121P.2</v>
          </cell>
        </row>
        <row r="15839">
          <cell r="K15839" t="str">
            <v>00111122P.2</v>
          </cell>
        </row>
        <row r="15840">
          <cell r="K15840" t="str">
            <v>00111128P.2</v>
          </cell>
        </row>
        <row r="15841">
          <cell r="K15841" t="str">
            <v>00111129P.2</v>
          </cell>
        </row>
        <row r="15842">
          <cell r="K15842" t="str">
            <v>00111133P.2</v>
          </cell>
        </row>
        <row r="15843">
          <cell r="K15843" t="str">
            <v>00111124P.2</v>
          </cell>
        </row>
        <row r="15844">
          <cell r="K15844" t="str">
            <v>00111118P.2</v>
          </cell>
        </row>
        <row r="15845">
          <cell r="K15845" t="str">
            <v>00111124P.2</v>
          </cell>
        </row>
        <row r="15846">
          <cell r="K15846" t="str">
            <v>00111128P.2</v>
          </cell>
        </row>
        <row r="15847">
          <cell r="K15847" t="str">
            <v>00111130P.2</v>
          </cell>
        </row>
        <row r="15848">
          <cell r="K15848" t="str">
            <v>00111133P.2</v>
          </cell>
        </row>
        <row r="15849">
          <cell r="K15849" t="str">
            <v>00111134P.2</v>
          </cell>
        </row>
        <row r="15850">
          <cell r="K15850" t="str">
            <v>00111123P.2</v>
          </cell>
        </row>
        <row r="15851">
          <cell r="K15851" t="str">
            <v>00111117P.2</v>
          </cell>
        </row>
        <row r="15852">
          <cell r="K15852" t="str">
            <v>00111119P.2</v>
          </cell>
        </row>
        <row r="15853">
          <cell r="K15853" t="str">
            <v>00111120P.2</v>
          </cell>
        </row>
        <row r="15854">
          <cell r="K15854" t="str">
            <v>00111136P.2</v>
          </cell>
        </row>
        <row r="15855">
          <cell r="K15855" t="str">
            <v>00111115P.2</v>
          </cell>
        </row>
        <row r="15856">
          <cell r="K15856" t="str">
            <v>00111117P.2</v>
          </cell>
        </row>
        <row r="15857">
          <cell r="K15857" t="str">
            <v>00111124P.2</v>
          </cell>
        </row>
        <row r="15858">
          <cell r="K15858" t="str">
            <v>00111126P.2</v>
          </cell>
        </row>
        <row r="15859">
          <cell r="K15859" t="str">
            <v>00111136P.2</v>
          </cell>
        </row>
        <row r="15860">
          <cell r="K15860" t="str">
            <v>00111129P.2</v>
          </cell>
        </row>
        <row r="15861">
          <cell r="K15861" t="str">
            <v>00111110P.2</v>
          </cell>
        </row>
        <row r="15862">
          <cell r="K15862" t="str">
            <v>00111113P.2</v>
          </cell>
        </row>
        <row r="15863">
          <cell r="K15863" t="str">
            <v>00111115P.2</v>
          </cell>
        </row>
        <row r="15864">
          <cell r="K15864" t="str">
            <v>00111115P.2</v>
          </cell>
        </row>
        <row r="15865">
          <cell r="K15865" t="str">
            <v>00111129P.2</v>
          </cell>
        </row>
        <row r="15866">
          <cell r="K15866" t="str">
            <v>00111133P.2</v>
          </cell>
        </row>
        <row r="15867">
          <cell r="K15867" t="str">
            <v>00111113P.2</v>
          </cell>
        </row>
        <row r="15868">
          <cell r="K15868" t="str">
            <v>00111133P.2</v>
          </cell>
        </row>
        <row r="15869">
          <cell r="K15869" t="str">
            <v>00111112P.2</v>
          </cell>
        </row>
        <row r="15870">
          <cell r="K15870" t="str">
            <v>00111120P.2</v>
          </cell>
        </row>
        <row r="15871">
          <cell r="K15871" t="str">
            <v>00111127P.2</v>
          </cell>
        </row>
        <row r="15872">
          <cell r="K15872" t="str">
            <v>00111134P.2</v>
          </cell>
        </row>
        <row r="15873">
          <cell r="K15873" t="str">
            <v>00111117P.2</v>
          </cell>
        </row>
        <row r="15874">
          <cell r="K15874" t="str">
            <v>00111136P.2</v>
          </cell>
        </row>
        <row r="15875">
          <cell r="K15875" t="str">
            <v>00111130P.2</v>
          </cell>
        </row>
        <row r="15876">
          <cell r="K15876" t="str">
            <v>00111136P.2</v>
          </cell>
        </row>
        <row r="15877">
          <cell r="K15877" t="str">
            <v>00111136P.2</v>
          </cell>
        </row>
        <row r="15878">
          <cell r="K15878" t="str">
            <v>00111110P.2</v>
          </cell>
        </row>
        <row r="15879">
          <cell r="K15879" t="str">
            <v>00111125P.2</v>
          </cell>
        </row>
        <row r="15880">
          <cell r="K15880" t="str">
            <v>00111128P.2</v>
          </cell>
        </row>
        <row r="15881">
          <cell r="K15881" t="str">
            <v>00111130P.2</v>
          </cell>
        </row>
        <row r="15882">
          <cell r="K15882" t="str">
            <v>00111136P.2</v>
          </cell>
        </row>
        <row r="15883">
          <cell r="K15883" t="str">
            <v>00111117P.2</v>
          </cell>
        </row>
        <row r="15884">
          <cell r="K15884" t="str">
            <v>00111127P.2</v>
          </cell>
        </row>
        <row r="15885">
          <cell r="K15885" t="str">
            <v>00111118P.2</v>
          </cell>
        </row>
        <row r="15886">
          <cell r="K15886" t="str">
            <v>00111126P.2</v>
          </cell>
        </row>
        <row r="15887">
          <cell r="K15887" t="str">
            <v>00111120P.2</v>
          </cell>
        </row>
        <row r="15888">
          <cell r="K15888" t="str">
            <v>00111114P.2</v>
          </cell>
        </row>
        <row r="15889">
          <cell r="K15889" t="str">
            <v>00111117P.2</v>
          </cell>
        </row>
        <row r="15890">
          <cell r="K15890" t="str">
            <v>00111119P.2</v>
          </cell>
        </row>
        <row r="15891">
          <cell r="K15891" t="str">
            <v>00111117P.2</v>
          </cell>
        </row>
        <row r="15892">
          <cell r="K15892" t="str">
            <v>00111117P.2</v>
          </cell>
        </row>
        <row r="15893">
          <cell r="K15893" t="str">
            <v>00111124P.2</v>
          </cell>
        </row>
        <row r="15894">
          <cell r="K15894" t="str">
            <v>00111129P.2</v>
          </cell>
        </row>
        <row r="15895">
          <cell r="K15895" t="str">
            <v>00111129P.2</v>
          </cell>
        </row>
        <row r="15896">
          <cell r="K15896" t="str">
            <v>00111130P.2</v>
          </cell>
        </row>
        <row r="15897">
          <cell r="K15897" t="str">
            <v>00111133P.2</v>
          </cell>
        </row>
        <row r="15898">
          <cell r="K15898" t="str">
            <v>00111136P.2</v>
          </cell>
        </row>
        <row r="15899">
          <cell r="K15899" t="str">
            <v>00111126P.2</v>
          </cell>
        </row>
        <row r="15900">
          <cell r="K15900" t="str">
            <v>00111128P.2</v>
          </cell>
        </row>
        <row r="15901">
          <cell r="K15901" t="str">
            <v>00111128P.2</v>
          </cell>
        </row>
        <row r="15902">
          <cell r="K15902" t="str">
            <v>00111131P.2</v>
          </cell>
        </row>
        <row r="15903">
          <cell r="K15903" t="str">
            <v>00111126P.2</v>
          </cell>
        </row>
        <row r="15904">
          <cell r="K15904" t="str">
            <v>00111128P.2</v>
          </cell>
        </row>
        <row r="15905">
          <cell r="K15905" t="str">
            <v>00111130P.2</v>
          </cell>
        </row>
        <row r="15906">
          <cell r="K15906" t="str">
            <v>00111136P.2</v>
          </cell>
        </row>
        <row r="15907">
          <cell r="K15907" t="str">
            <v>00111126P.2</v>
          </cell>
        </row>
        <row r="15908">
          <cell r="K15908" t="str">
            <v>00111126P.2</v>
          </cell>
        </row>
        <row r="15909">
          <cell r="K15909" t="str">
            <v>00111130P.2</v>
          </cell>
        </row>
        <row r="15910">
          <cell r="K15910" t="str">
            <v>00111131P.2</v>
          </cell>
        </row>
        <row r="15911">
          <cell r="K15911" t="str">
            <v>00111117P.2</v>
          </cell>
        </row>
        <row r="15912">
          <cell r="K15912" t="str">
            <v>00111131P.2</v>
          </cell>
        </row>
        <row r="15913">
          <cell r="K15913" t="str">
            <v>00111133P.2</v>
          </cell>
        </row>
        <row r="15914">
          <cell r="K15914" t="str">
            <v>00111136P.2</v>
          </cell>
        </row>
        <row r="15915">
          <cell r="K15915" t="str">
            <v>00111136P.2</v>
          </cell>
        </row>
        <row r="15916">
          <cell r="K15916" t="str">
            <v>00111112P.2</v>
          </cell>
        </row>
        <row r="15917">
          <cell r="K15917" t="str">
            <v>00111126P.2</v>
          </cell>
        </row>
        <row r="15918">
          <cell r="K15918" t="str">
            <v>00111131P.2</v>
          </cell>
        </row>
        <row r="15919">
          <cell r="K15919" t="str">
            <v>00111124P.2</v>
          </cell>
        </row>
        <row r="15920">
          <cell r="K15920" t="str">
            <v>00111132P.2</v>
          </cell>
        </row>
        <row r="15921">
          <cell r="K15921" t="str">
            <v>00111115P.2</v>
          </cell>
        </row>
        <row r="15922">
          <cell r="K15922" t="str">
            <v>00111110P.2</v>
          </cell>
        </row>
        <row r="15923">
          <cell r="K15923" t="str">
            <v>00111114P.2</v>
          </cell>
        </row>
        <row r="15924">
          <cell r="K15924" t="str">
            <v>00111114P.2</v>
          </cell>
        </row>
        <row r="15925">
          <cell r="K15925" t="str">
            <v>00111121P.2</v>
          </cell>
        </row>
        <row r="15926">
          <cell r="K15926" t="str">
            <v>00111124P.2</v>
          </cell>
        </row>
        <row r="15927">
          <cell r="K15927" t="str">
            <v>00111135P.2</v>
          </cell>
        </row>
        <row r="15928">
          <cell r="K15928" t="str">
            <v>00111123P.2</v>
          </cell>
        </row>
        <row r="15929">
          <cell r="K15929" t="str">
            <v>00111132P.2</v>
          </cell>
        </row>
        <row r="15930">
          <cell r="K15930" t="str">
            <v>00111115P.2</v>
          </cell>
        </row>
        <row r="15931">
          <cell r="K15931" t="str">
            <v>00111128P.2</v>
          </cell>
        </row>
        <row r="15932">
          <cell r="K15932" t="str">
            <v>00111134P.2</v>
          </cell>
        </row>
        <row r="15933">
          <cell r="K15933" t="str">
            <v>00111136P.2</v>
          </cell>
        </row>
        <row r="15934">
          <cell r="K15934" t="str">
            <v>00111131P.2</v>
          </cell>
        </row>
        <row r="15935">
          <cell r="K15935" t="str">
            <v>00111136P.2</v>
          </cell>
        </row>
        <row r="15936">
          <cell r="K15936" t="str">
            <v>00111115P.2</v>
          </cell>
        </row>
        <row r="15937">
          <cell r="K15937" t="str">
            <v>00111132P.2</v>
          </cell>
        </row>
        <row r="15938">
          <cell r="K15938" t="str">
            <v>00111110P.2</v>
          </cell>
        </row>
        <row r="15939">
          <cell r="K15939" t="str">
            <v>00111126P.2</v>
          </cell>
        </row>
        <row r="15940">
          <cell r="K15940" t="str">
            <v>00111131P.2</v>
          </cell>
        </row>
        <row r="15941">
          <cell r="K15941" t="str">
            <v>00111115P.2</v>
          </cell>
        </row>
        <row r="15942">
          <cell r="K15942" t="str">
            <v>00111123P.2</v>
          </cell>
        </row>
        <row r="15943">
          <cell r="K15943" t="str">
            <v>00111133P.2</v>
          </cell>
        </row>
        <row r="15944">
          <cell r="K15944" t="str">
            <v>00111114P.2</v>
          </cell>
        </row>
        <row r="15945">
          <cell r="K15945" t="str">
            <v>00111124P.2</v>
          </cell>
        </row>
        <row r="15946">
          <cell r="K15946" t="str">
            <v>00111134P.2</v>
          </cell>
        </row>
        <row r="15947">
          <cell r="K15947" t="str">
            <v>00111116P.2</v>
          </cell>
        </row>
        <row r="15948">
          <cell r="K15948" t="str">
            <v>00111121P.2</v>
          </cell>
        </row>
        <row r="15949">
          <cell r="K15949" t="str">
            <v>00111116P.2</v>
          </cell>
        </row>
        <row r="15950">
          <cell r="K15950" t="str">
            <v>00111120P.2</v>
          </cell>
        </row>
        <row r="15951">
          <cell r="K15951" t="str">
            <v>00111128P.2</v>
          </cell>
        </row>
        <row r="15952">
          <cell r="K15952" t="str">
            <v>00111122P.2</v>
          </cell>
        </row>
        <row r="15953">
          <cell r="K15953" t="str">
            <v>00111126P.2</v>
          </cell>
        </row>
        <row r="15954">
          <cell r="K15954" t="str">
            <v>00111126P.2</v>
          </cell>
        </row>
        <row r="15955">
          <cell r="K15955" t="str">
            <v>00111135P.2</v>
          </cell>
        </row>
        <row r="15956">
          <cell r="K15956" t="str">
            <v>00111110P.2</v>
          </cell>
        </row>
        <row r="15957">
          <cell r="K15957" t="str">
            <v>00111120P.2</v>
          </cell>
        </row>
        <row r="15958">
          <cell r="K15958" t="str">
            <v>00111124P.2</v>
          </cell>
        </row>
        <row r="15959">
          <cell r="K15959" t="str">
            <v>00111126P.2</v>
          </cell>
        </row>
        <row r="15960">
          <cell r="K15960" t="str">
            <v>00111126P.2</v>
          </cell>
        </row>
        <row r="15961">
          <cell r="K15961" t="str">
            <v>00111133P.2</v>
          </cell>
        </row>
        <row r="15962">
          <cell r="K15962" t="str">
            <v>00111135P.2</v>
          </cell>
        </row>
        <row r="15963">
          <cell r="K15963" t="str">
            <v>00111128P.2</v>
          </cell>
        </row>
        <row r="15964">
          <cell r="K15964" t="str">
            <v>00111112P.2</v>
          </cell>
        </row>
        <row r="15965">
          <cell r="K15965" t="str">
            <v>00111120P.2</v>
          </cell>
        </row>
        <row r="15966">
          <cell r="K15966" t="str">
            <v>00111129P.2</v>
          </cell>
        </row>
        <row r="15967">
          <cell r="K15967" t="str">
            <v>00111132P.2</v>
          </cell>
        </row>
        <row r="15968">
          <cell r="K15968" t="str">
            <v>00111133P.2</v>
          </cell>
        </row>
        <row r="15969">
          <cell r="K15969" t="str">
            <v>00111133P.2</v>
          </cell>
        </row>
        <row r="15970">
          <cell r="K15970" t="str">
            <v>00111136P.2</v>
          </cell>
        </row>
        <row r="15971">
          <cell r="K15971" t="str">
            <v>00111112P.2</v>
          </cell>
        </row>
        <row r="15972">
          <cell r="K15972" t="str">
            <v>00111114P.2</v>
          </cell>
        </row>
        <row r="15973">
          <cell r="K15973" t="str">
            <v>00111128P.2</v>
          </cell>
        </row>
        <row r="15974">
          <cell r="K15974" t="str">
            <v>00111130P.2</v>
          </cell>
        </row>
        <row r="15975">
          <cell r="K15975" t="str">
            <v>00111133P.2</v>
          </cell>
        </row>
        <row r="15976">
          <cell r="K15976" t="str">
            <v>00111118P.2</v>
          </cell>
        </row>
        <row r="15977">
          <cell r="K15977" t="str">
            <v>00111118P.2</v>
          </cell>
        </row>
        <row r="15978">
          <cell r="K15978" t="str">
            <v>00111126P.2</v>
          </cell>
        </row>
        <row r="15979">
          <cell r="K15979" t="str">
            <v>00111129P.2</v>
          </cell>
        </row>
        <row r="15980">
          <cell r="K15980" t="str">
            <v>00111130P.2</v>
          </cell>
        </row>
        <row r="15981">
          <cell r="K15981" t="str">
            <v>00111135P.2</v>
          </cell>
        </row>
        <row r="15982">
          <cell r="K15982" t="str">
            <v>00111113P.2</v>
          </cell>
        </row>
        <row r="15983">
          <cell r="K15983" t="str">
            <v>00111116P.2</v>
          </cell>
        </row>
        <row r="15984">
          <cell r="K15984" t="str">
            <v>00111136P.2</v>
          </cell>
        </row>
        <row r="15985">
          <cell r="K15985" t="str">
            <v>00111112P.2</v>
          </cell>
        </row>
        <row r="15986">
          <cell r="K15986" t="str">
            <v>00111118P.2</v>
          </cell>
        </row>
        <row r="15987">
          <cell r="K15987" t="str">
            <v>00111129P.2</v>
          </cell>
        </row>
        <row r="15988">
          <cell r="K15988" t="str">
            <v>00111136P.2</v>
          </cell>
        </row>
        <row r="15989">
          <cell r="K15989" t="str">
            <v>00111124P.2</v>
          </cell>
        </row>
        <row r="15990">
          <cell r="K15990" t="str">
            <v>00111130P.2</v>
          </cell>
        </row>
        <row r="15991">
          <cell r="K15991" t="str">
            <v>00111132P.2</v>
          </cell>
        </row>
        <row r="15992">
          <cell r="K15992" t="str">
            <v>00111132P.2</v>
          </cell>
        </row>
        <row r="15993">
          <cell r="K15993" t="str">
            <v>00111112P.2</v>
          </cell>
        </row>
        <row r="15994">
          <cell r="K15994" t="str">
            <v>00111123P.2</v>
          </cell>
        </row>
        <row r="15995">
          <cell r="K15995" t="str">
            <v>00111132P.2</v>
          </cell>
        </row>
        <row r="15996">
          <cell r="K15996" t="str">
            <v>00111118P.2</v>
          </cell>
        </row>
        <row r="15997">
          <cell r="K15997" t="str">
            <v>00111116P.2</v>
          </cell>
        </row>
        <row r="15998">
          <cell r="K15998" t="str">
            <v>00111132P.2</v>
          </cell>
        </row>
        <row r="15999">
          <cell r="K15999" t="str">
            <v>00111131P.2</v>
          </cell>
        </row>
        <row r="16000">
          <cell r="K16000" t="str">
            <v>00111118P.2</v>
          </cell>
        </row>
        <row r="16001">
          <cell r="K16001" t="str">
            <v>00111136P.2</v>
          </cell>
        </row>
        <row r="16002">
          <cell r="K16002" t="str">
            <v>00111136P.2</v>
          </cell>
        </row>
        <row r="16003">
          <cell r="K16003" t="str">
            <v>00111125P.2</v>
          </cell>
        </row>
        <row r="16004">
          <cell r="K16004" t="str">
            <v>00111133P.2</v>
          </cell>
        </row>
        <row r="16005">
          <cell r="K16005" t="str">
            <v>00111128P.2</v>
          </cell>
        </row>
        <row r="16006">
          <cell r="K16006" t="str">
            <v>00111114P.2</v>
          </cell>
        </row>
        <row r="16007">
          <cell r="K16007" t="str">
            <v>00111115P.2</v>
          </cell>
        </row>
        <row r="16008">
          <cell r="K16008" t="str">
            <v>00111116P.2</v>
          </cell>
        </row>
        <row r="16009">
          <cell r="K16009" t="str">
            <v>00111113P.2</v>
          </cell>
        </row>
        <row r="16010">
          <cell r="K16010" t="str">
            <v>00111116P.2</v>
          </cell>
        </row>
        <row r="16011">
          <cell r="K16011" t="str">
            <v>00111117P.2</v>
          </cell>
        </row>
        <row r="16012">
          <cell r="K16012" t="str">
            <v>00111136P.2</v>
          </cell>
        </row>
        <row r="16013">
          <cell r="K16013" t="str">
            <v>00111112P.2</v>
          </cell>
        </row>
        <row r="16014">
          <cell r="K16014" t="str">
            <v>00111132P.2</v>
          </cell>
        </row>
        <row r="16015">
          <cell r="K16015" t="str">
            <v>00111132P.2</v>
          </cell>
        </row>
        <row r="16016">
          <cell r="K16016" t="str">
            <v>00111127P.2</v>
          </cell>
        </row>
        <row r="16017">
          <cell r="K16017" t="str">
            <v>00111110P.2</v>
          </cell>
        </row>
        <row r="16018">
          <cell r="K16018" t="str">
            <v>00111117P.2</v>
          </cell>
        </row>
        <row r="16019">
          <cell r="K16019" t="str">
            <v>00111121P.2</v>
          </cell>
        </row>
        <row r="16020">
          <cell r="K16020" t="str">
            <v>00111112P.2</v>
          </cell>
        </row>
        <row r="16021">
          <cell r="K16021" t="str">
            <v>00111110P.2</v>
          </cell>
        </row>
        <row r="16022">
          <cell r="K16022" t="str">
            <v>00111124P.2</v>
          </cell>
        </row>
        <row r="16023">
          <cell r="K16023" t="str">
            <v>00111118P.2</v>
          </cell>
        </row>
        <row r="16024">
          <cell r="K16024" t="str">
            <v>00111136P.2</v>
          </cell>
        </row>
        <row r="16025">
          <cell r="K16025" t="str">
            <v>00111131P.2</v>
          </cell>
        </row>
        <row r="16026">
          <cell r="K16026" t="str">
            <v>00111111P.2</v>
          </cell>
        </row>
        <row r="16027">
          <cell r="K16027" t="str">
            <v>00111130P.2</v>
          </cell>
        </row>
        <row r="16028">
          <cell r="K16028" t="str">
            <v>00111110P.2</v>
          </cell>
        </row>
        <row r="16029">
          <cell r="K16029" t="str">
            <v>00111114P.2</v>
          </cell>
        </row>
        <row r="16030">
          <cell r="K16030" t="str">
            <v>00111114P.2</v>
          </cell>
        </row>
        <row r="16031">
          <cell r="K16031" t="str">
            <v>00111128P.2</v>
          </cell>
        </row>
        <row r="16032">
          <cell r="K16032" t="str">
            <v>00111114P.2</v>
          </cell>
        </row>
        <row r="16033">
          <cell r="K16033" t="str">
            <v>00111112P.2</v>
          </cell>
        </row>
        <row r="16034">
          <cell r="K16034" t="str">
            <v>00111131P.2</v>
          </cell>
        </row>
        <row r="16035">
          <cell r="K16035" t="str">
            <v>00111128P.2</v>
          </cell>
        </row>
        <row r="16036">
          <cell r="K16036" t="str">
            <v>00111129P.2</v>
          </cell>
        </row>
        <row r="16037">
          <cell r="K16037" t="str">
            <v>00111133P.2</v>
          </cell>
        </row>
        <row r="16038">
          <cell r="K16038" t="str">
            <v>00111136P.2</v>
          </cell>
        </row>
        <row r="16039">
          <cell r="K16039" t="str">
            <v>00111110P.2</v>
          </cell>
        </row>
        <row r="16040">
          <cell r="K16040" t="str">
            <v>00111128P.2</v>
          </cell>
        </row>
        <row r="16041">
          <cell r="K16041" t="str">
            <v>00111116P.2</v>
          </cell>
        </row>
        <row r="16042">
          <cell r="K16042" t="str">
            <v>00111113P.2</v>
          </cell>
        </row>
        <row r="16043">
          <cell r="K16043" t="str">
            <v>00111114P.2</v>
          </cell>
        </row>
        <row r="16044">
          <cell r="K16044" t="str">
            <v>00111118P.2</v>
          </cell>
        </row>
        <row r="16045">
          <cell r="K16045" t="str">
            <v>00111114P.2</v>
          </cell>
        </row>
        <row r="16046">
          <cell r="K16046" t="str">
            <v>00111116P.2</v>
          </cell>
        </row>
        <row r="16047">
          <cell r="K16047" t="str">
            <v>00111131P.2</v>
          </cell>
        </row>
        <row r="16048">
          <cell r="K16048" t="str">
            <v>00111117P.2</v>
          </cell>
        </row>
        <row r="16049">
          <cell r="K16049" t="str">
            <v>00111130P.2</v>
          </cell>
        </row>
        <row r="16050">
          <cell r="K16050" t="str">
            <v>00111133P.2</v>
          </cell>
        </row>
        <row r="16051">
          <cell r="K16051" t="str">
            <v>00111115P.2</v>
          </cell>
        </row>
        <row r="16052">
          <cell r="K16052" t="str">
            <v>00111117P.2</v>
          </cell>
        </row>
        <row r="16053">
          <cell r="K16053" t="str">
            <v>00111118P.2</v>
          </cell>
        </row>
        <row r="16054">
          <cell r="K16054" t="str">
            <v>00111113P.2</v>
          </cell>
        </row>
        <row r="16055">
          <cell r="K16055" t="str">
            <v>00111124P.2</v>
          </cell>
        </row>
        <row r="16056">
          <cell r="K16056" t="str">
            <v>00111119P.2</v>
          </cell>
        </row>
        <row r="16057">
          <cell r="K16057" t="str">
            <v>00111128P.2</v>
          </cell>
        </row>
        <row r="16058">
          <cell r="K16058" t="str">
            <v>00111125P.2</v>
          </cell>
        </row>
        <row r="16059">
          <cell r="K16059" t="str">
            <v>00111127P.2</v>
          </cell>
        </row>
        <row r="16060">
          <cell r="K16060" t="str">
            <v>00111134P.2</v>
          </cell>
        </row>
        <row r="16061">
          <cell r="K16061" t="str">
            <v>00111115P.2</v>
          </cell>
        </row>
        <row r="16062">
          <cell r="K16062" t="str">
            <v>00111110P.2</v>
          </cell>
        </row>
        <row r="16063">
          <cell r="K16063" t="str">
            <v>00111125P.2</v>
          </cell>
        </row>
        <row r="16064">
          <cell r="K16064" t="str">
            <v>00111134P.2</v>
          </cell>
        </row>
        <row r="16065">
          <cell r="K16065" t="str">
            <v>00111129P.2</v>
          </cell>
        </row>
        <row r="16066">
          <cell r="K16066" t="str">
            <v>00111129P.2</v>
          </cell>
        </row>
        <row r="16067">
          <cell r="K16067" t="str">
            <v>00111135P.2</v>
          </cell>
        </row>
        <row r="16068">
          <cell r="K16068" t="str">
            <v>00111114P.2</v>
          </cell>
        </row>
        <row r="16069">
          <cell r="K16069" t="str">
            <v>00111120P.2</v>
          </cell>
        </row>
        <row r="16070">
          <cell r="K16070" t="str">
            <v>00111132P.2</v>
          </cell>
        </row>
        <row r="16071">
          <cell r="K16071" t="str">
            <v>00111110P.2</v>
          </cell>
        </row>
        <row r="16072">
          <cell r="K16072" t="str">
            <v>00111118P.2</v>
          </cell>
        </row>
        <row r="16073">
          <cell r="K16073" t="str">
            <v>00111132P.2</v>
          </cell>
        </row>
        <row r="16074">
          <cell r="K16074" t="str">
            <v>00111112P.2</v>
          </cell>
        </row>
        <row r="16075">
          <cell r="K16075" t="str">
            <v>00111128P.2</v>
          </cell>
        </row>
        <row r="16076">
          <cell r="K16076" t="str">
            <v>00111135P.2</v>
          </cell>
        </row>
        <row r="16077">
          <cell r="K16077" t="str">
            <v>00111128P.2</v>
          </cell>
        </row>
        <row r="16078">
          <cell r="K16078" t="str">
            <v>00111123P.2</v>
          </cell>
        </row>
        <row r="16079">
          <cell r="K16079" t="str">
            <v>00111120P.2</v>
          </cell>
        </row>
        <row r="16080">
          <cell r="K16080" t="str">
            <v>00111133P.2</v>
          </cell>
        </row>
        <row r="16081">
          <cell r="K16081" t="str">
            <v>00111136P.2</v>
          </cell>
        </row>
        <row r="16082">
          <cell r="K16082" t="str">
            <v>00111112P.2</v>
          </cell>
        </row>
        <row r="16083">
          <cell r="K16083" t="str">
            <v>00111122P.2</v>
          </cell>
        </row>
        <row r="16084">
          <cell r="K16084" t="str">
            <v>00111127P.2</v>
          </cell>
        </row>
        <row r="16085">
          <cell r="K16085" t="str">
            <v>00111124P.2</v>
          </cell>
        </row>
        <row r="16086">
          <cell r="K16086" t="str">
            <v>00111118P.2</v>
          </cell>
        </row>
        <row r="16087">
          <cell r="K16087" t="str">
            <v>00111123P.2</v>
          </cell>
        </row>
        <row r="16088">
          <cell r="K16088" t="str">
            <v>00111125P.2</v>
          </cell>
        </row>
        <row r="16089">
          <cell r="K16089" t="str">
            <v>00111134P.2</v>
          </cell>
        </row>
        <row r="16090">
          <cell r="K16090" t="str">
            <v>00111117P.2</v>
          </cell>
        </row>
        <row r="16091">
          <cell r="K16091" t="str">
            <v>00111128P.2</v>
          </cell>
        </row>
        <row r="16092">
          <cell r="K16092" t="str">
            <v>00111135P.2</v>
          </cell>
        </row>
        <row r="16093">
          <cell r="K16093" t="str">
            <v>00111125P.2</v>
          </cell>
        </row>
        <row r="16094">
          <cell r="K16094" t="str">
            <v>00111129P.2</v>
          </cell>
        </row>
        <row r="16095">
          <cell r="K16095" t="str">
            <v>00111134P.2</v>
          </cell>
        </row>
        <row r="16096">
          <cell r="K16096" t="str">
            <v>00111114P.2</v>
          </cell>
        </row>
        <row r="16097">
          <cell r="K16097" t="str">
            <v>00111129P.2</v>
          </cell>
        </row>
        <row r="16098">
          <cell r="K16098" t="str">
            <v>00111117P.2</v>
          </cell>
        </row>
        <row r="16099">
          <cell r="K16099" t="str">
            <v>00111120P.2</v>
          </cell>
        </row>
        <row r="16100">
          <cell r="K16100" t="str">
            <v>00111116P.2</v>
          </cell>
        </row>
        <row r="16101">
          <cell r="K16101" t="str">
            <v>00111133P.2</v>
          </cell>
        </row>
        <row r="16102">
          <cell r="K16102" t="str">
            <v>00111128P.2</v>
          </cell>
        </row>
        <row r="16103">
          <cell r="K16103" t="str">
            <v>00111129P.2</v>
          </cell>
        </row>
        <row r="16104">
          <cell r="K16104" t="str">
            <v>00111130P.2</v>
          </cell>
        </row>
        <row r="16105">
          <cell r="K16105" t="str">
            <v>00111135P.2</v>
          </cell>
        </row>
        <row r="16106">
          <cell r="K16106" t="str">
            <v>00111128P.2</v>
          </cell>
        </row>
        <row r="16107">
          <cell r="K16107" t="str">
            <v>00111124P.2</v>
          </cell>
        </row>
        <row r="16108">
          <cell r="K16108" t="str">
            <v>00111121P.2</v>
          </cell>
        </row>
        <row r="16109">
          <cell r="K16109" t="str">
            <v>00111133P.2</v>
          </cell>
        </row>
        <row r="16110">
          <cell r="K16110" t="str">
            <v>00111118P.2</v>
          </cell>
        </row>
        <row r="16111">
          <cell r="K16111" t="str">
            <v>00111123P.2</v>
          </cell>
        </row>
        <row r="16112">
          <cell r="K16112" t="str">
            <v>00111126P.2</v>
          </cell>
        </row>
        <row r="16113">
          <cell r="K16113" t="str">
            <v>00111127P.2</v>
          </cell>
        </row>
        <row r="16114">
          <cell r="K16114" t="str">
            <v>00111129P.2</v>
          </cell>
        </row>
        <row r="16115">
          <cell r="K16115" t="str">
            <v>00111134P.2</v>
          </cell>
        </row>
        <row r="16116">
          <cell r="K16116" t="str">
            <v>00111130P.2</v>
          </cell>
        </row>
        <row r="16117">
          <cell r="K16117" t="str">
            <v>00111110P.2</v>
          </cell>
        </row>
        <row r="16118">
          <cell r="K16118" t="str">
            <v>00111118P.2</v>
          </cell>
        </row>
        <row r="16119">
          <cell r="K16119" t="str">
            <v>00111135P.2</v>
          </cell>
        </row>
        <row r="16120">
          <cell r="K16120" t="str">
            <v>00111113P.2</v>
          </cell>
        </row>
        <row r="16121">
          <cell r="K16121" t="str">
            <v>00111127P.2</v>
          </cell>
        </row>
        <row r="16122">
          <cell r="K16122" t="str">
            <v>00111125P.2</v>
          </cell>
        </row>
        <row r="16123">
          <cell r="K16123" t="str">
            <v>00111126P.2</v>
          </cell>
        </row>
        <row r="16124">
          <cell r="K16124" t="str">
            <v>00111126P.2</v>
          </cell>
        </row>
        <row r="16125">
          <cell r="K16125" t="str">
            <v>00111121P.2</v>
          </cell>
        </row>
        <row r="16126">
          <cell r="K16126" t="str">
            <v>00111130P.2</v>
          </cell>
        </row>
        <row r="16127">
          <cell r="K16127" t="str">
            <v>00111130P.2</v>
          </cell>
        </row>
        <row r="16128">
          <cell r="K16128" t="str">
            <v>00111125P.2</v>
          </cell>
        </row>
        <row r="16129">
          <cell r="K16129" t="str">
            <v>00111117P.2</v>
          </cell>
        </row>
        <row r="16130">
          <cell r="K16130" t="str">
            <v>00111128P.2</v>
          </cell>
        </row>
        <row r="16131">
          <cell r="K16131" t="str">
            <v>00111136P.2</v>
          </cell>
        </row>
        <row r="16132">
          <cell r="K16132" t="str">
            <v>00111111P.2</v>
          </cell>
        </row>
        <row r="16133">
          <cell r="K16133" t="str">
            <v>00111111P.2</v>
          </cell>
        </row>
        <row r="16134">
          <cell r="K16134" t="str">
            <v>00111114P.2</v>
          </cell>
        </row>
        <row r="16135">
          <cell r="K16135" t="str">
            <v>00111125P.2</v>
          </cell>
        </row>
        <row r="16136">
          <cell r="K16136" t="str">
            <v>00111129P.2</v>
          </cell>
        </row>
        <row r="16137">
          <cell r="K16137" t="str">
            <v>00111117P.2</v>
          </cell>
        </row>
        <row r="16138">
          <cell r="K16138" t="str">
            <v>00111126P.2</v>
          </cell>
        </row>
        <row r="16139">
          <cell r="K16139" t="str">
            <v>00111110P.2</v>
          </cell>
        </row>
        <row r="16140">
          <cell r="K16140" t="str">
            <v>00111120P.2</v>
          </cell>
        </row>
        <row r="16141">
          <cell r="K16141" t="str">
            <v>00111111P.2</v>
          </cell>
        </row>
        <row r="16142">
          <cell r="K16142" t="str">
            <v>00111123P.2</v>
          </cell>
        </row>
        <row r="16143">
          <cell r="K16143" t="str">
            <v>00111112P.2</v>
          </cell>
        </row>
        <row r="16144">
          <cell r="K16144" t="str">
            <v>00111130P.2</v>
          </cell>
        </row>
        <row r="16145">
          <cell r="K16145" t="str">
            <v>00111118P.2</v>
          </cell>
        </row>
        <row r="16146">
          <cell r="K16146" t="str">
            <v>00111126P.2</v>
          </cell>
        </row>
        <row r="16147">
          <cell r="K16147" t="str">
            <v>00111121P.2</v>
          </cell>
        </row>
        <row r="16148">
          <cell r="K16148" t="str">
            <v>00111116P.2</v>
          </cell>
        </row>
        <row r="16149">
          <cell r="K16149" t="str">
            <v>00111126P.2</v>
          </cell>
        </row>
        <row r="16150">
          <cell r="K16150" t="str">
            <v>00111112P.2</v>
          </cell>
        </row>
        <row r="16151">
          <cell r="K16151" t="str">
            <v>00111134P.2</v>
          </cell>
        </row>
        <row r="16152">
          <cell r="K16152" t="str">
            <v>00111136P.2</v>
          </cell>
        </row>
        <row r="16153">
          <cell r="K16153" t="str">
            <v>00111131P.2</v>
          </cell>
        </row>
        <row r="16154">
          <cell r="K16154" t="str">
            <v>00111134P.2</v>
          </cell>
        </row>
        <row r="16155">
          <cell r="K16155" t="str">
            <v>00111132P.2</v>
          </cell>
        </row>
        <row r="16156">
          <cell r="K16156" t="str">
            <v>00111130P.2</v>
          </cell>
        </row>
        <row r="16157">
          <cell r="K16157" t="str">
            <v>00111129P.2</v>
          </cell>
        </row>
        <row r="16158">
          <cell r="K16158" t="str">
            <v>00111136P.2</v>
          </cell>
        </row>
        <row r="16159">
          <cell r="K16159" t="str">
            <v>00111114P.2</v>
          </cell>
        </row>
        <row r="16160">
          <cell r="K16160" t="str">
            <v>00111111P.2</v>
          </cell>
        </row>
        <row r="16161">
          <cell r="K16161" t="str">
            <v>00111114P.2</v>
          </cell>
        </row>
        <row r="16162">
          <cell r="K16162" t="str">
            <v>00111110P.2</v>
          </cell>
        </row>
        <row r="16163">
          <cell r="K16163" t="str">
            <v>00111134P.2</v>
          </cell>
        </row>
        <row r="16164">
          <cell r="K16164" t="str">
            <v>00111124P.2</v>
          </cell>
        </row>
        <row r="16165">
          <cell r="K16165" t="str">
            <v>00111114P.2</v>
          </cell>
        </row>
        <row r="16166">
          <cell r="K16166" t="str">
            <v>00111129P.2</v>
          </cell>
        </row>
        <row r="16167">
          <cell r="K16167" t="str">
            <v>00111118P.2</v>
          </cell>
        </row>
        <row r="16168">
          <cell r="K16168" t="str">
            <v>00111129P.2</v>
          </cell>
        </row>
        <row r="16169">
          <cell r="K16169" t="str">
            <v>00111120P.2</v>
          </cell>
        </row>
        <row r="16170">
          <cell r="K16170" t="str">
            <v>00111122P.2</v>
          </cell>
        </row>
        <row r="16171">
          <cell r="K16171" t="str">
            <v>00111132P.2</v>
          </cell>
        </row>
        <row r="16172">
          <cell r="K16172" t="str">
            <v>00111114P.2</v>
          </cell>
        </row>
        <row r="16173">
          <cell r="K16173" t="str">
            <v>00111111P.2</v>
          </cell>
        </row>
        <row r="16174">
          <cell r="K16174" t="str">
            <v>00111110P.2</v>
          </cell>
        </row>
        <row r="16175">
          <cell r="K16175" t="str">
            <v>00111113P.2</v>
          </cell>
        </row>
        <row r="16176">
          <cell r="K16176" t="str">
            <v>00111136P.2</v>
          </cell>
        </row>
        <row r="16177">
          <cell r="K16177" t="str">
            <v>00111131P.2</v>
          </cell>
        </row>
        <row r="16178">
          <cell r="K16178" t="str">
            <v>00111124P.2</v>
          </cell>
        </row>
        <row r="16179">
          <cell r="K16179" t="str">
            <v>00111132P.2</v>
          </cell>
        </row>
        <row r="16180">
          <cell r="K16180" t="str">
            <v>00111132P.2</v>
          </cell>
        </row>
        <row r="16181">
          <cell r="K16181" t="str">
            <v>00111127P.2</v>
          </cell>
        </row>
        <row r="16182">
          <cell r="K16182" t="str">
            <v>00111118P.2</v>
          </cell>
        </row>
        <row r="16183">
          <cell r="K16183" t="str">
            <v>00111110P.2</v>
          </cell>
        </row>
        <row r="16184">
          <cell r="K16184" t="str">
            <v>00111114P.2</v>
          </cell>
        </row>
        <row r="16185">
          <cell r="K16185" t="str">
            <v>00111128P.2</v>
          </cell>
        </row>
        <row r="16186">
          <cell r="K16186" t="str">
            <v>00111124P.2</v>
          </cell>
        </row>
        <row r="16187">
          <cell r="K16187" t="str">
            <v>00111114P.2</v>
          </cell>
        </row>
        <row r="16188">
          <cell r="K16188" t="str">
            <v>00111119P.2</v>
          </cell>
        </row>
        <row r="16189">
          <cell r="K16189" t="str">
            <v>00111128P.2</v>
          </cell>
        </row>
        <row r="16190">
          <cell r="K16190" t="str">
            <v>00111133P.2</v>
          </cell>
        </row>
        <row r="16191">
          <cell r="K16191" t="str">
            <v>00111129P.2</v>
          </cell>
        </row>
        <row r="16192">
          <cell r="K16192" t="str">
            <v>00111125P.2</v>
          </cell>
        </row>
        <row r="16193">
          <cell r="K16193" t="str">
            <v>00111130P.2</v>
          </cell>
        </row>
        <row r="16194">
          <cell r="K16194" t="str">
            <v>00111126P.2</v>
          </cell>
        </row>
        <row r="16195">
          <cell r="K16195" t="str">
            <v>00111123P.2</v>
          </cell>
        </row>
        <row r="16196">
          <cell r="K16196" t="str">
            <v>00111134P.2</v>
          </cell>
        </row>
        <row r="16197">
          <cell r="K16197" t="str">
            <v>00111123P.2</v>
          </cell>
        </row>
        <row r="16198">
          <cell r="K16198" t="str">
            <v>00111124P.2</v>
          </cell>
        </row>
        <row r="16199">
          <cell r="K16199" t="str">
            <v>00111134P.2</v>
          </cell>
        </row>
        <row r="16200">
          <cell r="K16200" t="str">
            <v>00111130P.2</v>
          </cell>
        </row>
        <row r="16201">
          <cell r="K16201" t="str">
            <v>00111128P.2</v>
          </cell>
        </row>
        <row r="16202">
          <cell r="K16202" t="str">
            <v>00111130P.2</v>
          </cell>
        </row>
        <row r="16203">
          <cell r="K16203" t="str">
            <v>00111124P.2</v>
          </cell>
        </row>
        <row r="16204">
          <cell r="K16204" t="str">
            <v>00111112P.2</v>
          </cell>
        </row>
        <row r="16205">
          <cell r="K16205" t="str">
            <v>00111112P.2</v>
          </cell>
        </row>
        <row r="16206">
          <cell r="K16206" t="str">
            <v>00111111P.2</v>
          </cell>
        </row>
        <row r="16207">
          <cell r="K16207" t="str">
            <v>00111123P.2</v>
          </cell>
        </row>
        <row r="16208">
          <cell r="K16208" t="str">
            <v>00111131P.2</v>
          </cell>
        </row>
        <row r="16209">
          <cell r="K16209" t="str">
            <v>00111128P.2</v>
          </cell>
        </row>
        <row r="16210">
          <cell r="K16210" t="str">
            <v>00111116P.2</v>
          </cell>
        </row>
        <row r="16211">
          <cell r="K16211" t="str">
            <v>00111114P.2</v>
          </cell>
        </row>
        <row r="16212">
          <cell r="K16212" t="str">
            <v>00111131P.2</v>
          </cell>
        </row>
        <row r="16213">
          <cell r="K16213" t="str">
            <v>00111118P.2</v>
          </cell>
        </row>
        <row r="16214">
          <cell r="K16214" t="str">
            <v>00111131P.2</v>
          </cell>
        </row>
        <row r="16215">
          <cell r="K16215" t="str">
            <v>00111130P.2</v>
          </cell>
        </row>
        <row r="16216">
          <cell r="K16216" t="str">
            <v>00111113P.2</v>
          </cell>
        </row>
        <row r="16217">
          <cell r="K16217" t="str">
            <v>00111116P.2</v>
          </cell>
        </row>
        <row r="16218">
          <cell r="K16218" t="str">
            <v>00111118P.2</v>
          </cell>
        </row>
        <row r="16219">
          <cell r="K16219" t="str">
            <v>00111118P.2</v>
          </cell>
        </row>
        <row r="16220">
          <cell r="K16220" t="str">
            <v>00111118P.2</v>
          </cell>
        </row>
        <row r="16221">
          <cell r="K16221" t="str">
            <v>00111134P.2</v>
          </cell>
        </row>
        <row r="16222">
          <cell r="K16222" t="str">
            <v>00111110P.2</v>
          </cell>
        </row>
        <row r="16223">
          <cell r="K16223" t="str">
            <v>00111124P.2</v>
          </cell>
        </row>
        <row r="16224">
          <cell r="K16224" t="str">
            <v>00111132P.2</v>
          </cell>
        </row>
        <row r="16225">
          <cell r="K16225" t="str">
            <v>00111112P.2</v>
          </cell>
        </row>
        <row r="16226">
          <cell r="K16226" t="str">
            <v>00111112P.2</v>
          </cell>
        </row>
        <row r="16227">
          <cell r="K16227" t="str">
            <v>00111112P.2</v>
          </cell>
        </row>
        <row r="16228">
          <cell r="K16228" t="str">
            <v>00111132P.2</v>
          </cell>
        </row>
        <row r="16229">
          <cell r="K16229" t="str">
            <v>00111132P.2</v>
          </cell>
        </row>
        <row r="16230">
          <cell r="K16230" t="str">
            <v>00111118P.2</v>
          </cell>
        </row>
        <row r="16231">
          <cell r="K16231" t="str">
            <v>00111113P.2</v>
          </cell>
        </row>
        <row r="16232">
          <cell r="K16232" t="str">
            <v>00111126P.2</v>
          </cell>
        </row>
        <row r="16233">
          <cell r="K16233" t="str">
            <v>00111126P.2</v>
          </cell>
        </row>
        <row r="16234">
          <cell r="K16234" t="str">
            <v>00111131P.2</v>
          </cell>
        </row>
        <row r="16235">
          <cell r="K16235" t="str">
            <v>00111128P.2</v>
          </cell>
        </row>
        <row r="16236">
          <cell r="K16236" t="str">
            <v>00111113P.2</v>
          </cell>
        </row>
        <row r="16237">
          <cell r="K16237" t="str">
            <v>00111127P.2</v>
          </cell>
        </row>
        <row r="16238">
          <cell r="K16238" t="str">
            <v>00111125P.2</v>
          </cell>
        </row>
        <row r="16239">
          <cell r="K16239" t="str">
            <v>00111126P.2</v>
          </cell>
        </row>
        <row r="16240">
          <cell r="K16240" t="str">
            <v>00111110P.2</v>
          </cell>
        </row>
        <row r="16241">
          <cell r="K16241" t="str">
            <v>00111111P.2</v>
          </cell>
        </row>
        <row r="16242">
          <cell r="K16242" t="str">
            <v>00111110P.2</v>
          </cell>
        </row>
        <row r="16243">
          <cell r="K16243" t="str">
            <v>00111112P.2</v>
          </cell>
        </row>
        <row r="16244">
          <cell r="K16244" t="str">
            <v>00111123P.2</v>
          </cell>
        </row>
        <row r="16245">
          <cell r="K16245" t="str">
            <v>00111135P.2</v>
          </cell>
        </row>
        <row r="16246">
          <cell r="K16246" t="str">
            <v>00111130P.2</v>
          </cell>
        </row>
        <row r="16247">
          <cell r="K16247" t="str">
            <v>00111133P.2</v>
          </cell>
        </row>
        <row r="16248">
          <cell r="K16248" t="str">
            <v>00111135P.2</v>
          </cell>
        </row>
        <row r="16249">
          <cell r="K16249" t="str">
            <v>00111115P.2</v>
          </cell>
        </row>
        <row r="16250">
          <cell r="K16250" t="str">
            <v>00111125P.2</v>
          </cell>
        </row>
        <row r="16251">
          <cell r="K16251" t="str">
            <v>00111133P.2</v>
          </cell>
        </row>
        <row r="16252">
          <cell r="K16252" t="str">
            <v>00111132P.2</v>
          </cell>
        </row>
        <row r="16253">
          <cell r="K16253" t="str">
            <v>00111125P.2</v>
          </cell>
        </row>
        <row r="16254">
          <cell r="K16254" t="str">
            <v>00111118P.2</v>
          </cell>
        </row>
        <row r="16255">
          <cell r="K16255" t="str">
            <v>00111117P.2</v>
          </cell>
        </row>
        <row r="16256">
          <cell r="K16256" t="str">
            <v>00111134P.2</v>
          </cell>
        </row>
        <row r="16257">
          <cell r="K16257" t="str">
            <v>00111113P.2</v>
          </cell>
        </row>
        <row r="16258">
          <cell r="K16258" t="str">
            <v>00111133P.2</v>
          </cell>
        </row>
        <row r="16259">
          <cell r="K16259" t="str">
            <v>00111135P.2</v>
          </cell>
        </row>
        <row r="16260">
          <cell r="K16260" t="str">
            <v>00111117P.2</v>
          </cell>
        </row>
        <row r="16261">
          <cell r="K16261" t="str">
            <v>00111121P.2</v>
          </cell>
        </row>
        <row r="16262">
          <cell r="K16262" t="str">
            <v>00111124P.2</v>
          </cell>
        </row>
        <row r="16263">
          <cell r="K16263" t="str">
            <v>00111114P.2</v>
          </cell>
        </row>
        <row r="16264">
          <cell r="K16264" t="str">
            <v>00111113P.2</v>
          </cell>
        </row>
        <row r="16265">
          <cell r="K16265" t="str">
            <v>00111110P.2</v>
          </cell>
        </row>
        <row r="16266">
          <cell r="K16266" t="str">
            <v>00111110P.2</v>
          </cell>
        </row>
        <row r="16267">
          <cell r="K16267" t="str">
            <v>00111121P.2</v>
          </cell>
        </row>
        <row r="16268">
          <cell r="K16268" t="str">
            <v>00111123P.2</v>
          </cell>
        </row>
        <row r="16269">
          <cell r="K16269" t="str">
            <v>00111126P.2</v>
          </cell>
        </row>
        <row r="16270">
          <cell r="K16270" t="str">
            <v>00111115P.2</v>
          </cell>
        </row>
        <row r="16271">
          <cell r="K16271" t="str">
            <v>00111119P.2</v>
          </cell>
        </row>
        <row r="16272">
          <cell r="K16272" t="str">
            <v>00111125P.2</v>
          </cell>
        </row>
        <row r="16273">
          <cell r="K16273" t="str">
            <v>00111123P.2</v>
          </cell>
        </row>
        <row r="16274">
          <cell r="K16274" t="str">
            <v>00111110P.2</v>
          </cell>
        </row>
        <row r="16275">
          <cell r="K16275" t="str">
            <v>00111117P.2</v>
          </cell>
        </row>
        <row r="16276">
          <cell r="K16276" t="str">
            <v>00111133P.2</v>
          </cell>
        </row>
        <row r="16277">
          <cell r="K16277" t="str">
            <v>00111122P.2</v>
          </cell>
        </row>
        <row r="16278">
          <cell r="K16278" t="str">
            <v>00111132P.2</v>
          </cell>
        </row>
        <row r="16279">
          <cell r="K16279" t="str">
            <v>00111110P.2</v>
          </cell>
        </row>
        <row r="16280">
          <cell r="K16280" t="str">
            <v>00111112P.2</v>
          </cell>
        </row>
        <row r="16281">
          <cell r="K16281" t="str">
            <v>00111125P.2</v>
          </cell>
        </row>
        <row r="16282">
          <cell r="K16282" t="str">
            <v>00111133P.2</v>
          </cell>
        </row>
        <row r="16283">
          <cell r="K16283" t="str">
            <v>00111122P.2</v>
          </cell>
        </row>
        <row r="16284">
          <cell r="K16284" t="str">
            <v>00111123P.2</v>
          </cell>
        </row>
        <row r="16285">
          <cell r="K16285" t="str">
            <v>00111134P.2</v>
          </cell>
        </row>
        <row r="16286">
          <cell r="K16286" t="str">
            <v>00111115P.2</v>
          </cell>
        </row>
        <row r="16287">
          <cell r="K16287" t="str">
            <v>00111133P.2</v>
          </cell>
        </row>
        <row r="16288">
          <cell r="K16288" t="str">
            <v>00111118P.2</v>
          </cell>
        </row>
        <row r="16289">
          <cell r="K16289" t="str">
            <v>00111132P.2</v>
          </cell>
        </row>
        <row r="16290">
          <cell r="K16290" t="str">
            <v>00111133P.2</v>
          </cell>
        </row>
        <row r="16291">
          <cell r="K16291" t="str">
            <v>00111124P.2</v>
          </cell>
        </row>
        <row r="16292">
          <cell r="K16292" t="str">
            <v>00111136P.2</v>
          </cell>
        </row>
        <row r="16293">
          <cell r="K16293" t="str">
            <v>00111135P.2</v>
          </cell>
        </row>
        <row r="16294">
          <cell r="K16294" t="str">
            <v>00111136P.2</v>
          </cell>
        </row>
        <row r="16295">
          <cell r="K16295" t="str">
            <v>00111113P.2</v>
          </cell>
        </row>
        <row r="16296">
          <cell r="K16296" t="str">
            <v>00111123P.2</v>
          </cell>
        </row>
        <row r="16297">
          <cell r="K16297" t="str">
            <v>00111132P.2</v>
          </cell>
        </row>
        <row r="16298">
          <cell r="K16298" t="str">
            <v>00111122P.2</v>
          </cell>
        </row>
        <row r="16299">
          <cell r="K16299" t="str">
            <v>00111133P.2</v>
          </cell>
        </row>
        <row r="16300">
          <cell r="K16300" t="str">
            <v>00111135P.2</v>
          </cell>
        </row>
        <row r="16301">
          <cell r="K16301" t="str">
            <v>00111111P.2</v>
          </cell>
        </row>
        <row r="16302">
          <cell r="K16302" t="str">
            <v>00111132P.2</v>
          </cell>
        </row>
        <row r="16303">
          <cell r="K16303" t="str">
            <v>00111122P.2</v>
          </cell>
        </row>
        <row r="16304">
          <cell r="K16304" t="str">
            <v>00111125P.2</v>
          </cell>
        </row>
        <row r="16305">
          <cell r="K16305" t="str">
            <v>00111113P.2</v>
          </cell>
        </row>
        <row r="16306">
          <cell r="K16306" t="str">
            <v>00111128P.2</v>
          </cell>
        </row>
        <row r="16307">
          <cell r="K16307" t="str">
            <v>00111116P.2</v>
          </cell>
        </row>
        <row r="16308">
          <cell r="K16308" t="str">
            <v>00111119P.2</v>
          </cell>
        </row>
        <row r="16309">
          <cell r="K16309" t="str">
            <v>00111129P.2</v>
          </cell>
        </row>
        <row r="16310">
          <cell r="K16310" t="str">
            <v>00111112P.2</v>
          </cell>
        </row>
        <row r="16311">
          <cell r="K16311" t="str">
            <v>00111132P.2</v>
          </cell>
        </row>
        <row r="16312">
          <cell r="K16312" t="str">
            <v>00111134P.2</v>
          </cell>
        </row>
        <row r="16313">
          <cell r="K16313" t="str">
            <v>00111121P.2</v>
          </cell>
        </row>
        <row r="16314">
          <cell r="K16314" t="str">
            <v>00111125P.2</v>
          </cell>
        </row>
        <row r="16315">
          <cell r="K16315" t="str">
            <v>00111134P.2</v>
          </cell>
        </row>
        <row r="16316">
          <cell r="K16316" t="str">
            <v>00111120P.2</v>
          </cell>
        </row>
        <row r="16317">
          <cell r="K16317" t="str">
            <v>00111136P.2</v>
          </cell>
        </row>
        <row r="16318">
          <cell r="K16318" t="str">
            <v>00111130P.2</v>
          </cell>
        </row>
        <row r="16319">
          <cell r="K16319" t="str">
            <v>00111129P.2</v>
          </cell>
        </row>
        <row r="16320">
          <cell r="K16320" t="str">
            <v>00111114P.2</v>
          </cell>
        </row>
        <row r="16321">
          <cell r="K16321" t="str">
            <v>00111124P.2</v>
          </cell>
        </row>
        <row r="16322">
          <cell r="K16322" t="str">
            <v>00111121P.2</v>
          </cell>
        </row>
        <row r="16323">
          <cell r="K16323" t="str">
            <v>00111110P.2</v>
          </cell>
        </row>
        <row r="16324">
          <cell r="K16324" t="str">
            <v>00111121P.2</v>
          </cell>
        </row>
        <row r="16325">
          <cell r="K16325" t="str">
            <v>00111123P.2</v>
          </cell>
        </row>
        <row r="16326">
          <cell r="K16326" t="str">
            <v>00111128P.2</v>
          </cell>
        </row>
        <row r="16327">
          <cell r="K16327" t="str">
            <v>00111134P.2</v>
          </cell>
        </row>
        <row r="16328">
          <cell r="K16328" t="str">
            <v>00111136P.2</v>
          </cell>
        </row>
        <row r="16329">
          <cell r="K16329" t="str">
            <v>00111117P.2</v>
          </cell>
        </row>
        <row r="16330">
          <cell r="K16330" t="str">
            <v>00111130P.2</v>
          </cell>
        </row>
        <row r="16331">
          <cell r="K16331" t="str">
            <v>00111114P.2</v>
          </cell>
        </row>
        <row r="16332">
          <cell r="K16332" t="str">
            <v>00111113P.2</v>
          </cell>
        </row>
        <row r="16333">
          <cell r="K16333" t="str">
            <v>00111133P.2</v>
          </cell>
        </row>
        <row r="16334">
          <cell r="K16334" t="str">
            <v>00111132P.2</v>
          </cell>
        </row>
        <row r="16335">
          <cell r="K16335" t="str">
            <v>00111111P.2</v>
          </cell>
        </row>
        <row r="16336">
          <cell r="K16336" t="str">
            <v>00111133P.2</v>
          </cell>
        </row>
        <row r="16337">
          <cell r="K16337" t="str">
            <v>00111113P.2</v>
          </cell>
        </row>
        <row r="16338">
          <cell r="K16338" t="str">
            <v>00111127P.2</v>
          </cell>
        </row>
        <row r="16339">
          <cell r="K16339" t="str">
            <v>00111123P.2</v>
          </cell>
        </row>
        <row r="16340">
          <cell r="K16340" t="str">
            <v>00111132P.2</v>
          </cell>
        </row>
        <row r="16341">
          <cell r="K16341" t="str">
            <v>00111131P.2</v>
          </cell>
        </row>
        <row r="16342">
          <cell r="K16342" t="str">
            <v>00111124P.2</v>
          </cell>
        </row>
        <row r="16343">
          <cell r="K16343" t="str">
            <v>00111130P.2</v>
          </cell>
        </row>
        <row r="16344">
          <cell r="K16344" t="str">
            <v>00111134P.2</v>
          </cell>
        </row>
        <row r="16345">
          <cell r="K16345" t="str">
            <v>00111118P.2</v>
          </cell>
        </row>
        <row r="16346">
          <cell r="K16346" t="str">
            <v>00111135P.2</v>
          </cell>
        </row>
        <row r="16347">
          <cell r="K16347" t="str">
            <v>00111110P.2</v>
          </cell>
        </row>
        <row r="16348">
          <cell r="K16348" t="str">
            <v>00111123P.2</v>
          </cell>
        </row>
        <row r="16349">
          <cell r="K16349" t="str">
            <v>00111116P.2</v>
          </cell>
        </row>
        <row r="16350">
          <cell r="K16350" t="str">
            <v>00111113P.2</v>
          </cell>
        </row>
        <row r="16351">
          <cell r="K16351" t="str">
            <v>00111126P.2</v>
          </cell>
        </row>
        <row r="16352">
          <cell r="K16352" t="str">
            <v>00111129P.2</v>
          </cell>
        </row>
        <row r="16353">
          <cell r="K16353" t="str">
            <v>00111125P.2</v>
          </cell>
        </row>
        <row r="16354">
          <cell r="K16354" t="str">
            <v>00111131P.2</v>
          </cell>
        </row>
        <row r="16355">
          <cell r="K16355" t="str">
            <v>00111128P.2</v>
          </cell>
        </row>
        <row r="16356">
          <cell r="K16356" t="str">
            <v>00111113P.2</v>
          </cell>
        </row>
        <row r="16357">
          <cell r="K16357" t="str">
            <v>00111136P.2</v>
          </cell>
        </row>
        <row r="16358">
          <cell r="K16358" t="str">
            <v>00111128P.2</v>
          </cell>
        </row>
        <row r="16359">
          <cell r="K16359" t="str">
            <v>00111124P.2</v>
          </cell>
        </row>
        <row r="16360">
          <cell r="K16360" t="str">
            <v>00111117P.2</v>
          </cell>
        </row>
        <row r="16361">
          <cell r="K16361" t="str">
            <v>00111130P.2</v>
          </cell>
        </row>
        <row r="16362">
          <cell r="K16362" t="str">
            <v>00111124P.2</v>
          </cell>
        </row>
        <row r="16363">
          <cell r="K16363" t="str">
            <v>00111113P.2</v>
          </cell>
        </row>
        <row r="16364">
          <cell r="K16364" t="str">
            <v>00111132P.2</v>
          </cell>
        </row>
        <row r="16365">
          <cell r="K16365" t="str">
            <v>00111135P.2</v>
          </cell>
        </row>
        <row r="16366">
          <cell r="K16366" t="str">
            <v>00111123P.2</v>
          </cell>
        </row>
        <row r="16367">
          <cell r="K16367" t="str">
            <v>00111127P.2</v>
          </cell>
        </row>
        <row r="16368">
          <cell r="K16368" t="str">
            <v>00111122P.2</v>
          </cell>
        </row>
        <row r="16369">
          <cell r="K16369" t="str">
            <v>00111129P.2</v>
          </cell>
        </row>
        <row r="16370">
          <cell r="K16370" t="str">
            <v>00111121P.2</v>
          </cell>
        </row>
        <row r="16371">
          <cell r="K16371" t="str">
            <v>00111112P.2</v>
          </cell>
        </row>
        <row r="16372">
          <cell r="K16372" t="str">
            <v>00111133P.2</v>
          </cell>
        </row>
        <row r="16373">
          <cell r="K16373" t="str">
            <v>00111121P.2</v>
          </cell>
        </row>
        <row r="16374">
          <cell r="K16374" t="str">
            <v>00111120P.2</v>
          </cell>
        </row>
        <row r="16375">
          <cell r="K16375" t="str">
            <v>00111136P.2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ltros"/>
      <sheetName val="Cuentas_Corrientes"/>
      <sheetName val="Cuentas_Acumulacion"/>
      <sheetName val="Configuracion"/>
      <sheetName val="Detalle"/>
      <sheetName val="Validacion"/>
    </sheetNames>
    <sheetDataSet>
      <sheetData sheetId="0"/>
      <sheetData sheetId="1" refreshError="1">
        <row r="133">
          <cell r="A133" t="str">
            <v>S0099901</v>
          </cell>
          <cell r="B133" t="str">
            <v>S002??</v>
          </cell>
          <cell r="C133" t="str">
            <v>S00105</v>
          </cell>
          <cell r="D133" t="str">
            <v>S00104</v>
          </cell>
          <cell r="E133" t="str">
            <v>S0010304*</v>
          </cell>
          <cell r="F133" t="str">
            <v>S00103??</v>
          </cell>
          <cell r="G133" t="str">
            <v>S00102??</v>
          </cell>
          <cell r="H133" t="str">
            <v>S00101??</v>
          </cell>
          <cell r="I133" t="str">
            <v>SE</v>
          </cell>
        </row>
      </sheetData>
      <sheetData sheetId="2"/>
      <sheetData sheetId="3"/>
      <sheetData sheetId="4"/>
      <sheetData sheetId="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orge Alberto Guerra España" id="{A036D085-18F5-4107-B177-CB4B94B0FF70}" userId="S::ja.guerrae@uniandes.edu.co::87862963-2cde-4bbe-bc21-f1f79594e3f5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D5" dT="2023-11-29T15:10:27.37" personId="{A036D085-18F5-4107-B177-CB4B94B0FF70}" id="{2D75E840-E6E6-46CA-8BB6-FFCF5AB2C268}">
    <text>CUADRARLO POR ESTE LADO.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DA657-82E0-40D2-9CBB-42E54F6C8AFB}">
  <dimension ref="A1:AE159"/>
  <sheetViews>
    <sheetView zoomScale="55" zoomScaleNormal="55" workbookViewId="0">
      <selection activeCell="AE10" sqref="AE10"/>
    </sheetView>
  </sheetViews>
  <sheetFormatPr baseColWidth="10" defaultColWidth="11.375" defaultRowHeight="21.1" customHeight="1" x14ac:dyDescent="0.2"/>
  <cols>
    <col min="1" max="1" width="13.75" style="161" customWidth="1"/>
    <col min="2" max="2" width="55.75" style="161" customWidth="1"/>
    <col min="3" max="3" width="2.75" style="161" customWidth="1"/>
    <col min="4" max="4" width="14" style="161" bestFit="1" customWidth="1"/>
    <col min="5" max="5" width="2.75" style="161" customWidth="1"/>
    <col min="6" max="6" width="13.875" style="161" bestFit="1" customWidth="1"/>
    <col min="7" max="7" width="2.75" style="161" customWidth="1"/>
    <col min="8" max="8" width="13.875" style="161" bestFit="1" customWidth="1"/>
    <col min="9" max="9" width="2.75" style="161" customWidth="1"/>
    <col min="10" max="10" width="13.875" style="161" bestFit="1" customWidth="1"/>
    <col min="11" max="11" width="2.75" style="161" customWidth="1"/>
    <col min="12" max="12" width="14.875" style="161" bestFit="1" customWidth="1"/>
    <col min="13" max="16" width="2.75" style="161" customWidth="1"/>
    <col min="17" max="17" width="11.375" style="187"/>
    <col min="18" max="21" width="11.375" style="161"/>
    <col min="22" max="26" width="10.125" style="161" customWidth="1"/>
    <col min="27" max="16384" width="11.375" style="161"/>
  </cols>
  <sheetData>
    <row r="1" spans="1:31" ht="21.1" customHeight="1" x14ac:dyDescent="0.2">
      <c r="Q1" s="161"/>
    </row>
    <row r="2" spans="1:31" ht="21.1" customHeight="1" x14ac:dyDescent="0.2">
      <c r="Q2" s="161"/>
    </row>
    <row r="3" spans="1:31" s="126" customFormat="1" ht="21.1" customHeight="1" x14ac:dyDescent="0.25">
      <c r="A3" s="128" t="s">
        <v>213</v>
      </c>
      <c r="B3" s="129"/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30"/>
      <c r="T3" s="136" t="s">
        <v>222</v>
      </c>
      <c r="U3" s="136" t="s">
        <v>223</v>
      </c>
      <c r="V3" s="136">
        <v>107677</v>
      </c>
      <c r="W3" s="136">
        <v>14192</v>
      </c>
      <c r="X3" s="136">
        <v>46391</v>
      </c>
      <c r="Y3" s="136">
        <v>10112</v>
      </c>
      <c r="Z3" s="136">
        <v>178372</v>
      </c>
    </row>
    <row r="4" spans="1:31" s="126" customFormat="1" ht="21.1" customHeight="1" x14ac:dyDescent="0.25">
      <c r="A4" s="131" t="s">
        <v>214</v>
      </c>
      <c r="B4" s="132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3"/>
      <c r="T4" s="136" t="s">
        <v>34</v>
      </c>
      <c r="U4" s="136" t="s">
        <v>57</v>
      </c>
      <c r="V4" s="136">
        <v>146764</v>
      </c>
      <c r="W4" s="136">
        <v>65756</v>
      </c>
      <c r="X4" s="136">
        <v>31279</v>
      </c>
      <c r="Y4" s="136">
        <v>8703</v>
      </c>
      <c r="Z4" s="136">
        <v>252502</v>
      </c>
    </row>
    <row r="5" spans="1:31" customFormat="1" ht="21.1" customHeight="1" x14ac:dyDescent="0.25">
      <c r="T5" s="136" t="s">
        <v>224</v>
      </c>
      <c r="U5" s="136" t="s">
        <v>60</v>
      </c>
      <c r="V5" s="136">
        <v>36842</v>
      </c>
      <c r="W5" s="136">
        <v>11661</v>
      </c>
      <c r="X5" s="136">
        <v>2149</v>
      </c>
      <c r="Y5" s="136">
        <v>451</v>
      </c>
      <c r="Z5" s="136">
        <v>51103</v>
      </c>
    </row>
    <row r="6" spans="1:31" s="136" customFormat="1" ht="21.1" customHeight="1" x14ac:dyDescent="0.3">
      <c r="A6" s="190" t="s">
        <v>215</v>
      </c>
      <c r="B6" s="193" t="s">
        <v>216</v>
      </c>
      <c r="C6" s="134"/>
      <c r="D6" s="196" t="s">
        <v>217</v>
      </c>
      <c r="E6" s="196"/>
      <c r="F6" s="196"/>
      <c r="G6" s="196"/>
      <c r="H6" s="196"/>
      <c r="I6" s="196"/>
      <c r="J6" s="196"/>
      <c r="K6" s="196"/>
      <c r="L6" s="196"/>
      <c r="M6" s="197"/>
      <c r="N6" s="138"/>
      <c r="O6" s="138"/>
      <c r="P6" s="138"/>
    </row>
    <row r="7" spans="1:31" s="136" customFormat="1" ht="21.1" customHeight="1" x14ac:dyDescent="0.3">
      <c r="A7" s="191"/>
      <c r="B7" s="194"/>
      <c r="C7" s="137"/>
      <c r="D7" s="196" t="s">
        <v>218</v>
      </c>
      <c r="E7" s="196"/>
      <c r="F7" s="196"/>
      <c r="G7" s="138"/>
      <c r="H7" s="196" t="s">
        <v>219</v>
      </c>
      <c r="I7" s="196"/>
      <c r="J7" s="196"/>
      <c r="K7" s="138"/>
      <c r="L7" s="198" t="s">
        <v>204</v>
      </c>
      <c r="M7" s="139"/>
      <c r="N7" s="181"/>
      <c r="O7" s="181"/>
      <c r="P7" s="181"/>
    </row>
    <row r="8" spans="1:31" s="136" customFormat="1" ht="21.1" customHeight="1" x14ac:dyDescent="0.3">
      <c r="A8" s="192"/>
      <c r="B8" s="195"/>
      <c r="C8" s="140"/>
      <c r="D8" s="135" t="s">
        <v>220</v>
      </c>
      <c r="E8" s="141"/>
      <c r="F8" s="135" t="s">
        <v>221</v>
      </c>
      <c r="G8" s="141"/>
      <c r="H8" s="135" t="s">
        <v>220</v>
      </c>
      <c r="I8" s="141"/>
      <c r="J8" s="135" t="s">
        <v>221</v>
      </c>
      <c r="K8" s="142"/>
      <c r="L8" s="199"/>
      <c r="M8" s="143"/>
      <c r="N8" s="183"/>
      <c r="O8" s="183"/>
      <c r="P8" s="183"/>
      <c r="AB8" s="136" t="s">
        <v>240</v>
      </c>
    </row>
    <row r="9" spans="1:31" s="136" customFormat="1" ht="21.1" customHeight="1" x14ac:dyDescent="0.25">
      <c r="A9" s="144"/>
      <c r="B9" s="145"/>
      <c r="C9" s="145"/>
      <c r="M9" s="146"/>
      <c r="Q9" s="136" t="s">
        <v>232</v>
      </c>
      <c r="R9" s="136" t="s">
        <v>233</v>
      </c>
      <c r="S9" s="136" t="s">
        <v>234</v>
      </c>
      <c r="T9" s="136" t="s">
        <v>234</v>
      </c>
      <c r="U9" s="136" t="s">
        <v>233</v>
      </c>
      <c r="V9" s="136" t="s">
        <v>235</v>
      </c>
      <c r="W9" s="136" t="s">
        <v>236</v>
      </c>
      <c r="X9" s="136" t="s">
        <v>237</v>
      </c>
      <c r="Y9" s="136" t="s">
        <v>238</v>
      </c>
      <c r="Z9" s="136" t="s">
        <v>239</v>
      </c>
      <c r="AB9" s="136" t="s">
        <v>235</v>
      </c>
      <c r="AC9" s="136" t="s">
        <v>236</v>
      </c>
      <c r="AD9" s="136" t="s">
        <v>237</v>
      </c>
      <c r="AE9" s="136" t="s">
        <v>238</v>
      </c>
    </row>
    <row r="10" spans="1:31" s="136" customFormat="1" ht="21.1" customHeight="1" x14ac:dyDescent="0.25">
      <c r="A10" s="147" t="s">
        <v>25</v>
      </c>
      <c r="B10" s="148" t="s">
        <v>53</v>
      </c>
      <c r="C10" s="148"/>
      <c r="D10" s="149">
        <v>1086662</v>
      </c>
      <c r="E10" s="149"/>
      <c r="F10" s="149">
        <v>114825</v>
      </c>
      <c r="G10" s="149"/>
      <c r="H10" s="149">
        <v>1402708</v>
      </c>
      <c r="I10" s="149"/>
      <c r="J10" s="149">
        <v>210532</v>
      </c>
      <c r="K10" s="149"/>
      <c r="L10" s="149">
        <v>2814727</v>
      </c>
      <c r="M10" s="150"/>
      <c r="N10" s="154"/>
      <c r="O10" s="154"/>
      <c r="P10" s="154"/>
      <c r="Q10" s="186"/>
      <c r="R10" s="136" t="s">
        <v>53</v>
      </c>
      <c r="S10" s="136" t="s">
        <v>25</v>
      </c>
      <c r="T10" s="136" t="s">
        <v>25</v>
      </c>
      <c r="U10" s="136" t="s">
        <v>53</v>
      </c>
      <c r="V10" s="185">
        <v>1086662</v>
      </c>
      <c r="W10" s="185">
        <v>114825</v>
      </c>
      <c r="X10" s="185">
        <v>1402708</v>
      </c>
      <c r="Y10" s="185">
        <v>210532</v>
      </c>
      <c r="Z10" s="185">
        <v>2814727</v>
      </c>
      <c r="AB10" s="136">
        <f t="shared" ref="AB10:AE11" si="0">V10/$Z10</f>
        <v>0.38606301783441166</v>
      </c>
      <c r="AC10" s="136">
        <f t="shared" si="0"/>
        <v>4.0794364782090767E-2</v>
      </c>
      <c r="AD10" s="136">
        <f t="shared" si="0"/>
        <v>0.49834602076862161</v>
      </c>
      <c r="AE10" s="136">
        <f t="shared" si="0"/>
        <v>7.4796596614875976E-2</v>
      </c>
    </row>
    <row r="11" spans="1:31" s="136" customFormat="1" ht="21.1" customHeight="1" collapsed="1" x14ac:dyDescent="0.25">
      <c r="A11" s="147" t="s">
        <v>222</v>
      </c>
      <c r="B11" s="148" t="s">
        <v>223</v>
      </c>
      <c r="C11" s="148"/>
      <c r="D11" s="149">
        <v>107677</v>
      </c>
      <c r="E11" s="149"/>
      <c r="F11" s="149">
        <v>14192</v>
      </c>
      <c r="G11" s="149"/>
      <c r="H11" s="149">
        <v>46391</v>
      </c>
      <c r="I11" s="149"/>
      <c r="J11" s="149">
        <v>10112</v>
      </c>
      <c r="K11" s="149"/>
      <c r="L11" s="149">
        <v>178372</v>
      </c>
      <c r="M11" s="150"/>
      <c r="N11" s="154"/>
      <c r="O11" s="154"/>
      <c r="P11" s="154"/>
      <c r="Q11" s="186">
        <v>0.20836798159826647</v>
      </c>
      <c r="R11" s="136" t="s">
        <v>0</v>
      </c>
      <c r="S11" s="136" t="s">
        <v>26</v>
      </c>
      <c r="T11" s="136" t="s">
        <v>26</v>
      </c>
      <c r="U11" s="136" t="s">
        <v>0</v>
      </c>
      <c r="V11" s="185">
        <f>V$3*$Q11</f>
        <v>22436.439154556538</v>
      </c>
      <c r="W11" s="185">
        <f t="shared" ref="W11:Z15" si="1">W$3*$Q11</f>
        <v>2957.1583948425978</v>
      </c>
      <c r="X11" s="185">
        <f t="shared" si="1"/>
        <v>9666.3990343251808</v>
      </c>
      <c r="Y11" s="185">
        <f t="shared" si="1"/>
        <v>2107.0170299216707</v>
      </c>
      <c r="Z11" s="185">
        <f t="shared" si="1"/>
        <v>37167.013613645984</v>
      </c>
      <c r="AB11" s="136">
        <f t="shared" si="0"/>
        <v>0.60366537348911264</v>
      </c>
      <c r="AC11" s="136">
        <f t="shared" si="0"/>
        <v>7.956405713901285E-2</v>
      </c>
      <c r="AD11" s="136">
        <f t="shared" si="0"/>
        <v>0.26008005740811341</v>
      </c>
      <c r="AE11" s="136">
        <f t="shared" si="0"/>
        <v>5.6690511963761132E-2</v>
      </c>
    </row>
    <row r="12" spans="1:31" s="136" customFormat="1" ht="21.1" customHeight="1" x14ac:dyDescent="0.25">
      <c r="A12" s="147" t="s">
        <v>31</v>
      </c>
      <c r="B12" s="148" t="s">
        <v>54</v>
      </c>
      <c r="C12" s="148"/>
      <c r="D12" s="149">
        <v>250117</v>
      </c>
      <c r="E12" s="149"/>
      <c r="F12" s="149">
        <v>117950</v>
      </c>
      <c r="G12" s="149"/>
      <c r="H12" s="149">
        <v>78022</v>
      </c>
      <c r="I12" s="149"/>
      <c r="J12" s="149">
        <v>86676</v>
      </c>
      <c r="K12" s="149"/>
      <c r="L12" s="149">
        <v>532765</v>
      </c>
      <c r="M12" s="150"/>
      <c r="N12" s="154"/>
      <c r="O12" s="154"/>
      <c r="P12" s="154"/>
      <c r="Q12" s="186">
        <v>0.50821875673662287</v>
      </c>
      <c r="R12" s="136" t="s">
        <v>7</v>
      </c>
      <c r="S12" s="136" t="s">
        <v>27</v>
      </c>
      <c r="T12" s="136" t="s">
        <v>27</v>
      </c>
      <c r="U12" s="136" t="s">
        <v>7</v>
      </c>
      <c r="V12" s="185">
        <f t="shared" ref="V12:V15" si="2">V$3*$Q12</f>
        <v>54723.471069129344</v>
      </c>
      <c r="W12" s="185">
        <f t="shared" si="1"/>
        <v>7212.6405956061517</v>
      </c>
      <c r="X12" s="185">
        <f t="shared" si="1"/>
        <v>23576.77634376867</v>
      </c>
      <c r="Y12" s="185">
        <f t="shared" si="1"/>
        <v>5139.1080681207304</v>
      </c>
      <c r="Z12" s="185">
        <f t="shared" si="1"/>
        <v>90651.996076624899</v>
      </c>
      <c r="AB12" s="136">
        <f t="shared" ref="AB12:AB40" si="3">V12/$Z12</f>
        <v>0.60366537348911264</v>
      </c>
      <c r="AC12" s="136">
        <f t="shared" ref="AC12:AC40" si="4">W12/$Z12</f>
        <v>7.956405713901285E-2</v>
      </c>
      <c r="AD12" s="136">
        <f t="shared" ref="AD12:AD40" si="5">X12/$Z12</f>
        <v>0.26008005740811335</v>
      </c>
      <c r="AE12" s="136">
        <f t="shared" ref="AE12:AE40" si="6">Y12/$Z12</f>
        <v>5.6690511963761125E-2</v>
      </c>
    </row>
    <row r="13" spans="1:31" s="136" customFormat="1" ht="21.1" customHeight="1" collapsed="1" x14ac:dyDescent="0.25">
      <c r="A13" s="147" t="s">
        <v>32</v>
      </c>
      <c r="B13" s="148" t="s">
        <v>55</v>
      </c>
      <c r="C13" s="148"/>
      <c r="D13" s="149">
        <v>109686</v>
      </c>
      <c r="E13" s="149"/>
      <c r="F13" s="149">
        <v>169830</v>
      </c>
      <c r="G13" s="149"/>
      <c r="H13" s="149">
        <v>102380</v>
      </c>
      <c r="I13" s="149"/>
      <c r="J13" s="149">
        <v>215801</v>
      </c>
      <c r="K13" s="149"/>
      <c r="L13" s="149">
        <v>597697</v>
      </c>
      <c r="M13" s="150"/>
      <c r="N13" s="154"/>
      <c r="O13" s="154"/>
      <c r="P13" s="154"/>
      <c r="Q13" s="186">
        <v>5.2991900857750497E-2</v>
      </c>
      <c r="R13" s="136" t="s">
        <v>8</v>
      </c>
      <c r="S13" s="136" t="s">
        <v>28</v>
      </c>
      <c r="T13" s="136" t="s">
        <v>28</v>
      </c>
      <c r="U13" s="136" t="s">
        <v>8</v>
      </c>
      <c r="V13" s="185">
        <f t="shared" si="2"/>
        <v>5706.0089086600001</v>
      </c>
      <c r="W13" s="185">
        <f t="shared" si="1"/>
        <v>752.06105697319504</v>
      </c>
      <c r="X13" s="185">
        <f t="shared" si="1"/>
        <v>2458.3472726919035</v>
      </c>
      <c r="Y13" s="185">
        <f t="shared" si="1"/>
        <v>535.854101473573</v>
      </c>
      <c r="Z13" s="185">
        <f t="shared" si="1"/>
        <v>9452.2713397986718</v>
      </c>
      <c r="AB13" s="136">
        <f t="shared" si="3"/>
        <v>0.60366537348911264</v>
      </c>
      <c r="AC13" s="136">
        <f t="shared" si="4"/>
        <v>7.956405713901285E-2</v>
      </c>
      <c r="AD13" s="136">
        <f t="shared" si="5"/>
        <v>0.26008005740811341</v>
      </c>
      <c r="AE13" s="136">
        <f t="shared" si="6"/>
        <v>5.6690511963761125E-2</v>
      </c>
    </row>
    <row r="14" spans="1:31" s="136" customFormat="1" ht="21.1" customHeight="1" x14ac:dyDescent="0.25">
      <c r="A14" s="147" t="s">
        <v>33</v>
      </c>
      <c r="B14" s="148" t="s">
        <v>56</v>
      </c>
      <c r="C14" s="148"/>
      <c r="D14" s="149">
        <v>43758</v>
      </c>
      <c r="E14" s="149"/>
      <c r="F14" s="149">
        <v>17661</v>
      </c>
      <c r="G14" s="149"/>
      <c r="H14" s="149">
        <v>24716</v>
      </c>
      <c r="I14" s="149"/>
      <c r="J14" s="149">
        <v>13351</v>
      </c>
      <c r="K14" s="149"/>
      <c r="L14" s="149">
        <v>99486</v>
      </c>
      <c r="M14" s="150"/>
      <c r="N14" s="154"/>
      <c r="O14" s="154"/>
      <c r="P14" s="154"/>
      <c r="Q14" s="186">
        <v>6.389328716328789E-2</v>
      </c>
      <c r="R14" s="136" t="s">
        <v>1</v>
      </c>
      <c r="S14" s="136" t="s">
        <v>29</v>
      </c>
      <c r="T14" s="136" t="s">
        <v>29</v>
      </c>
      <c r="U14" s="136" t="s">
        <v>1</v>
      </c>
      <c r="V14" s="185">
        <f t="shared" si="2"/>
        <v>6879.83748188135</v>
      </c>
      <c r="W14" s="185">
        <f t="shared" si="1"/>
        <v>906.77353142138179</v>
      </c>
      <c r="X14" s="185">
        <f t="shared" si="1"/>
        <v>2964.0734847920885</v>
      </c>
      <c r="Y14" s="185">
        <f t="shared" si="1"/>
        <v>646.08891979516716</v>
      </c>
      <c r="Z14" s="185">
        <f t="shared" si="1"/>
        <v>11396.773417889988</v>
      </c>
      <c r="AB14" s="136">
        <f t="shared" si="3"/>
        <v>0.60366537348911264</v>
      </c>
      <c r="AC14" s="136">
        <f t="shared" si="4"/>
        <v>7.956405713901285E-2</v>
      </c>
      <c r="AD14" s="136">
        <f t="shared" si="5"/>
        <v>0.26008005740811335</v>
      </c>
      <c r="AE14" s="136">
        <f t="shared" si="6"/>
        <v>5.6690511963761125E-2</v>
      </c>
    </row>
    <row r="15" spans="1:31" s="136" customFormat="1" ht="21.1" customHeight="1" collapsed="1" x14ac:dyDescent="0.25">
      <c r="A15" s="147" t="s">
        <v>34</v>
      </c>
      <c r="B15" s="148" t="s">
        <v>57</v>
      </c>
      <c r="C15" s="148"/>
      <c r="D15" s="149">
        <v>146764</v>
      </c>
      <c r="E15" s="149"/>
      <c r="F15" s="149">
        <v>65756</v>
      </c>
      <c r="G15" s="149"/>
      <c r="H15" s="149">
        <v>31279</v>
      </c>
      <c r="I15" s="149"/>
      <c r="J15" s="149">
        <v>8703</v>
      </c>
      <c r="K15" s="149"/>
      <c r="L15" s="149">
        <v>252502</v>
      </c>
      <c r="M15" s="150"/>
      <c r="N15" s="154"/>
      <c r="O15" s="154"/>
      <c r="P15" s="154"/>
      <c r="Q15" s="186">
        <v>0.16652807364407232</v>
      </c>
      <c r="R15" s="136" t="s">
        <v>2</v>
      </c>
      <c r="S15" s="136" t="s">
        <v>30</v>
      </c>
      <c r="T15" s="136" t="s">
        <v>30</v>
      </c>
      <c r="U15" s="136" t="s">
        <v>2</v>
      </c>
      <c r="V15" s="185">
        <f t="shared" si="2"/>
        <v>17931.243385772774</v>
      </c>
      <c r="W15" s="185">
        <f t="shared" si="1"/>
        <v>2363.3664211566743</v>
      </c>
      <c r="X15" s="185">
        <f t="shared" si="1"/>
        <v>7725.4038644221591</v>
      </c>
      <c r="Y15" s="185">
        <f t="shared" si="1"/>
        <v>1683.9318806888593</v>
      </c>
      <c r="Z15" s="185">
        <f t="shared" si="1"/>
        <v>29703.94555204047</v>
      </c>
      <c r="AB15" s="136">
        <f t="shared" si="3"/>
        <v>0.60366537348911253</v>
      </c>
      <c r="AC15" s="136">
        <f t="shared" si="4"/>
        <v>7.9564057139012836E-2</v>
      </c>
      <c r="AD15" s="136">
        <f t="shared" si="5"/>
        <v>0.26008005740811335</v>
      </c>
      <c r="AE15" s="136">
        <f t="shared" si="6"/>
        <v>5.6690511963761125E-2</v>
      </c>
    </row>
    <row r="16" spans="1:31" s="136" customFormat="1" ht="21.1" customHeight="1" x14ac:dyDescent="0.25">
      <c r="A16" s="147" t="s">
        <v>35</v>
      </c>
      <c r="B16" s="148" t="s">
        <v>58</v>
      </c>
      <c r="C16" s="148"/>
      <c r="D16" s="149">
        <v>201294</v>
      </c>
      <c r="E16" s="149"/>
      <c r="F16" s="149">
        <v>35530</v>
      </c>
      <c r="G16" s="149"/>
      <c r="H16" s="149">
        <v>111586</v>
      </c>
      <c r="I16" s="149"/>
      <c r="J16" s="149">
        <v>6379</v>
      </c>
      <c r="K16" s="149"/>
      <c r="L16" s="149">
        <v>354789</v>
      </c>
      <c r="M16" s="150"/>
      <c r="N16" s="154"/>
      <c r="O16" s="154"/>
      <c r="P16" s="154"/>
      <c r="Q16" s="186"/>
      <c r="R16" s="136" t="s">
        <v>54</v>
      </c>
      <c r="S16" s="136" t="s">
        <v>31</v>
      </c>
      <c r="T16" s="136" t="s">
        <v>31</v>
      </c>
      <c r="U16" s="136" t="s">
        <v>54</v>
      </c>
      <c r="V16" s="185">
        <v>250117</v>
      </c>
      <c r="W16" s="185">
        <v>117950</v>
      </c>
      <c r="X16" s="185">
        <v>78022</v>
      </c>
      <c r="Y16" s="185">
        <v>86676</v>
      </c>
      <c r="Z16" s="185">
        <v>532765</v>
      </c>
      <c r="AB16" s="136">
        <f t="shared" si="3"/>
        <v>0.46946965359961706</v>
      </c>
      <c r="AC16" s="136">
        <f t="shared" si="4"/>
        <v>0.22139217103225625</v>
      </c>
      <c r="AD16" s="136">
        <f t="shared" si="5"/>
        <v>0.14644730791249425</v>
      </c>
      <c r="AE16" s="136">
        <f t="shared" si="6"/>
        <v>0.16269086745563241</v>
      </c>
    </row>
    <row r="17" spans="1:31" s="136" customFormat="1" ht="21.1" customHeight="1" collapsed="1" x14ac:dyDescent="0.25">
      <c r="A17" s="147" t="s">
        <v>36</v>
      </c>
      <c r="B17" s="148" t="s">
        <v>59</v>
      </c>
      <c r="C17" s="148"/>
      <c r="D17" s="149">
        <v>79295</v>
      </c>
      <c r="E17" s="149"/>
      <c r="F17" s="149">
        <v>23507</v>
      </c>
      <c r="G17" s="149"/>
      <c r="H17" s="149">
        <v>96859</v>
      </c>
      <c r="I17" s="149"/>
      <c r="J17" s="149">
        <v>43492</v>
      </c>
      <c r="K17" s="149"/>
      <c r="L17" s="149">
        <v>243153</v>
      </c>
      <c r="M17" s="150"/>
      <c r="N17" s="154"/>
      <c r="O17" s="154"/>
      <c r="P17" s="154"/>
      <c r="Q17" s="186"/>
      <c r="R17" s="136" t="s">
        <v>55</v>
      </c>
      <c r="S17" s="136" t="s">
        <v>32</v>
      </c>
      <c r="T17" s="136" t="s">
        <v>32</v>
      </c>
      <c r="U17" s="136" t="s">
        <v>55</v>
      </c>
      <c r="V17" s="185">
        <v>109686</v>
      </c>
      <c r="W17" s="185">
        <v>169830</v>
      </c>
      <c r="X17" s="185">
        <v>102380</v>
      </c>
      <c r="Y17" s="185">
        <v>215801</v>
      </c>
      <c r="Z17" s="185">
        <v>597697</v>
      </c>
      <c r="AB17" s="136">
        <f t="shared" si="3"/>
        <v>0.18351438939797254</v>
      </c>
      <c r="AC17" s="136">
        <f t="shared" si="4"/>
        <v>0.28414062643781046</v>
      </c>
      <c r="AD17" s="136">
        <f t="shared" si="5"/>
        <v>0.17129080453808535</v>
      </c>
      <c r="AE17" s="136">
        <f t="shared" si="6"/>
        <v>0.36105417962613162</v>
      </c>
    </row>
    <row r="18" spans="1:31" s="136" customFormat="1" ht="21.1" customHeight="1" x14ac:dyDescent="0.25">
      <c r="A18" s="147" t="s">
        <v>224</v>
      </c>
      <c r="B18" s="148" t="s">
        <v>60</v>
      </c>
      <c r="C18" s="148"/>
      <c r="D18" s="149">
        <v>36842</v>
      </c>
      <c r="E18" s="149"/>
      <c r="F18" s="149">
        <v>11661</v>
      </c>
      <c r="G18" s="149"/>
      <c r="H18" s="149">
        <v>2149</v>
      </c>
      <c r="I18" s="149"/>
      <c r="J18" s="149">
        <v>451</v>
      </c>
      <c r="K18" s="149"/>
      <c r="L18" s="149">
        <v>51103</v>
      </c>
      <c r="M18" s="150"/>
      <c r="N18" s="154"/>
      <c r="O18" s="154"/>
      <c r="P18" s="154"/>
      <c r="Q18" s="186"/>
      <c r="R18" s="136" t="s">
        <v>56</v>
      </c>
      <c r="S18" s="136" t="s">
        <v>33</v>
      </c>
      <c r="T18" s="136" t="s">
        <v>33</v>
      </c>
      <c r="U18" s="136" t="s">
        <v>56</v>
      </c>
      <c r="V18" s="185">
        <v>43758</v>
      </c>
      <c r="W18" s="185">
        <v>17661</v>
      </c>
      <c r="X18" s="185">
        <v>24716</v>
      </c>
      <c r="Y18" s="185">
        <v>13351</v>
      </c>
      <c r="Z18" s="185">
        <v>99486</v>
      </c>
      <c r="AB18" s="136">
        <f t="shared" si="3"/>
        <v>0.439840781617514</v>
      </c>
      <c r="AC18" s="136">
        <f t="shared" si="4"/>
        <v>0.17752246547252878</v>
      </c>
      <c r="AD18" s="136">
        <f t="shared" si="5"/>
        <v>0.24843696600526707</v>
      </c>
      <c r="AE18" s="136">
        <f t="shared" si="6"/>
        <v>0.13419978690469012</v>
      </c>
    </row>
    <row r="19" spans="1:31" s="136" customFormat="1" ht="21.1" customHeight="1" collapsed="1" x14ac:dyDescent="0.25">
      <c r="A19" s="147" t="s">
        <v>37</v>
      </c>
      <c r="B19" s="148" t="s">
        <v>61</v>
      </c>
      <c r="C19" s="148"/>
      <c r="D19" s="149">
        <v>62250</v>
      </c>
      <c r="E19" s="149"/>
      <c r="F19" s="149">
        <v>10068</v>
      </c>
      <c r="G19" s="149"/>
      <c r="H19" s="149">
        <v>23971</v>
      </c>
      <c r="I19" s="149"/>
      <c r="J19" s="149">
        <v>6804</v>
      </c>
      <c r="K19" s="149"/>
      <c r="L19" s="149">
        <v>103093</v>
      </c>
      <c r="M19" s="150"/>
      <c r="N19" s="154"/>
      <c r="O19" s="154"/>
      <c r="P19" s="154"/>
      <c r="Q19" s="186">
        <v>0.46299510603588895</v>
      </c>
      <c r="R19" s="136" t="s">
        <v>197</v>
      </c>
      <c r="S19" s="136" t="s">
        <v>193</v>
      </c>
      <c r="U19" s="136" t="s">
        <v>197</v>
      </c>
      <c r="V19" s="185">
        <f>V$4*$Q19</f>
        <v>67951.013742251205</v>
      </c>
      <c r="W19" s="185">
        <f t="shared" ref="W19:Z20" si="7">W$4*$Q19</f>
        <v>30444.706192495913</v>
      </c>
      <c r="X19" s="185">
        <f t="shared" si="7"/>
        <v>14482.023921696571</v>
      </c>
      <c r="Y19" s="185">
        <f t="shared" si="7"/>
        <v>4029.4464078303417</v>
      </c>
      <c r="Z19" s="185">
        <f t="shared" si="7"/>
        <v>116907.19026427403</v>
      </c>
      <c r="AB19" s="136">
        <f t="shared" si="3"/>
        <v>0.58123896048348134</v>
      </c>
      <c r="AC19" s="136">
        <f t="shared" si="4"/>
        <v>0.26041773926543155</v>
      </c>
      <c r="AD19" s="136">
        <f t="shared" si="5"/>
        <v>0.12387624652478001</v>
      </c>
      <c r="AE19" s="136">
        <f t="shared" si="6"/>
        <v>3.4467053726307123E-2</v>
      </c>
    </row>
    <row r="20" spans="1:31" s="136" customFormat="1" ht="21.1" customHeight="1" x14ac:dyDescent="0.25">
      <c r="A20" s="147" t="s">
        <v>38</v>
      </c>
      <c r="B20" s="148" t="s">
        <v>3</v>
      </c>
      <c r="C20" s="148"/>
      <c r="D20" s="149">
        <v>429577</v>
      </c>
      <c r="E20" s="149"/>
      <c r="F20" s="149">
        <v>30027</v>
      </c>
      <c r="G20" s="149"/>
      <c r="H20" s="149">
        <v>389823</v>
      </c>
      <c r="I20" s="149"/>
      <c r="J20" s="149">
        <v>2605</v>
      </c>
      <c r="K20" s="149"/>
      <c r="L20" s="149">
        <v>852032</v>
      </c>
      <c r="M20" s="150"/>
      <c r="N20" s="154"/>
      <c r="O20" s="154"/>
      <c r="P20" s="154"/>
      <c r="Q20" s="186">
        <f>1-Q19</f>
        <v>0.537004893964111</v>
      </c>
      <c r="R20" s="136" t="s">
        <v>198</v>
      </c>
      <c r="S20" s="136" t="s">
        <v>194</v>
      </c>
      <c r="U20" s="136" t="s">
        <v>198</v>
      </c>
      <c r="V20" s="185">
        <f>V$4*$Q20</f>
        <v>78812.98625774878</v>
      </c>
      <c r="W20" s="185">
        <f t="shared" si="7"/>
        <v>35311.29380750408</v>
      </c>
      <c r="X20" s="185">
        <f t="shared" si="7"/>
        <v>16796.976078303429</v>
      </c>
      <c r="Y20" s="185">
        <f t="shared" si="7"/>
        <v>4673.5535921696583</v>
      </c>
      <c r="Z20" s="185">
        <f t="shared" si="7"/>
        <v>135594.80973572595</v>
      </c>
      <c r="AB20" s="136">
        <f t="shared" si="3"/>
        <v>0.58123896048348123</v>
      </c>
      <c r="AC20" s="136">
        <f t="shared" si="4"/>
        <v>0.26041773926543155</v>
      </c>
      <c r="AD20" s="136">
        <f t="shared" si="5"/>
        <v>0.12387624652478001</v>
      </c>
      <c r="AE20" s="136">
        <f t="shared" si="6"/>
        <v>3.4467053726307123E-2</v>
      </c>
    </row>
    <row r="21" spans="1:31" s="136" customFormat="1" ht="21.1" customHeight="1" collapsed="1" x14ac:dyDescent="0.25">
      <c r="A21" s="147" t="s">
        <v>39</v>
      </c>
      <c r="B21" s="148" t="s">
        <v>4</v>
      </c>
      <c r="C21" s="148"/>
      <c r="D21" s="149">
        <v>147042</v>
      </c>
      <c r="E21" s="149"/>
      <c r="F21" s="149">
        <v>21835</v>
      </c>
      <c r="G21" s="149"/>
      <c r="H21" s="149">
        <v>26649</v>
      </c>
      <c r="I21" s="149"/>
      <c r="J21" s="149">
        <v>1887</v>
      </c>
      <c r="K21" s="149"/>
      <c r="L21" s="149">
        <v>197413</v>
      </c>
      <c r="M21" s="150"/>
      <c r="N21" s="154"/>
      <c r="O21" s="154"/>
      <c r="P21" s="154"/>
      <c r="Q21" s="186"/>
      <c r="R21" s="136" t="s">
        <v>58</v>
      </c>
      <c r="S21" s="136" t="s">
        <v>35</v>
      </c>
      <c r="T21" s="136" t="s">
        <v>35</v>
      </c>
      <c r="U21" s="136" t="s">
        <v>58</v>
      </c>
      <c r="V21" s="185">
        <v>201294</v>
      </c>
      <c r="W21" s="185">
        <v>35530</v>
      </c>
      <c r="X21" s="185">
        <v>111586</v>
      </c>
      <c r="Y21" s="185">
        <v>6379</v>
      </c>
      <c r="Z21" s="185">
        <v>354789</v>
      </c>
      <c r="AB21" s="136">
        <f t="shared" si="3"/>
        <v>0.56736257324776129</v>
      </c>
      <c r="AC21" s="136">
        <f t="shared" si="4"/>
        <v>0.10014402926810019</v>
      </c>
      <c r="AD21" s="136">
        <f t="shared" si="5"/>
        <v>0.3145136968733529</v>
      </c>
      <c r="AE21" s="136">
        <f t="shared" si="6"/>
        <v>1.7979700610785566E-2</v>
      </c>
    </row>
    <row r="22" spans="1:31" s="136" customFormat="1" ht="21.1" customHeight="1" x14ac:dyDescent="0.25">
      <c r="A22" s="147" t="s">
        <v>40</v>
      </c>
      <c r="B22" s="148" t="s">
        <v>5</v>
      </c>
      <c r="C22" s="148"/>
      <c r="D22" s="149">
        <v>138440</v>
      </c>
      <c r="E22" s="149"/>
      <c r="F22" s="149">
        <v>14001</v>
      </c>
      <c r="G22" s="149"/>
      <c r="H22" s="149">
        <v>156806</v>
      </c>
      <c r="I22" s="149"/>
      <c r="J22" s="149">
        <v>2796</v>
      </c>
      <c r="K22" s="149"/>
      <c r="L22" s="149">
        <v>312043</v>
      </c>
      <c r="M22" s="150"/>
      <c r="N22" s="154"/>
      <c r="O22" s="154"/>
      <c r="P22" s="154"/>
      <c r="Q22" s="186"/>
      <c r="R22" s="136" t="s">
        <v>59</v>
      </c>
      <c r="S22" s="136" t="s">
        <v>36</v>
      </c>
      <c r="T22" s="136" t="s">
        <v>36</v>
      </c>
      <c r="U22" s="136" t="s">
        <v>59</v>
      </c>
      <c r="V22" s="185">
        <v>79295</v>
      </c>
      <c r="W22" s="185">
        <v>23507</v>
      </c>
      <c r="X22" s="185">
        <v>96859</v>
      </c>
      <c r="Y22" s="185">
        <v>43492</v>
      </c>
      <c r="Z22" s="185">
        <v>243153</v>
      </c>
      <c r="AB22" s="136">
        <f t="shared" si="3"/>
        <v>0.32611154293798555</v>
      </c>
      <c r="AC22" s="136">
        <f t="shared" si="4"/>
        <v>9.6675755594214346E-2</v>
      </c>
      <c r="AD22" s="136">
        <f t="shared" si="5"/>
        <v>0.39834589743906101</v>
      </c>
      <c r="AE22" s="136">
        <f t="shared" si="6"/>
        <v>0.17886680402873911</v>
      </c>
    </row>
    <row r="23" spans="1:31" s="136" customFormat="1" ht="21.1" customHeight="1" collapsed="1" x14ac:dyDescent="0.25">
      <c r="A23" s="147" t="s">
        <v>41</v>
      </c>
      <c r="B23" s="148" t="s">
        <v>62</v>
      </c>
      <c r="C23" s="148"/>
      <c r="D23" s="149">
        <v>1009696</v>
      </c>
      <c r="E23" s="149"/>
      <c r="F23" s="149">
        <v>657235</v>
      </c>
      <c r="G23" s="149"/>
      <c r="H23" s="149">
        <v>1270765</v>
      </c>
      <c r="I23" s="149"/>
      <c r="J23" s="149">
        <v>903216</v>
      </c>
      <c r="K23" s="149"/>
      <c r="L23" s="149">
        <v>3840912</v>
      </c>
      <c r="M23" s="150"/>
      <c r="N23" s="154"/>
      <c r="O23" s="154"/>
      <c r="P23" s="154"/>
      <c r="Q23" s="186">
        <v>0.82804612531247468</v>
      </c>
      <c r="R23" s="136" t="s">
        <v>199</v>
      </c>
      <c r="S23" s="136" t="s">
        <v>195</v>
      </c>
      <c r="U23" s="136" t="s">
        <v>199</v>
      </c>
      <c r="V23" s="185">
        <f>V$5*$Q23</f>
        <v>30506.875348762191</v>
      </c>
      <c r="W23" s="185">
        <f t="shared" ref="W23:Z24" si="8">W$5*$Q23</f>
        <v>9655.8458672687666</v>
      </c>
      <c r="X23" s="185">
        <f t="shared" si="8"/>
        <v>1779.471123296508</v>
      </c>
      <c r="Y23" s="185">
        <f t="shared" si="8"/>
        <v>373.4488025159261</v>
      </c>
      <c r="Z23" s="185">
        <f t="shared" si="8"/>
        <v>42315.641141843393</v>
      </c>
      <c r="AB23" s="136">
        <f t="shared" si="3"/>
        <v>0.72093614856270671</v>
      </c>
      <c r="AC23" s="136">
        <f t="shared" si="4"/>
        <v>0.22818621215975576</v>
      </c>
      <c r="AD23" s="136">
        <f t="shared" si="5"/>
        <v>4.205232569516467E-2</v>
      </c>
      <c r="AE23" s="136">
        <f t="shared" si="6"/>
        <v>8.8253135823728561E-3</v>
      </c>
    </row>
    <row r="24" spans="1:31" s="136" customFormat="1" ht="21.1" customHeight="1" x14ac:dyDescent="0.25">
      <c r="A24" s="147" t="s">
        <v>42</v>
      </c>
      <c r="B24" s="148" t="s">
        <v>63</v>
      </c>
      <c r="C24" s="148"/>
      <c r="D24" s="149">
        <v>441060</v>
      </c>
      <c r="E24" s="149"/>
      <c r="F24" s="149">
        <v>81151</v>
      </c>
      <c r="G24" s="149"/>
      <c r="H24" s="149">
        <v>1051742</v>
      </c>
      <c r="I24" s="149"/>
      <c r="J24" s="149">
        <v>24722</v>
      </c>
      <c r="K24" s="149"/>
      <c r="L24" s="149">
        <v>1598675</v>
      </c>
      <c r="M24" s="150"/>
      <c r="N24" s="154"/>
      <c r="O24" s="154"/>
      <c r="P24" s="154"/>
      <c r="Q24" s="186">
        <f>1-Q23</f>
        <v>0.17195387468752532</v>
      </c>
      <c r="R24" s="136" t="s">
        <v>200</v>
      </c>
      <c r="S24" s="136" t="s">
        <v>196</v>
      </c>
      <c r="U24" s="136" t="s">
        <v>200</v>
      </c>
      <c r="V24" s="185">
        <f>V$5*$Q24</f>
        <v>6335.1246512378075</v>
      </c>
      <c r="W24" s="185">
        <f t="shared" si="8"/>
        <v>2005.1541327312327</v>
      </c>
      <c r="X24" s="185">
        <f t="shared" si="8"/>
        <v>369.5288767034919</v>
      </c>
      <c r="Y24" s="185">
        <f t="shared" si="8"/>
        <v>77.551197484073924</v>
      </c>
      <c r="Z24" s="185">
        <f t="shared" si="8"/>
        <v>8787.3588581566073</v>
      </c>
      <c r="AB24" s="136">
        <f t="shared" si="3"/>
        <v>0.7209361485627066</v>
      </c>
      <c r="AC24" s="136">
        <f t="shared" si="4"/>
        <v>0.22818621215975576</v>
      </c>
      <c r="AD24" s="136">
        <f t="shared" si="5"/>
        <v>4.2052325695164663E-2</v>
      </c>
      <c r="AE24" s="136">
        <f t="shared" si="6"/>
        <v>8.8253135823728544E-3</v>
      </c>
    </row>
    <row r="25" spans="1:31" s="136" customFormat="1" ht="21.1" customHeight="1" collapsed="1" x14ac:dyDescent="0.25">
      <c r="A25" s="147" t="s">
        <v>43</v>
      </c>
      <c r="B25" s="148" t="s">
        <v>64</v>
      </c>
      <c r="C25" s="148"/>
      <c r="D25" s="149">
        <v>276287</v>
      </c>
      <c r="E25" s="149"/>
      <c r="F25" s="149">
        <v>461890</v>
      </c>
      <c r="G25" s="149"/>
      <c r="H25" s="149">
        <v>229151</v>
      </c>
      <c r="I25" s="149"/>
      <c r="J25" s="149">
        <v>423342</v>
      </c>
      <c r="K25" s="149"/>
      <c r="L25" s="149">
        <v>1390670</v>
      </c>
      <c r="M25" s="150"/>
      <c r="N25" s="154"/>
      <c r="O25" s="154"/>
      <c r="P25" s="154"/>
      <c r="Q25" s="186"/>
      <c r="R25" s="136" t="s">
        <v>61</v>
      </c>
      <c r="S25" s="136" t="s">
        <v>37</v>
      </c>
      <c r="T25" s="136" t="s">
        <v>37</v>
      </c>
      <c r="U25" s="136" t="s">
        <v>61</v>
      </c>
      <c r="V25" s="185">
        <v>62250</v>
      </c>
      <c r="W25" s="185">
        <v>10068</v>
      </c>
      <c r="X25" s="185">
        <v>23971</v>
      </c>
      <c r="Y25" s="185">
        <v>6804</v>
      </c>
      <c r="Z25" s="185">
        <v>103093</v>
      </c>
      <c r="AB25" s="136">
        <f t="shared" si="3"/>
        <v>0.60382373197016281</v>
      </c>
      <c r="AC25" s="136">
        <f t="shared" si="4"/>
        <v>9.7659394915270675E-2</v>
      </c>
      <c r="AD25" s="136">
        <f t="shared" si="5"/>
        <v>0.23251821171175541</v>
      </c>
      <c r="AE25" s="136">
        <f t="shared" si="6"/>
        <v>6.5998661402811049E-2</v>
      </c>
    </row>
    <row r="26" spans="1:31" s="136" customFormat="1" ht="21.1" customHeight="1" x14ac:dyDescent="0.25">
      <c r="A26" s="147" t="s">
        <v>44</v>
      </c>
      <c r="B26" s="148" t="s">
        <v>65</v>
      </c>
      <c r="C26" s="148"/>
      <c r="D26" s="149">
        <v>109118</v>
      </c>
      <c r="E26" s="149"/>
      <c r="F26" s="149">
        <v>62730</v>
      </c>
      <c r="G26" s="149"/>
      <c r="H26" s="149">
        <v>49655</v>
      </c>
      <c r="I26" s="149"/>
      <c r="J26" s="149">
        <v>43853</v>
      </c>
      <c r="K26" s="149"/>
      <c r="L26" s="149">
        <v>265356</v>
      </c>
      <c r="M26" s="150"/>
      <c r="N26" s="154"/>
      <c r="O26" s="154"/>
      <c r="P26" s="154"/>
      <c r="Q26" s="186"/>
      <c r="R26" s="136" t="s">
        <v>3</v>
      </c>
      <c r="S26" s="136" t="s">
        <v>38</v>
      </c>
      <c r="T26" s="136" t="s">
        <v>38</v>
      </c>
      <c r="U26" s="136" t="s">
        <v>3</v>
      </c>
      <c r="V26" s="185">
        <v>429577</v>
      </c>
      <c r="W26" s="185">
        <v>30027</v>
      </c>
      <c r="X26" s="185">
        <v>389823</v>
      </c>
      <c r="Y26" s="185">
        <v>2605</v>
      </c>
      <c r="Z26" s="185">
        <v>852032</v>
      </c>
      <c r="AB26" s="136">
        <f t="shared" si="3"/>
        <v>0.5041794204912492</v>
      </c>
      <c r="AC26" s="136">
        <f t="shared" si="4"/>
        <v>3.5241634117028471E-2</v>
      </c>
      <c r="AD26" s="136">
        <f t="shared" si="5"/>
        <v>0.45752154848644183</v>
      </c>
      <c r="AE26" s="136">
        <f t="shared" si="6"/>
        <v>3.0573969052805528E-3</v>
      </c>
    </row>
    <row r="27" spans="1:31" s="136" customFormat="1" ht="21.1" customHeight="1" collapsed="1" x14ac:dyDescent="0.25">
      <c r="A27" s="147" t="s">
        <v>45</v>
      </c>
      <c r="B27" s="148" t="s">
        <v>66</v>
      </c>
      <c r="C27" s="148"/>
      <c r="D27" s="149">
        <v>108782</v>
      </c>
      <c r="E27" s="149"/>
      <c r="F27" s="149">
        <v>129518</v>
      </c>
      <c r="G27" s="149"/>
      <c r="H27" s="149">
        <v>15300</v>
      </c>
      <c r="I27" s="149"/>
      <c r="J27" s="149">
        <v>11415</v>
      </c>
      <c r="K27" s="149"/>
      <c r="L27" s="149">
        <v>265015</v>
      </c>
      <c r="M27" s="150"/>
      <c r="N27" s="154"/>
      <c r="O27" s="154"/>
      <c r="P27" s="154"/>
      <c r="Q27" s="186"/>
      <c r="R27" s="136" t="s">
        <v>4</v>
      </c>
      <c r="S27" s="136" t="s">
        <v>39</v>
      </c>
      <c r="T27" s="136" t="s">
        <v>39</v>
      </c>
      <c r="U27" s="136" t="s">
        <v>4</v>
      </c>
      <c r="V27" s="185">
        <v>147042</v>
      </c>
      <c r="W27" s="185">
        <v>21835</v>
      </c>
      <c r="X27" s="185">
        <v>26649</v>
      </c>
      <c r="Y27" s="185">
        <v>1887</v>
      </c>
      <c r="Z27" s="185">
        <v>197413</v>
      </c>
      <c r="AB27" s="136">
        <f t="shared" si="3"/>
        <v>0.74484456444104497</v>
      </c>
      <c r="AC27" s="136">
        <f t="shared" si="4"/>
        <v>0.11060568452938763</v>
      </c>
      <c r="AD27" s="136">
        <f t="shared" si="5"/>
        <v>0.13499111000795286</v>
      </c>
      <c r="AE27" s="136">
        <f t="shared" si="6"/>
        <v>9.5586410216145848E-3</v>
      </c>
    </row>
    <row r="28" spans="1:31" s="136" customFormat="1" ht="21.1" customHeight="1" x14ac:dyDescent="0.25">
      <c r="A28" s="147" t="s">
        <v>46</v>
      </c>
      <c r="B28" s="148" t="s">
        <v>6</v>
      </c>
      <c r="C28" s="148"/>
      <c r="D28" s="149">
        <v>156435</v>
      </c>
      <c r="E28" s="149"/>
      <c r="F28" s="149">
        <v>49202</v>
      </c>
      <c r="G28" s="149"/>
      <c r="H28" s="149">
        <v>21226</v>
      </c>
      <c r="I28" s="149"/>
      <c r="J28" s="149">
        <v>13659</v>
      </c>
      <c r="K28" s="149"/>
      <c r="L28" s="149">
        <v>240522</v>
      </c>
      <c r="M28" s="150"/>
      <c r="N28" s="154"/>
      <c r="O28" s="154"/>
      <c r="P28" s="154"/>
      <c r="Q28" s="186"/>
      <c r="R28" s="136" t="s">
        <v>5</v>
      </c>
      <c r="S28" s="136" t="s">
        <v>40</v>
      </c>
      <c r="T28" s="136" t="s">
        <v>40</v>
      </c>
      <c r="U28" s="136" t="s">
        <v>5</v>
      </c>
      <c r="V28" s="185">
        <v>138440</v>
      </c>
      <c r="W28" s="185">
        <v>14001</v>
      </c>
      <c r="X28" s="185">
        <v>156806</v>
      </c>
      <c r="Y28" s="185">
        <v>2796</v>
      </c>
      <c r="Z28" s="185">
        <v>312043</v>
      </c>
      <c r="AB28" s="136">
        <f t="shared" si="3"/>
        <v>0.44365680370974514</v>
      </c>
      <c r="AC28" s="136">
        <f t="shared" si="4"/>
        <v>4.4868816156747628E-2</v>
      </c>
      <c r="AD28" s="136">
        <f t="shared" si="5"/>
        <v>0.50251407658559877</v>
      </c>
      <c r="AE28" s="136">
        <f t="shared" si="6"/>
        <v>8.960303547908461E-3</v>
      </c>
    </row>
    <row r="29" spans="1:31" s="136" customFormat="1" ht="21.1" customHeight="1" collapsed="1" x14ac:dyDescent="0.25">
      <c r="A29" s="147" t="s">
        <v>47</v>
      </c>
      <c r="B29" s="148" t="s">
        <v>67</v>
      </c>
      <c r="C29" s="148"/>
      <c r="D29" s="149">
        <v>640745</v>
      </c>
      <c r="E29" s="149"/>
      <c r="F29" s="149">
        <v>505436</v>
      </c>
      <c r="G29" s="149"/>
      <c r="H29" s="149">
        <v>234022</v>
      </c>
      <c r="I29" s="149"/>
      <c r="J29" s="149">
        <v>291246</v>
      </c>
      <c r="K29" s="149"/>
      <c r="L29" s="149">
        <v>1671449</v>
      </c>
      <c r="M29" s="150"/>
      <c r="N29" s="154"/>
      <c r="O29" s="154"/>
      <c r="P29" s="154"/>
      <c r="Q29" s="186"/>
      <c r="R29" s="136" t="s">
        <v>62</v>
      </c>
      <c r="S29" s="136" t="s">
        <v>41</v>
      </c>
      <c r="T29" s="136" t="s">
        <v>41</v>
      </c>
      <c r="U29" s="136" t="s">
        <v>62</v>
      </c>
      <c r="V29" s="185">
        <v>1009696</v>
      </c>
      <c r="W29" s="185">
        <v>657235</v>
      </c>
      <c r="X29" s="185">
        <v>1270765</v>
      </c>
      <c r="Y29" s="185">
        <v>903216</v>
      </c>
      <c r="Z29" s="185">
        <v>3840912</v>
      </c>
      <c r="AB29" s="136">
        <f t="shared" si="3"/>
        <v>0.26287923284886505</v>
      </c>
      <c r="AC29" s="136">
        <f t="shared" si="4"/>
        <v>0.17111430826845292</v>
      </c>
      <c r="AD29" s="136">
        <f t="shared" si="5"/>
        <v>0.3308498085871272</v>
      </c>
      <c r="AE29" s="136">
        <f t="shared" si="6"/>
        <v>0.2351566502955548</v>
      </c>
    </row>
    <row r="30" spans="1:31" s="136" customFormat="1" ht="21.1" customHeight="1" x14ac:dyDescent="0.25">
      <c r="A30" s="147" t="s">
        <v>48</v>
      </c>
      <c r="B30" s="148" t="s">
        <v>9</v>
      </c>
      <c r="C30" s="148"/>
      <c r="D30" s="149">
        <v>284289</v>
      </c>
      <c r="E30" s="149"/>
      <c r="F30" s="149">
        <v>125450</v>
      </c>
      <c r="G30" s="149"/>
      <c r="H30" s="149">
        <v>84134</v>
      </c>
      <c r="I30" s="149"/>
      <c r="J30" s="149">
        <v>81557</v>
      </c>
      <c r="K30" s="149"/>
      <c r="L30" s="149">
        <v>575430</v>
      </c>
      <c r="M30" s="150"/>
      <c r="N30" s="154"/>
      <c r="O30" s="154"/>
      <c r="P30" s="154"/>
      <c r="Q30" s="186"/>
      <c r="R30" s="136" t="s">
        <v>63</v>
      </c>
      <c r="S30" s="136" t="s">
        <v>42</v>
      </c>
      <c r="T30" s="136" t="s">
        <v>42</v>
      </c>
      <c r="U30" s="136" t="s">
        <v>63</v>
      </c>
      <c r="V30" s="185">
        <v>441060</v>
      </c>
      <c r="W30" s="185">
        <v>81151</v>
      </c>
      <c r="X30" s="185">
        <v>1051742</v>
      </c>
      <c r="Y30" s="185">
        <v>24722</v>
      </c>
      <c r="Z30" s="185">
        <v>1598675</v>
      </c>
      <c r="AB30" s="136">
        <f t="shared" si="3"/>
        <v>0.27589097221136255</v>
      </c>
      <c r="AC30" s="136">
        <f t="shared" si="4"/>
        <v>5.0761411794142022E-2</v>
      </c>
      <c r="AD30" s="136">
        <f t="shared" si="5"/>
        <v>0.65788355982297841</v>
      </c>
      <c r="AE30" s="136">
        <f t="shared" si="6"/>
        <v>1.5464056171517037E-2</v>
      </c>
    </row>
    <row r="31" spans="1:31" s="136" customFormat="1" ht="21.1" customHeight="1" collapsed="1" x14ac:dyDescent="0.25">
      <c r="A31" s="147" t="s">
        <v>49</v>
      </c>
      <c r="B31" s="148" t="s">
        <v>68</v>
      </c>
      <c r="C31" s="148"/>
      <c r="D31" s="149">
        <v>205200</v>
      </c>
      <c r="E31" s="149"/>
      <c r="F31" s="149">
        <v>337306</v>
      </c>
      <c r="G31" s="149"/>
      <c r="H31" s="149">
        <v>43243</v>
      </c>
      <c r="I31" s="149"/>
      <c r="J31" s="149">
        <v>53998</v>
      </c>
      <c r="K31" s="149"/>
      <c r="L31" s="149">
        <v>639747</v>
      </c>
      <c r="M31" s="150"/>
      <c r="N31" s="154"/>
      <c r="O31" s="154"/>
      <c r="P31" s="154"/>
      <c r="Q31" s="186"/>
      <c r="R31" s="136" t="s">
        <v>64</v>
      </c>
      <c r="S31" s="136" t="s">
        <v>43</v>
      </c>
      <c r="T31" s="136" t="s">
        <v>43</v>
      </c>
      <c r="U31" s="136" t="s">
        <v>64</v>
      </c>
      <c r="V31" s="185">
        <v>276287</v>
      </c>
      <c r="W31" s="185">
        <v>461890</v>
      </c>
      <c r="X31" s="185">
        <v>229151</v>
      </c>
      <c r="Y31" s="185">
        <v>423342</v>
      </c>
      <c r="Z31" s="185">
        <v>1390670</v>
      </c>
      <c r="AB31" s="136">
        <f t="shared" si="3"/>
        <v>0.19867186320262895</v>
      </c>
      <c r="AC31" s="136">
        <f t="shared" si="4"/>
        <v>0.33213487024240113</v>
      </c>
      <c r="AD31" s="136">
        <f t="shared" si="5"/>
        <v>0.16477740945012118</v>
      </c>
      <c r="AE31" s="136">
        <f t="shared" si="6"/>
        <v>0.30441585710484875</v>
      </c>
    </row>
    <row r="32" spans="1:31" s="136" customFormat="1" ht="21.1" customHeight="1" x14ac:dyDescent="0.25">
      <c r="A32" s="147" t="s">
        <v>50</v>
      </c>
      <c r="B32" s="148" t="s">
        <v>10</v>
      </c>
      <c r="C32" s="148"/>
      <c r="D32" s="149">
        <v>122048</v>
      </c>
      <c r="E32" s="149"/>
      <c r="F32" s="149">
        <v>371962</v>
      </c>
      <c r="G32" s="149"/>
      <c r="H32" s="149">
        <v>52954</v>
      </c>
      <c r="I32" s="149"/>
      <c r="J32" s="149">
        <v>181616</v>
      </c>
      <c r="K32" s="149"/>
      <c r="L32" s="149">
        <v>728580</v>
      </c>
      <c r="M32" s="150"/>
      <c r="N32" s="154"/>
      <c r="O32" s="154"/>
      <c r="P32" s="154"/>
      <c r="Q32" s="186"/>
      <c r="R32" s="136" t="s">
        <v>65</v>
      </c>
      <c r="S32" s="136" t="s">
        <v>44</v>
      </c>
      <c r="T32" s="136" t="s">
        <v>44</v>
      </c>
      <c r="U32" s="136" t="s">
        <v>65</v>
      </c>
      <c r="V32" s="185">
        <v>109118</v>
      </c>
      <c r="W32" s="185">
        <v>62730</v>
      </c>
      <c r="X32" s="185">
        <v>49655</v>
      </c>
      <c r="Y32" s="185">
        <v>43853</v>
      </c>
      <c r="Z32" s="185">
        <v>265356</v>
      </c>
      <c r="AB32" s="136">
        <f t="shared" si="3"/>
        <v>0.41121361491731862</v>
      </c>
      <c r="AC32" s="136">
        <f t="shared" si="4"/>
        <v>0.23639940306606974</v>
      </c>
      <c r="AD32" s="136">
        <f t="shared" si="5"/>
        <v>0.18712597416301119</v>
      </c>
      <c r="AE32" s="136">
        <f t="shared" si="6"/>
        <v>0.16526100785360046</v>
      </c>
    </row>
    <row r="33" spans="1:31" s="136" customFormat="1" ht="21.1" customHeight="1" collapsed="1" x14ac:dyDescent="0.25">
      <c r="A33" s="147" t="s">
        <v>51</v>
      </c>
      <c r="B33" s="148" t="s">
        <v>69</v>
      </c>
      <c r="C33" s="148"/>
      <c r="D33" s="149">
        <v>165802</v>
      </c>
      <c r="E33" s="149"/>
      <c r="F33" s="149">
        <v>140053</v>
      </c>
      <c r="G33" s="149"/>
      <c r="H33" s="149">
        <v>370909</v>
      </c>
      <c r="I33" s="149"/>
      <c r="J33" s="149">
        <v>328796</v>
      </c>
      <c r="K33" s="149"/>
      <c r="L33" s="149">
        <v>1005560</v>
      </c>
      <c r="M33" s="150"/>
      <c r="N33" s="154"/>
      <c r="O33" s="154"/>
      <c r="P33" s="154"/>
      <c r="Q33" s="186"/>
      <c r="R33" s="136" t="s">
        <v>66</v>
      </c>
      <c r="S33" s="136" t="s">
        <v>45</v>
      </c>
      <c r="T33" s="136" t="s">
        <v>45</v>
      </c>
      <c r="U33" s="136" t="s">
        <v>66</v>
      </c>
      <c r="V33" s="185">
        <v>108782</v>
      </c>
      <c r="W33" s="185">
        <v>129518</v>
      </c>
      <c r="X33" s="185">
        <v>15300</v>
      </c>
      <c r="Y33" s="185">
        <v>11415</v>
      </c>
      <c r="Z33" s="185">
        <v>265015</v>
      </c>
      <c r="AB33" s="136">
        <f t="shared" si="3"/>
        <v>0.41047487878044642</v>
      </c>
      <c r="AC33" s="136">
        <f t="shared" si="4"/>
        <v>0.48871950644303153</v>
      </c>
      <c r="AD33" s="136">
        <f t="shared" si="5"/>
        <v>5.7732581174650494E-2</v>
      </c>
      <c r="AE33" s="136">
        <f t="shared" si="6"/>
        <v>4.3073033601871591E-2</v>
      </c>
    </row>
    <row r="34" spans="1:31" s="136" customFormat="1" ht="21.1" customHeight="1" x14ac:dyDescent="0.25">
      <c r="A34" s="147" t="s">
        <v>52</v>
      </c>
      <c r="B34" s="148" t="s">
        <v>70</v>
      </c>
      <c r="C34" s="148"/>
      <c r="D34" s="149">
        <v>37234</v>
      </c>
      <c r="E34" s="149"/>
      <c r="F34" s="149">
        <v>524631</v>
      </c>
      <c r="G34" s="149"/>
      <c r="H34" s="149">
        <v>609</v>
      </c>
      <c r="I34" s="149"/>
      <c r="J34" s="149">
        <v>17923</v>
      </c>
      <c r="K34" s="149"/>
      <c r="L34" s="149">
        <v>580397</v>
      </c>
      <c r="M34" s="150"/>
      <c r="N34" s="154"/>
      <c r="O34" s="154"/>
      <c r="P34" s="154"/>
      <c r="Q34" s="186"/>
      <c r="R34" s="136" t="s">
        <v>6</v>
      </c>
      <c r="S34" s="136" t="s">
        <v>46</v>
      </c>
      <c r="T34" s="136" t="s">
        <v>46</v>
      </c>
      <c r="U34" s="136" t="s">
        <v>6</v>
      </c>
      <c r="V34" s="185">
        <v>156435</v>
      </c>
      <c r="W34" s="185">
        <v>49202</v>
      </c>
      <c r="X34" s="185">
        <v>21226</v>
      </c>
      <c r="Y34" s="185">
        <v>13659</v>
      </c>
      <c r="Z34" s="185">
        <v>240522</v>
      </c>
      <c r="AB34" s="136">
        <f t="shared" si="3"/>
        <v>0.65039788460099279</v>
      </c>
      <c r="AC34" s="136">
        <f t="shared" si="4"/>
        <v>0.20456340792110492</v>
      </c>
      <c r="AD34" s="136">
        <f t="shared" si="5"/>
        <v>8.824972351801498E-2</v>
      </c>
      <c r="AE34" s="136">
        <f t="shared" si="6"/>
        <v>5.6788983959887247E-2</v>
      </c>
    </row>
    <row r="35" spans="1:31" s="136" customFormat="1" ht="21.1" customHeight="1" x14ac:dyDescent="0.25">
      <c r="A35" s="152"/>
      <c r="B35" s="153"/>
      <c r="C35" s="153"/>
      <c r="D35" s="154"/>
      <c r="E35" s="154"/>
      <c r="F35" s="154"/>
      <c r="G35" s="154"/>
      <c r="H35" s="154"/>
      <c r="I35" s="154"/>
      <c r="J35" s="154"/>
      <c r="K35" s="154"/>
      <c r="L35" s="154"/>
      <c r="M35" s="150"/>
      <c r="N35" s="154"/>
      <c r="O35" s="154"/>
      <c r="P35" s="154"/>
      <c r="Q35" s="186"/>
      <c r="R35" s="136" t="s">
        <v>67</v>
      </c>
      <c r="S35" s="136" t="s">
        <v>47</v>
      </c>
      <c r="T35" s="136" t="s">
        <v>47</v>
      </c>
      <c r="U35" s="136" t="s">
        <v>67</v>
      </c>
      <c r="V35" s="185">
        <v>640745</v>
      </c>
      <c r="W35" s="185">
        <v>505436</v>
      </c>
      <c r="X35" s="185">
        <v>234022</v>
      </c>
      <c r="Y35" s="185">
        <v>291246</v>
      </c>
      <c r="Z35" s="185">
        <v>1671449</v>
      </c>
      <c r="AB35" s="136">
        <f t="shared" si="3"/>
        <v>0.38334702404919324</v>
      </c>
      <c r="AC35" s="136">
        <f t="shared" si="4"/>
        <v>0.30239391091202905</v>
      </c>
      <c r="AD35" s="136">
        <f t="shared" si="5"/>
        <v>0.14001145114209287</v>
      </c>
      <c r="AE35" s="136">
        <f t="shared" si="6"/>
        <v>0.17424761389668486</v>
      </c>
    </row>
    <row r="36" spans="1:31" s="159" customFormat="1" ht="21.1" customHeight="1" x14ac:dyDescent="0.25">
      <c r="A36" s="155"/>
      <c r="B36" s="156" t="s">
        <v>204</v>
      </c>
      <c r="C36" s="156"/>
      <c r="D36" s="157">
        <v>6396100</v>
      </c>
      <c r="E36" s="157"/>
      <c r="F36" s="157">
        <v>4093407</v>
      </c>
      <c r="G36" s="157"/>
      <c r="H36" s="157">
        <v>5917049</v>
      </c>
      <c r="I36" s="157"/>
      <c r="J36" s="157">
        <v>2984932</v>
      </c>
      <c r="K36" s="157"/>
      <c r="L36" s="157">
        <v>19391488</v>
      </c>
      <c r="M36" s="158"/>
      <c r="N36" s="184"/>
      <c r="O36" s="184"/>
      <c r="P36" s="184"/>
      <c r="Q36" s="186"/>
      <c r="R36" s="151" t="s">
        <v>9</v>
      </c>
      <c r="S36" s="151" t="s">
        <v>48</v>
      </c>
      <c r="T36" s="136" t="s">
        <v>48</v>
      </c>
      <c r="U36" s="136" t="s">
        <v>9</v>
      </c>
      <c r="V36" s="185">
        <v>284289</v>
      </c>
      <c r="W36" s="185">
        <v>125450</v>
      </c>
      <c r="X36" s="185">
        <v>84134</v>
      </c>
      <c r="Y36" s="185">
        <v>81557</v>
      </c>
      <c r="Z36" s="185">
        <v>575430</v>
      </c>
      <c r="AB36" s="136">
        <f t="shared" si="3"/>
        <v>0.49404619154371515</v>
      </c>
      <c r="AC36" s="136">
        <f t="shared" si="4"/>
        <v>0.21801087882105555</v>
      </c>
      <c r="AD36" s="136">
        <f t="shared" si="5"/>
        <v>0.14621065985436976</v>
      </c>
      <c r="AE36" s="136">
        <f t="shared" si="6"/>
        <v>0.14173226978085954</v>
      </c>
    </row>
    <row r="37" spans="1:31" ht="21.1" customHeight="1" x14ac:dyDescent="0.25">
      <c r="A37" s="160"/>
      <c r="M37" s="162"/>
      <c r="R37" s="161" t="s">
        <v>68</v>
      </c>
      <c r="S37" s="161" t="s">
        <v>49</v>
      </c>
      <c r="T37" s="136" t="s">
        <v>49</v>
      </c>
      <c r="U37" s="136" t="s">
        <v>68</v>
      </c>
      <c r="V37" s="185">
        <v>205200</v>
      </c>
      <c r="W37" s="185">
        <v>337306</v>
      </c>
      <c r="X37" s="185">
        <v>43243</v>
      </c>
      <c r="Y37" s="185">
        <v>53998</v>
      </c>
      <c r="Z37" s="185">
        <v>639747</v>
      </c>
      <c r="AB37" s="136">
        <f t="shared" si="3"/>
        <v>0.3207517971948286</v>
      </c>
      <c r="AC37" s="136">
        <f t="shared" si="4"/>
        <v>0.52724905314131998</v>
      </c>
      <c r="AD37" s="136">
        <f t="shared" si="5"/>
        <v>6.7593908216841969E-2</v>
      </c>
      <c r="AE37" s="136">
        <f t="shared" si="6"/>
        <v>8.4405241447009519E-2</v>
      </c>
    </row>
    <row r="38" spans="1:31" ht="21.1" customHeight="1" x14ac:dyDescent="0.25">
      <c r="A38" s="163" t="s">
        <v>225</v>
      </c>
      <c r="B38" s="164"/>
      <c r="C38" s="164"/>
      <c r="D38" s="164"/>
      <c r="E38" s="164"/>
      <c r="F38" s="164"/>
      <c r="G38" s="164"/>
      <c r="H38" s="164"/>
      <c r="I38" s="164"/>
      <c r="J38" s="164"/>
      <c r="K38" s="164"/>
      <c r="L38" s="164"/>
      <c r="M38" s="165"/>
      <c r="R38" s="161" t="s">
        <v>10</v>
      </c>
      <c r="S38" s="161" t="s">
        <v>50</v>
      </c>
      <c r="T38" s="136" t="s">
        <v>50</v>
      </c>
      <c r="U38" s="136" t="s">
        <v>10</v>
      </c>
      <c r="V38" s="185">
        <v>122048</v>
      </c>
      <c r="W38" s="185">
        <v>371962</v>
      </c>
      <c r="X38" s="185">
        <v>52954</v>
      </c>
      <c r="Y38" s="185">
        <v>181616</v>
      </c>
      <c r="Z38" s="185">
        <v>728580</v>
      </c>
      <c r="AB38" s="136">
        <f t="shared" si="3"/>
        <v>0.16751489198166297</v>
      </c>
      <c r="AC38" s="136">
        <f t="shared" si="4"/>
        <v>0.51053007219522906</v>
      </c>
      <c r="AD38" s="136">
        <f t="shared" si="5"/>
        <v>7.2681105712481819E-2</v>
      </c>
      <c r="AE38" s="136">
        <f t="shared" si="6"/>
        <v>0.24927393011062615</v>
      </c>
    </row>
    <row r="39" spans="1:31" ht="21.1" customHeight="1" x14ac:dyDescent="0.25">
      <c r="A39" s="166" t="s">
        <v>226</v>
      </c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8"/>
      <c r="R39" s="161" t="s">
        <v>69</v>
      </c>
      <c r="S39" s="161" t="s">
        <v>51</v>
      </c>
      <c r="T39" s="136" t="s">
        <v>51</v>
      </c>
      <c r="U39" s="136" t="s">
        <v>69</v>
      </c>
      <c r="V39" s="185">
        <v>165802</v>
      </c>
      <c r="W39" s="185">
        <v>140053</v>
      </c>
      <c r="X39" s="185">
        <v>370909</v>
      </c>
      <c r="Y39" s="185">
        <v>328796</v>
      </c>
      <c r="Z39" s="185">
        <v>1005560</v>
      </c>
      <c r="AB39" s="136">
        <f t="shared" si="3"/>
        <v>0.16488523807629579</v>
      </c>
      <c r="AC39" s="136">
        <f t="shared" si="4"/>
        <v>0.13927861092326663</v>
      </c>
      <c r="AD39" s="136">
        <f t="shared" si="5"/>
        <v>0.36885814869326544</v>
      </c>
      <c r="AE39" s="136">
        <f t="shared" si="6"/>
        <v>0.32697800230717211</v>
      </c>
    </row>
    <row r="40" spans="1:31" ht="21.1" customHeight="1" x14ac:dyDescent="0.25">
      <c r="R40" s="161" t="s">
        <v>70</v>
      </c>
      <c r="S40" s="161" t="s">
        <v>52</v>
      </c>
      <c r="T40" s="136" t="s">
        <v>52</v>
      </c>
      <c r="U40" s="136" t="s">
        <v>70</v>
      </c>
      <c r="V40" s="185">
        <v>37234</v>
      </c>
      <c r="W40" s="185">
        <v>524631</v>
      </c>
      <c r="X40" s="185">
        <v>609</v>
      </c>
      <c r="Y40" s="185">
        <v>17923</v>
      </c>
      <c r="Z40" s="185">
        <v>580397</v>
      </c>
      <c r="AB40" s="136">
        <f t="shared" si="3"/>
        <v>6.4152640347899803E-2</v>
      </c>
      <c r="AC40" s="136">
        <f t="shared" si="4"/>
        <v>0.90391749095877472</v>
      </c>
      <c r="AD40" s="136">
        <f t="shared" si="5"/>
        <v>1.0492817847094315E-3</v>
      </c>
      <c r="AE40" s="136">
        <f t="shared" si="6"/>
        <v>3.0880586908616E-2</v>
      </c>
    </row>
    <row r="42" spans="1:31" s="126" customFormat="1" ht="21.1" customHeight="1" x14ac:dyDescent="0.25">
      <c r="A42" s="200" t="s">
        <v>212</v>
      </c>
      <c r="B42" s="200"/>
      <c r="C42" s="200"/>
      <c r="D42" s="200"/>
      <c r="E42" s="200"/>
      <c r="F42" s="200"/>
      <c r="G42" s="200"/>
      <c r="H42" s="200"/>
      <c r="I42" s="200"/>
      <c r="J42" s="200"/>
      <c r="K42" s="200"/>
      <c r="Q42" s="188"/>
    </row>
    <row r="43" spans="1:31" s="126" customFormat="1" ht="21.1" customHeight="1" x14ac:dyDescent="0.25">
      <c r="A43" s="200"/>
      <c r="B43" s="200"/>
      <c r="C43" s="200"/>
      <c r="D43" s="200"/>
      <c r="E43" s="200"/>
      <c r="F43" s="200"/>
      <c r="G43" s="200"/>
      <c r="H43" s="200"/>
      <c r="I43" s="200"/>
      <c r="J43" s="200"/>
      <c r="K43" s="200"/>
      <c r="Q43" s="188"/>
    </row>
    <row r="44" spans="1:31" s="126" customFormat="1" ht="21.1" customHeight="1" x14ac:dyDescent="0.25">
      <c r="A44" s="128" t="s">
        <v>227</v>
      </c>
      <c r="B44" s="129"/>
      <c r="C44" s="129"/>
      <c r="D44" s="129"/>
      <c r="E44" s="129"/>
      <c r="F44" s="129"/>
      <c r="G44" s="129"/>
      <c r="H44" s="129"/>
      <c r="I44" s="129"/>
      <c r="J44" s="129"/>
      <c r="K44" s="169"/>
      <c r="Q44" s="188"/>
    </row>
    <row r="45" spans="1:31" s="126" customFormat="1" ht="21.1" customHeight="1" x14ac:dyDescent="0.25">
      <c r="A45" s="131" t="s">
        <v>214</v>
      </c>
      <c r="B45" s="132"/>
      <c r="C45" s="132"/>
      <c r="D45" s="132"/>
      <c r="E45" s="132"/>
      <c r="F45" s="132"/>
      <c r="G45" s="132"/>
      <c r="H45" s="132"/>
      <c r="I45" s="132"/>
      <c r="J45" s="132"/>
      <c r="K45" s="133"/>
      <c r="Q45" s="188"/>
    </row>
    <row r="46" spans="1:31" s="136" customFormat="1" ht="21.1" customHeight="1" x14ac:dyDescent="0.25">
      <c r="A46" s="170"/>
      <c r="B46" s="170"/>
      <c r="C46" s="170"/>
      <c r="D46" s="170"/>
      <c r="E46" s="170"/>
      <c r="F46" s="145"/>
      <c r="Q46" s="186"/>
    </row>
    <row r="47" spans="1:31" s="136" customFormat="1" ht="21.1" customHeight="1" x14ac:dyDescent="0.3">
      <c r="A47" s="190" t="s">
        <v>215</v>
      </c>
      <c r="B47" s="193" t="s">
        <v>216</v>
      </c>
      <c r="C47" s="134"/>
      <c r="D47" s="196" t="s">
        <v>217</v>
      </c>
      <c r="E47" s="196"/>
      <c r="F47" s="196"/>
      <c r="G47" s="196"/>
      <c r="H47" s="196"/>
      <c r="I47" s="196"/>
      <c r="J47" s="196"/>
      <c r="K47" s="197"/>
      <c r="Q47" s="186"/>
    </row>
    <row r="48" spans="1:31" s="136" customFormat="1" ht="21.1" customHeight="1" x14ac:dyDescent="0.3">
      <c r="A48" s="191"/>
      <c r="B48" s="194"/>
      <c r="C48" s="137"/>
      <c r="D48" s="201" t="s">
        <v>218</v>
      </c>
      <c r="E48" s="201"/>
      <c r="F48" s="201"/>
      <c r="G48" s="138"/>
      <c r="H48" s="201" t="s">
        <v>219</v>
      </c>
      <c r="I48" s="201"/>
      <c r="J48" s="201"/>
      <c r="K48" s="139"/>
      <c r="Q48" s="186"/>
    </row>
    <row r="49" spans="1:17" s="136" customFormat="1" ht="21.1" customHeight="1" x14ac:dyDescent="0.3">
      <c r="A49" s="192"/>
      <c r="B49" s="195"/>
      <c r="C49" s="140"/>
      <c r="D49" s="135" t="s">
        <v>220</v>
      </c>
      <c r="E49" s="141"/>
      <c r="F49" s="135" t="s">
        <v>221</v>
      </c>
      <c r="G49" s="141"/>
      <c r="H49" s="135" t="s">
        <v>220</v>
      </c>
      <c r="I49" s="141"/>
      <c r="J49" s="135" t="s">
        <v>221</v>
      </c>
      <c r="K49" s="143"/>
      <c r="Q49" s="186"/>
    </row>
    <row r="50" spans="1:17" s="136" customFormat="1" ht="21.1" customHeight="1" x14ac:dyDescent="0.25">
      <c r="A50" s="144"/>
      <c r="B50" s="145"/>
      <c r="C50" s="145"/>
      <c r="K50" s="146"/>
      <c r="Q50" s="186"/>
    </row>
    <row r="51" spans="1:17" s="136" customFormat="1" ht="21.1" customHeight="1" x14ac:dyDescent="0.25">
      <c r="A51" s="147" t="s">
        <v>25</v>
      </c>
      <c r="B51" s="148" t="s">
        <v>53</v>
      </c>
      <c r="C51" s="148"/>
      <c r="D51" s="149">
        <v>48</v>
      </c>
      <c r="E51" s="149"/>
      <c r="F51" s="149">
        <v>38</v>
      </c>
      <c r="G51" s="149"/>
      <c r="H51" s="149">
        <v>37</v>
      </c>
      <c r="I51" s="149"/>
      <c r="J51" s="149">
        <v>22</v>
      </c>
      <c r="K51" s="150"/>
      <c r="Q51" s="186"/>
    </row>
    <row r="52" spans="1:17" s="136" customFormat="1" ht="21.1" customHeight="1" collapsed="1" x14ac:dyDescent="0.25">
      <c r="A52" s="147" t="s">
        <v>222</v>
      </c>
      <c r="B52" s="148" t="s">
        <v>223</v>
      </c>
      <c r="C52" s="148"/>
      <c r="D52" s="149">
        <v>48</v>
      </c>
      <c r="E52" s="149"/>
      <c r="F52" s="149">
        <v>46</v>
      </c>
      <c r="G52" s="149"/>
      <c r="H52" s="149">
        <v>42</v>
      </c>
      <c r="I52" s="149"/>
      <c r="J52" s="149">
        <v>37</v>
      </c>
      <c r="K52" s="150"/>
      <c r="Q52" s="186"/>
    </row>
    <row r="53" spans="1:17" s="136" customFormat="1" ht="21.1" customHeight="1" x14ac:dyDescent="0.25">
      <c r="A53" s="147" t="s">
        <v>31</v>
      </c>
      <c r="B53" s="148" t="s">
        <v>54</v>
      </c>
      <c r="C53" s="148"/>
      <c r="D53" s="149">
        <v>49</v>
      </c>
      <c r="E53" s="149"/>
      <c r="F53" s="149">
        <v>44</v>
      </c>
      <c r="G53" s="149"/>
      <c r="H53" s="149">
        <v>45</v>
      </c>
      <c r="I53" s="149"/>
      <c r="J53" s="149">
        <v>28</v>
      </c>
      <c r="K53" s="150"/>
      <c r="Q53" s="186"/>
    </row>
    <row r="54" spans="1:17" s="136" customFormat="1" ht="21.1" customHeight="1" collapsed="1" x14ac:dyDescent="0.25">
      <c r="A54" s="147" t="s">
        <v>32</v>
      </c>
      <c r="B54" s="148" t="s">
        <v>55</v>
      </c>
      <c r="C54" s="148"/>
      <c r="D54" s="149">
        <v>47</v>
      </c>
      <c r="E54" s="149"/>
      <c r="F54" s="149">
        <v>45</v>
      </c>
      <c r="G54" s="149"/>
      <c r="H54" s="149">
        <v>44</v>
      </c>
      <c r="I54" s="149"/>
      <c r="J54" s="149">
        <v>35</v>
      </c>
      <c r="K54" s="150"/>
      <c r="Q54" s="186"/>
    </row>
    <row r="55" spans="1:17" s="136" customFormat="1" ht="21.1" customHeight="1" x14ac:dyDescent="0.25">
      <c r="A55" s="147" t="s">
        <v>33</v>
      </c>
      <c r="B55" s="148" t="s">
        <v>56</v>
      </c>
      <c r="C55" s="148"/>
      <c r="D55" s="149">
        <v>47</v>
      </c>
      <c r="E55" s="149"/>
      <c r="F55" s="149">
        <v>45</v>
      </c>
      <c r="G55" s="149"/>
      <c r="H55" s="149">
        <v>42</v>
      </c>
      <c r="I55" s="149"/>
      <c r="J55" s="149">
        <v>27</v>
      </c>
      <c r="K55" s="150"/>
      <c r="Q55" s="186"/>
    </row>
    <row r="56" spans="1:17" s="136" customFormat="1" ht="21.1" customHeight="1" collapsed="1" x14ac:dyDescent="0.25">
      <c r="A56" s="147" t="s">
        <v>34</v>
      </c>
      <c r="B56" s="148" t="s">
        <v>57</v>
      </c>
      <c r="C56" s="148"/>
      <c r="D56" s="149">
        <v>46</v>
      </c>
      <c r="E56" s="149"/>
      <c r="F56" s="149">
        <v>44</v>
      </c>
      <c r="G56" s="149"/>
      <c r="H56" s="149">
        <v>40</v>
      </c>
      <c r="I56" s="149"/>
      <c r="J56" s="149">
        <v>29</v>
      </c>
      <c r="K56" s="150"/>
      <c r="Q56" s="186"/>
    </row>
    <row r="57" spans="1:17" s="136" customFormat="1" ht="21.1" customHeight="1" x14ac:dyDescent="0.25">
      <c r="A57" s="147" t="s">
        <v>35</v>
      </c>
      <c r="B57" s="148" t="s">
        <v>58</v>
      </c>
      <c r="C57" s="148"/>
      <c r="D57" s="149">
        <v>47</v>
      </c>
      <c r="E57" s="149"/>
      <c r="F57" s="149">
        <v>44</v>
      </c>
      <c r="G57" s="149"/>
      <c r="H57" s="149">
        <v>43</v>
      </c>
      <c r="I57" s="149"/>
      <c r="J57" s="149">
        <v>34</v>
      </c>
      <c r="K57" s="150"/>
      <c r="Q57" s="186"/>
    </row>
    <row r="58" spans="1:17" s="136" customFormat="1" ht="21.1" customHeight="1" collapsed="1" x14ac:dyDescent="0.25">
      <c r="A58" s="147" t="s">
        <v>36</v>
      </c>
      <c r="B58" s="148" t="s">
        <v>59</v>
      </c>
      <c r="C58" s="148"/>
      <c r="D58" s="149">
        <v>45</v>
      </c>
      <c r="E58" s="149"/>
      <c r="F58" s="149">
        <v>41</v>
      </c>
      <c r="G58" s="149"/>
      <c r="H58" s="149">
        <v>43</v>
      </c>
      <c r="I58" s="149"/>
      <c r="J58" s="149">
        <v>30</v>
      </c>
      <c r="K58" s="150"/>
      <c r="Q58" s="186"/>
    </row>
    <row r="59" spans="1:17" s="136" customFormat="1" ht="21.1" customHeight="1" x14ac:dyDescent="0.25">
      <c r="A59" s="147" t="s">
        <v>224</v>
      </c>
      <c r="B59" s="148" t="s">
        <v>60</v>
      </c>
      <c r="C59" s="148"/>
      <c r="D59" s="149">
        <v>48</v>
      </c>
      <c r="E59" s="149"/>
      <c r="F59" s="149">
        <v>41</v>
      </c>
      <c r="G59" s="149"/>
      <c r="H59" s="149">
        <v>41</v>
      </c>
      <c r="I59" s="149"/>
      <c r="J59" s="149">
        <v>39</v>
      </c>
      <c r="K59" s="150"/>
      <c r="Q59" s="186"/>
    </row>
    <row r="60" spans="1:17" s="136" customFormat="1" ht="21.1" customHeight="1" collapsed="1" x14ac:dyDescent="0.25">
      <c r="A60" s="147" t="s">
        <v>37</v>
      </c>
      <c r="B60" s="148" t="s">
        <v>61</v>
      </c>
      <c r="C60" s="148"/>
      <c r="D60" s="149">
        <v>46</v>
      </c>
      <c r="E60" s="149"/>
      <c r="F60" s="149">
        <v>40</v>
      </c>
      <c r="G60" s="149"/>
      <c r="H60" s="149">
        <v>42</v>
      </c>
      <c r="I60" s="149"/>
      <c r="J60" s="149">
        <v>31</v>
      </c>
      <c r="K60" s="150"/>
      <c r="Q60" s="186"/>
    </row>
    <row r="61" spans="1:17" s="136" customFormat="1" ht="21.1" customHeight="1" x14ac:dyDescent="0.25">
      <c r="A61" s="147" t="s">
        <v>38</v>
      </c>
      <c r="B61" s="148" t="s">
        <v>3</v>
      </c>
      <c r="C61" s="148"/>
      <c r="D61" s="149">
        <v>46</v>
      </c>
      <c r="E61" s="149"/>
      <c r="F61" s="149">
        <v>43</v>
      </c>
      <c r="G61" s="149"/>
      <c r="H61" s="149">
        <v>41</v>
      </c>
      <c r="I61" s="149"/>
      <c r="J61" s="149">
        <v>29</v>
      </c>
      <c r="K61" s="150"/>
      <c r="Q61" s="186"/>
    </row>
    <row r="62" spans="1:17" s="136" customFormat="1" ht="21.1" customHeight="1" collapsed="1" x14ac:dyDescent="0.25">
      <c r="A62" s="147" t="s">
        <v>39</v>
      </c>
      <c r="B62" s="148" t="s">
        <v>4</v>
      </c>
      <c r="C62" s="148"/>
      <c r="D62" s="149">
        <v>48</v>
      </c>
      <c r="E62" s="149"/>
      <c r="F62" s="149">
        <v>44</v>
      </c>
      <c r="G62" s="149"/>
      <c r="H62" s="149">
        <v>41</v>
      </c>
      <c r="I62" s="149"/>
      <c r="J62" s="149">
        <v>34</v>
      </c>
      <c r="K62" s="150"/>
      <c r="Q62" s="186"/>
    </row>
    <row r="63" spans="1:17" s="136" customFormat="1" ht="21.1" customHeight="1" x14ac:dyDescent="0.25">
      <c r="A63" s="147" t="s">
        <v>40</v>
      </c>
      <c r="B63" s="148" t="s">
        <v>5</v>
      </c>
      <c r="C63" s="148"/>
      <c r="D63" s="149">
        <v>46</v>
      </c>
      <c r="E63" s="149"/>
      <c r="F63" s="149">
        <v>43</v>
      </c>
      <c r="G63" s="149"/>
      <c r="H63" s="149">
        <v>38</v>
      </c>
      <c r="I63" s="149"/>
      <c r="J63" s="149">
        <v>28</v>
      </c>
      <c r="K63" s="150"/>
      <c r="Q63" s="186"/>
    </row>
    <row r="64" spans="1:17" s="136" customFormat="1" ht="21.1" customHeight="1" collapsed="1" x14ac:dyDescent="0.25">
      <c r="A64" s="147" t="s">
        <v>41</v>
      </c>
      <c r="B64" s="148" t="s">
        <v>62</v>
      </c>
      <c r="C64" s="148"/>
      <c r="D64" s="149">
        <v>50</v>
      </c>
      <c r="E64" s="149"/>
      <c r="F64" s="149">
        <v>45</v>
      </c>
      <c r="G64" s="149"/>
      <c r="H64" s="149">
        <v>48</v>
      </c>
      <c r="I64" s="149"/>
      <c r="J64" s="149">
        <v>35</v>
      </c>
      <c r="K64" s="150"/>
      <c r="Q64" s="186"/>
    </row>
    <row r="65" spans="1:17" s="136" customFormat="1" ht="21.1" customHeight="1" x14ac:dyDescent="0.25">
      <c r="A65" s="147" t="s">
        <v>42</v>
      </c>
      <c r="B65" s="148" t="s">
        <v>63</v>
      </c>
      <c r="C65" s="148"/>
      <c r="D65" s="149">
        <v>52</v>
      </c>
      <c r="E65" s="149"/>
      <c r="F65" s="149">
        <v>43</v>
      </c>
      <c r="G65" s="149"/>
      <c r="H65" s="149">
        <v>52</v>
      </c>
      <c r="I65" s="149"/>
      <c r="J65" s="149">
        <v>38</v>
      </c>
      <c r="K65" s="150"/>
      <c r="Q65" s="186"/>
    </row>
    <row r="66" spans="1:17" s="136" customFormat="1" ht="21.1" customHeight="1" collapsed="1" x14ac:dyDescent="0.25">
      <c r="A66" s="147" t="s">
        <v>43</v>
      </c>
      <c r="B66" s="148" t="s">
        <v>64</v>
      </c>
      <c r="C66" s="148"/>
      <c r="D66" s="149">
        <v>47</v>
      </c>
      <c r="E66" s="149"/>
      <c r="F66" s="149">
        <v>44</v>
      </c>
      <c r="G66" s="149"/>
      <c r="H66" s="149">
        <v>45</v>
      </c>
      <c r="I66" s="149"/>
      <c r="J66" s="149">
        <v>34</v>
      </c>
      <c r="K66" s="150"/>
      <c r="Q66" s="186"/>
    </row>
    <row r="67" spans="1:17" s="136" customFormat="1" ht="21.1" customHeight="1" x14ac:dyDescent="0.25">
      <c r="A67" s="147" t="s">
        <v>44</v>
      </c>
      <c r="B67" s="148" t="s">
        <v>65</v>
      </c>
      <c r="C67" s="148"/>
      <c r="D67" s="149">
        <v>45</v>
      </c>
      <c r="E67" s="149"/>
      <c r="F67" s="149">
        <v>43</v>
      </c>
      <c r="G67" s="149"/>
      <c r="H67" s="149">
        <v>45</v>
      </c>
      <c r="I67" s="149"/>
      <c r="J67" s="149">
        <v>38</v>
      </c>
      <c r="K67" s="150"/>
      <c r="Q67" s="186"/>
    </row>
    <row r="68" spans="1:17" s="136" customFormat="1" ht="21.1" customHeight="1" collapsed="1" x14ac:dyDescent="0.25">
      <c r="A68" s="147" t="s">
        <v>45</v>
      </c>
      <c r="B68" s="148" t="s">
        <v>66</v>
      </c>
      <c r="C68" s="148"/>
      <c r="D68" s="149">
        <v>45</v>
      </c>
      <c r="E68" s="149"/>
      <c r="F68" s="149">
        <v>41</v>
      </c>
      <c r="G68" s="149"/>
      <c r="H68" s="149">
        <v>41</v>
      </c>
      <c r="I68" s="149"/>
      <c r="J68" s="149">
        <v>35</v>
      </c>
      <c r="K68" s="150"/>
      <c r="Q68" s="186"/>
    </row>
    <row r="69" spans="1:17" s="136" customFormat="1" ht="21.1" customHeight="1" x14ac:dyDescent="0.25">
      <c r="A69" s="147" t="s">
        <v>46</v>
      </c>
      <c r="B69" s="148" t="s">
        <v>6</v>
      </c>
      <c r="C69" s="148"/>
      <c r="D69" s="149">
        <v>53</v>
      </c>
      <c r="E69" s="149"/>
      <c r="F69" s="149">
        <v>42</v>
      </c>
      <c r="G69" s="149"/>
      <c r="H69" s="149">
        <v>36</v>
      </c>
      <c r="I69" s="149"/>
      <c r="J69" s="149">
        <v>33</v>
      </c>
      <c r="K69" s="150"/>
      <c r="Q69" s="186"/>
    </row>
    <row r="70" spans="1:17" s="136" customFormat="1" ht="21.1" customHeight="1" collapsed="1" x14ac:dyDescent="0.25">
      <c r="A70" s="147" t="s">
        <v>47</v>
      </c>
      <c r="B70" s="148" t="s">
        <v>67</v>
      </c>
      <c r="C70" s="148"/>
      <c r="D70" s="149">
        <v>47</v>
      </c>
      <c r="E70" s="149"/>
      <c r="F70" s="149">
        <v>42</v>
      </c>
      <c r="G70" s="149"/>
      <c r="H70" s="149">
        <v>39</v>
      </c>
      <c r="I70" s="149"/>
      <c r="J70" s="149">
        <v>29</v>
      </c>
      <c r="K70" s="150"/>
      <c r="Q70" s="186"/>
    </row>
    <row r="71" spans="1:17" s="136" customFormat="1" ht="21.1" customHeight="1" x14ac:dyDescent="0.25">
      <c r="A71" s="147" t="s">
        <v>48</v>
      </c>
      <c r="B71" s="148" t="s">
        <v>9</v>
      </c>
      <c r="C71" s="148"/>
      <c r="D71" s="149">
        <v>51</v>
      </c>
      <c r="E71" s="149"/>
      <c r="F71" s="149">
        <v>41</v>
      </c>
      <c r="G71" s="149"/>
      <c r="H71" s="149">
        <v>40</v>
      </c>
      <c r="I71" s="149"/>
      <c r="J71" s="149">
        <v>40</v>
      </c>
      <c r="K71" s="150"/>
      <c r="Q71" s="186"/>
    </row>
    <row r="72" spans="1:17" s="136" customFormat="1" ht="21.1" customHeight="1" collapsed="1" x14ac:dyDescent="0.25">
      <c r="A72" s="147" t="s">
        <v>49</v>
      </c>
      <c r="B72" s="148" t="s">
        <v>68</v>
      </c>
      <c r="C72" s="148"/>
      <c r="D72" s="149">
        <v>36</v>
      </c>
      <c r="E72" s="149"/>
      <c r="F72" s="149">
        <v>34</v>
      </c>
      <c r="G72" s="149"/>
      <c r="H72" s="149">
        <v>28</v>
      </c>
      <c r="I72" s="149"/>
      <c r="J72" s="149">
        <v>28</v>
      </c>
      <c r="K72" s="150"/>
      <c r="Q72" s="186"/>
    </row>
    <row r="73" spans="1:17" s="136" customFormat="1" ht="21.1" customHeight="1" x14ac:dyDescent="0.25">
      <c r="A73" s="147" t="s">
        <v>50</v>
      </c>
      <c r="B73" s="148" t="s">
        <v>10</v>
      </c>
      <c r="C73" s="148"/>
      <c r="D73" s="149">
        <v>46</v>
      </c>
      <c r="E73" s="149"/>
      <c r="F73" s="149">
        <v>43</v>
      </c>
      <c r="G73" s="149"/>
      <c r="H73" s="149">
        <v>45</v>
      </c>
      <c r="I73" s="149"/>
      <c r="J73" s="149">
        <v>37</v>
      </c>
      <c r="K73" s="150"/>
      <c r="Q73" s="186"/>
    </row>
    <row r="74" spans="1:17" s="136" customFormat="1" ht="21.1" customHeight="1" collapsed="1" x14ac:dyDescent="0.25">
      <c r="A74" s="147" t="s">
        <v>51</v>
      </c>
      <c r="B74" s="148" t="s">
        <v>69</v>
      </c>
      <c r="C74" s="148"/>
      <c r="D74" s="149">
        <v>45</v>
      </c>
      <c r="E74" s="149"/>
      <c r="F74" s="149">
        <v>42</v>
      </c>
      <c r="G74" s="149"/>
      <c r="H74" s="149">
        <v>40</v>
      </c>
      <c r="I74" s="149"/>
      <c r="J74" s="149">
        <v>29</v>
      </c>
      <c r="K74" s="150"/>
      <c r="Q74" s="186"/>
    </row>
    <row r="75" spans="1:17" s="136" customFormat="1" ht="21.1" customHeight="1" x14ac:dyDescent="0.25">
      <c r="A75" s="171" t="s">
        <v>52</v>
      </c>
      <c r="B75" s="172" t="s">
        <v>70</v>
      </c>
      <c r="C75" s="172"/>
      <c r="D75" s="173">
        <v>44</v>
      </c>
      <c r="E75" s="173"/>
      <c r="F75" s="173">
        <v>39</v>
      </c>
      <c r="G75" s="173"/>
      <c r="H75" s="173">
        <v>32</v>
      </c>
      <c r="I75" s="173"/>
      <c r="J75" s="173">
        <v>27</v>
      </c>
      <c r="K75" s="174"/>
      <c r="Q75" s="186"/>
    </row>
    <row r="76" spans="1:17" ht="21.1" customHeight="1" x14ac:dyDescent="0.2">
      <c r="A76" s="160"/>
      <c r="K76" s="162"/>
    </row>
    <row r="77" spans="1:17" ht="21.1" customHeight="1" x14ac:dyDescent="0.2">
      <c r="A77" s="163" t="s">
        <v>225</v>
      </c>
      <c r="B77" s="164"/>
      <c r="C77" s="164"/>
      <c r="D77" s="164"/>
      <c r="E77" s="164"/>
      <c r="F77" s="164"/>
      <c r="G77" s="164"/>
      <c r="H77" s="164"/>
      <c r="I77" s="164"/>
      <c r="J77" s="164"/>
      <c r="K77" s="165"/>
    </row>
    <row r="78" spans="1:17" ht="21.1" customHeight="1" x14ac:dyDescent="0.2">
      <c r="A78" s="166" t="s">
        <v>226</v>
      </c>
      <c r="B78" s="167"/>
      <c r="C78" s="167"/>
      <c r="D78" s="167"/>
      <c r="E78" s="167"/>
      <c r="F78" s="167"/>
      <c r="G78" s="167"/>
      <c r="H78" s="167"/>
      <c r="I78" s="167"/>
      <c r="J78" s="167"/>
      <c r="K78" s="168"/>
    </row>
    <row r="81" spans="1:17" s="126" customFormat="1" ht="21.1" customHeight="1" x14ac:dyDescent="0.25">
      <c r="A81" s="200" t="s">
        <v>212</v>
      </c>
      <c r="B81" s="200"/>
      <c r="C81" s="200"/>
      <c r="D81" s="200"/>
      <c r="E81" s="200"/>
      <c r="F81" s="200"/>
      <c r="G81" s="200"/>
      <c r="H81" s="200"/>
      <c r="I81" s="200"/>
      <c r="J81" s="200"/>
      <c r="K81" s="200"/>
      <c r="Q81" s="188"/>
    </row>
    <row r="82" spans="1:17" s="126" customFormat="1" ht="21.1" customHeight="1" x14ac:dyDescent="0.25">
      <c r="A82" s="200"/>
      <c r="B82" s="200"/>
      <c r="C82" s="200"/>
      <c r="D82" s="200"/>
      <c r="E82" s="200"/>
      <c r="F82" s="200"/>
      <c r="G82" s="200"/>
      <c r="H82" s="200"/>
      <c r="I82" s="200"/>
      <c r="J82" s="200"/>
      <c r="K82" s="200"/>
      <c r="Q82" s="188"/>
    </row>
    <row r="83" spans="1:17" s="126" customFormat="1" ht="21.1" customHeight="1" x14ac:dyDescent="0.25">
      <c r="A83" s="128" t="s">
        <v>228</v>
      </c>
      <c r="B83" s="129"/>
      <c r="C83" s="129"/>
      <c r="D83" s="129"/>
      <c r="E83" s="129"/>
      <c r="F83" s="129"/>
      <c r="G83" s="129"/>
      <c r="H83" s="129"/>
      <c r="I83" s="129"/>
      <c r="J83" s="129"/>
      <c r="K83" s="169"/>
      <c r="Q83" s="188"/>
    </row>
    <row r="84" spans="1:17" s="126" customFormat="1" ht="21.1" customHeight="1" x14ac:dyDescent="0.25">
      <c r="A84" s="131" t="s">
        <v>214</v>
      </c>
      <c r="B84" s="132"/>
      <c r="C84" s="132"/>
      <c r="D84" s="132"/>
      <c r="E84" s="132"/>
      <c r="F84" s="132"/>
      <c r="G84" s="132"/>
      <c r="H84" s="132"/>
      <c r="I84" s="132"/>
      <c r="J84" s="132"/>
      <c r="K84" s="133"/>
      <c r="Q84" s="188"/>
    </row>
    <row r="85" spans="1:17" s="136" customFormat="1" ht="21.1" customHeight="1" x14ac:dyDescent="0.25">
      <c r="A85" s="170"/>
      <c r="B85" s="170"/>
      <c r="C85" s="170"/>
      <c r="D85" s="170"/>
      <c r="E85" s="170"/>
      <c r="F85" s="145"/>
      <c r="Q85" s="186"/>
    </row>
    <row r="86" spans="1:17" s="136" customFormat="1" ht="21.1" customHeight="1" x14ac:dyDescent="0.3">
      <c r="A86" s="202" t="s">
        <v>215</v>
      </c>
      <c r="B86" s="193" t="s">
        <v>216</v>
      </c>
      <c r="C86" s="134"/>
      <c r="D86" s="196" t="s">
        <v>217</v>
      </c>
      <c r="E86" s="196"/>
      <c r="F86" s="196"/>
      <c r="G86" s="196"/>
      <c r="H86" s="196"/>
      <c r="I86" s="196"/>
      <c r="J86" s="196"/>
      <c r="K86" s="175"/>
      <c r="Q86" s="186"/>
    </row>
    <row r="87" spans="1:17" s="136" customFormat="1" ht="21.1" customHeight="1" x14ac:dyDescent="0.3">
      <c r="A87" s="203"/>
      <c r="B87" s="194"/>
      <c r="C87" s="137"/>
      <c r="D87" s="196" t="s">
        <v>218</v>
      </c>
      <c r="E87" s="196"/>
      <c r="F87" s="196"/>
      <c r="G87" s="138"/>
      <c r="H87" s="196" t="s">
        <v>219</v>
      </c>
      <c r="I87" s="196"/>
      <c r="J87" s="196"/>
      <c r="K87" s="139"/>
      <c r="Q87" s="186"/>
    </row>
    <row r="88" spans="1:17" s="136" customFormat="1" ht="21.1" customHeight="1" x14ac:dyDescent="0.3">
      <c r="A88" s="204"/>
      <c r="B88" s="195"/>
      <c r="C88" s="140"/>
      <c r="D88" s="176" t="s">
        <v>220</v>
      </c>
      <c r="E88" s="142"/>
      <c r="F88" s="176" t="s">
        <v>221</v>
      </c>
      <c r="G88" s="142"/>
      <c r="H88" s="176" t="s">
        <v>220</v>
      </c>
      <c r="I88" s="142"/>
      <c r="J88" s="176" t="s">
        <v>221</v>
      </c>
      <c r="K88" s="143"/>
      <c r="Q88" s="186"/>
    </row>
    <row r="89" spans="1:17" s="136" customFormat="1" ht="21.1" customHeight="1" x14ac:dyDescent="0.25">
      <c r="A89" s="144"/>
      <c r="B89" s="145"/>
      <c r="C89" s="145"/>
      <c r="K89" s="146"/>
      <c r="Q89" s="186"/>
    </row>
    <row r="90" spans="1:17" s="136" customFormat="1" ht="21.1" customHeight="1" x14ac:dyDescent="0.25">
      <c r="A90" s="147" t="s">
        <v>25</v>
      </c>
      <c r="B90" s="148" t="s">
        <v>53</v>
      </c>
      <c r="C90" s="148"/>
      <c r="D90" s="125">
        <v>1</v>
      </c>
      <c r="E90" s="125"/>
      <c r="F90" s="125">
        <v>0.79</v>
      </c>
      <c r="G90" s="125"/>
      <c r="H90" s="125">
        <v>0.78</v>
      </c>
      <c r="I90" s="125"/>
      <c r="J90" s="125">
        <v>0.46</v>
      </c>
      <c r="K90" s="150"/>
      <c r="Q90" s="186"/>
    </row>
    <row r="91" spans="1:17" s="136" customFormat="1" ht="21.1" customHeight="1" collapsed="1" x14ac:dyDescent="0.25">
      <c r="A91" s="147" t="s">
        <v>222</v>
      </c>
      <c r="B91" s="148" t="s">
        <v>223</v>
      </c>
      <c r="C91" s="148"/>
      <c r="D91" s="125">
        <v>0.99</v>
      </c>
      <c r="E91" s="125"/>
      <c r="F91" s="125">
        <v>0.97</v>
      </c>
      <c r="G91" s="125"/>
      <c r="H91" s="125">
        <v>0.87</v>
      </c>
      <c r="I91" s="125"/>
      <c r="J91" s="125">
        <v>0.78</v>
      </c>
      <c r="K91" s="150"/>
      <c r="Q91" s="186"/>
    </row>
    <row r="92" spans="1:17" s="136" customFormat="1" ht="21.1" customHeight="1" x14ac:dyDescent="0.25">
      <c r="A92" s="147" t="s">
        <v>31</v>
      </c>
      <c r="B92" s="148" t="s">
        <v>54</v>
      </c>
      <c r="C92" s="148"/>
      <c r="D92" s="125">
        <v>1.02</v>
      </c>
      <c r="E92" s="125"/>
      <c r="F92" s="125">
        <v>0.92</v>
      </c>
      <c r="G92" s="125"/>
      <c r="H92" s="125">
        <v>0.95</v>
      </c>
      <c r="I92" s="125"/>
      <c r="J92" s="125">
        <v>0.57999999999999996</v>
      </c>
      <c r="K92" s="150"/>
      <c r="Q92" s="186"/>
    </row>
    <row r="93" spans="1:17" s="136" customFormat="1" ht="21.1" customHeight="1" collapsed="1" x14ac:dyDescent="0.25">
      <c r="A93" s="147" t="s">
        <v>32</v>
      </c>
      <c r="B93" s="148" t="s">
        <v>55</v>
      </c>
      <c r="C93" s="148"/>
      <c r="D93" s="125">
        <v>0.97</v>
      </c>
      <c r="E93" s="125"/>
      <c r="F93" s="125">
        <v>0.93</v>
      </c>
      <c r="G93" s="125"/>
      <c r="H93" s="125">
        <v>0.93</v>
      </c>
      <c r="I93" s="125"/>
      <c r="J93" s="125">
        <v>0.73</v>
      </c>
      <c r="K93" s="150"/>
      <c r="Q93" s="186"/>
    </row>
    <row r="94" spans="1:17" s="136" customFormat="1" ht="21.1" customHeight="1" x14ac:dyDescent="0.25">
      <c r="A94" s="147" t="s">
        <v>33</v>
      </c>
      <c r="B94" s="148" t="s">
        <v>56</v>
      </c>
      <c r="C94" s="148"/>
      <c r="D94" s="125">
        <v>0.97</v>
      </c>
      <c r="E94" s="125"/>
      <c r="F94" s="125">
        <v>0.94</v>
      </c>
      <c r="G94" s="125"/>
      <c r="H94" s="125">
        <v>0.87</v>
      </c>
      <c r="I94" s="125"/>
      <c r="J94" s="125">
        <v>0.56000000000000005</v>
      </c>
      <c r="K94" s="150"/>
      <c r="Q94" s="186"/>
    </row>
    <row r="95" spans="1:17" s="136" customFormat="1" ht="21.1" customHeight="1" collapsed="1" x14ac:dyDescent="0.25">
      <c r="A95" s="147" t="s">
        <v>34</v>
      </c>
      <c r="B95" s="148" t="s">
        <v>57</v>
      </c>
      <c r="C95" s="148"/>
      <c r="D95" s="125">
        <v>0.96</v>
      </c>
      <c r="E95" s="125"/>
      <c r="F95" s="125">
        <v>0.91</v>
      </c>
      <c r="G95" s="125"/>
      <c r="H95" s="125">
        <v>0.84</v>
      </c>
      <c r="I95" s="125"/>
      <c r="J95" s="125">
        <v>0.61</v>
      </c>
      <c r="K95" s="150"/>
      <c r="Q95" s="186"/>
    </row>
    <row r="96" spans="1:17" s="136" customFormat="1" ht="21.1" customHeight="1" x14ac:dyDescent="0.25">
      <c r="A96" s="147" t="s">
        <v>35</v>
      </c>
      <c r="B96" s="148" t="s">
        <v>58</v>
      </c>
      <c r="C96" s="148"/>
      <c r="D96" s="125">
        <v>0.97</v>
      </c>
      <c r="E96" s="125"/>
      <c r="F96" s="125">
        <v>0.91</v>
      </c>
      <c r="G96" s="125"/>
      <c r="H96" s="125">
        <v>0.89</v>
      </c>
      <c r="I96" s="125"/>
      <c r="J96" s="125">
        <v>0.72</v>
      </c>
      <c r="K96" s="150"/>
      <c r="Q96" s="186"/>
    </row>
    <row r="97" spans="1:17" s="136" customFormat="1" ht="21.1" customHeight="1" collapsed="1" x14ac:dyDescent="0.25">
      <c r="A97" s="147" t="s">
        <v>36</v>
      </c>
      <c r="B97" s="148" t="s">
        <v>59</v>
      </c>
      <c r="C97" s="148"/>
      <c r="D97" s="125">
        <v>0.95</v>
      </c>
      <c r="E97" s="125"/>
      <c r="F97" s="125">
        <v>0.86</v>
      </c>
      <c r="G97" s="125"/>
      <c r="H97" s="125">
        <v>0.9</v>
      </c>
      <c r="I97" s="125"/>
      <c r="J97" s="125">
        <v>0.62</v>
      </c>
      <c r="K97" s="150"/>
      <c r="Q97" s="186"/>
    </row>
    <row r="98" spans="1:17" s="136" customFormat="1" ht="21.1" customHeight="1" x14ac:dyDescent="0.25">
      <c r="A98" s="147" t="s">
        <v>224</v>
      </c>
      <c r="B98" s="148" t="s">
        <v>60</v>
      </c>
      <c r="C98" s="148"/>
      <c r="D98" s="125">
        <v>1</v>
      </c>
      <c r="E98" s="125"/>
      <c r="F98" s="125">
        <v>0.85</v>
      </c>
      <c r="G98" s="125"/>
      <c r="H98" s="125">
        <v>0.86</v>
      </c>
      <c r="I98" s="125"/>
      <c r="J98" s="125">
        <v>0.82</v>
      </c>
      <c r="K98" s="150"/>
      <c r="Q98" s="186"/>
    </row>
    <row r="99" spans="1:17" s="136" customFormat="1" ht="21.1" customHeight="1" collapsed="1" x14ac:dyDescent="0.25">
      <c r="A99" s="147" t="s">
        <v>37</v>
      </c>
      <c r="B99" s="148" t="s">
        <v>61</v>
      </c>
      <c r="C99" s="148"/>
      <c r="D99" s="125">
        <v>0.97</v>
      </c>
      <c r="E99" s="125"/>
      <c r="F99" s="125">
        <v>0.83</v>
      </c>
      <c r="G99" s="125"/>
      <c r="H99" s="125">
        <v>0.87</v>
      </c>
      <c r="I99" s="125"/>
      <c r="J99" s="125">
        <v>0.64</v>
      </c>
      <c r="K99" s="150"/>
      <c r="Q99" s="186"/>
    </row>
    <row r="100" spans="1:17" s="136" customFormat="1" ht="21.1" customHeight="1" x14ac:dyDescent="0.25">
      <c r="A100" s="147" t="s">
        <v>38</v>
      </c>
      <c r="B100" s="148" t="s">
        <v>3</v>
      </c>
      <c r="C100" s="148"/>
      <c r="D100" s="125">
        <v>0.97</v>
      </c>
      <c r="E100" s="125"/>
      <c r="F100" s="125">
        <v>0.9</v>
      </c>
      <c r="G100" s="125"/>
      <c r="H100" s="125">
        <v>0.85</v>
      </c>
      <c r="I100" s="125"/>
      <c r="J100" s="125">
        <v>0.61</v>
      </c>
      <c r="K100" s="150"/>
      <c r="Q100" s="186"/>
    </row>
    <row r="101" spans="1:17" s="136" customFormat="1" ht="21.1" customHeight="1" collapsed="1" x14ac:dyDescent="0.25">
      <c r="A101" s="147" t="s">
        <v>39</v>
      </c>
      <c r="B101" s="148" t="s">
        <v>4</v>
      </c>
      <c r="C101" s="148"/>
      <c r="D101" s="125">
        <v>0.99</v>
      </c>
      <c r="E101" s="125"/>
      <c r="F101" s="125">
        <v>0.91</v>
      </c>
      <c r="G101" s="125"/>
      <c r="H101" s="125">
        <v>0.85</v>
      </c>
      <c r="I101" s="125"/>
      <c r="J101" s="125">
        <v>0.72</v>
      </c>
      <c r="K101" s="150"/>
      <c r="Q101" s="186"/>
    </row>
    <row r="102" spans="1:17" s="136" customFormat="1" ht="21.1" customHeight="1" x14ac:dyDescent="0.25">
      <c r="A102" s="147" t="s">
        <v>40</v>
      </c>
      <c r="B102" s="148" t="s">
        <v>5</v>
      </c>
      <c r="C102" s="148"/>
      <c r="D102" s="125">
        <v>0.96</v>
      </c>
      <c r="E102" s="125"/>
      <c r="F102" s="125">
        <v>0.89</v>
      </c>
      <c r="G102" s="125"/>
      <c r="H102" s="125">
        <v>0.8</v>
      </c>
      <c r="I102" s="125"/>
      <c r="J102" s="125">
        <v>0.59</v>
      </c>
      <c r="K102" s="150"/>
      <c r="Q102" s="186"/>
    </row>
    <row r="103" spans="1:17" s="136" customFormat="1" ht="21.1" customHeight="1" collapsed="1" x14ac:dyDescent="0.25">
      <c r="A103" s="147" t="s">
        <v>41</v>
      </c>
      <c r="B103" s="148" t="s">
        <v>62</v>
      </c>
      <c r="C103" s="148"/>
      <c r="D103" s="125">
        <v>1.04</v>
      </c>
      <c r="E103" s="125"/>
      <c r="F103" s="125">
        <v>0.94</v>
      </c>
      <c r="G103" s="125"/>
      <c r="H103" s="125">
        <v>1.01</v>
      </c>
      <c r="I103" s="125"/>
      <c r="J103" s="125">
        <v>0.73</v>
      </c>
      <c r="K103" s="150"/>
      <c r="Q103" s="186"/>
    </row>
    <row r="104" spans="1:17" s="136" customFormat="1" ht="21.1" customHeight="1" x14ac:dyDescent="0.25">
      <c r="A104" s="147" t="s">
        <v>42</v>
      </c>
      <c r="B104" s="148" t="s">
        <v>63</v>
      </c>
      <c r="C104" s="148"/>
      <c r="D104" s="125">
        <v>1.0900000000000001</v>
      </c>
      <c r="E104" s="125"/>
      <c r="F104" s="125">
        <v>0.89</v>
      </c>
      <c r="G104" s="125"/>
      <c r="H104" s="125">
        <v>1.08</v>
      </c>
      <c r="I104" s="125"/>
      <c r="J104" s="125">
        <v>0.79</v>
      </c>
      <c r="K104" s="150"/>
      <c r="Q104" s="186"/>
    </row>
    <row r="105" spans="1:17" s="136" customFormat="1" ht="21.1" customHeight="1" collapsed="1" x14ac:dyDescent="0.25">
      <c r="A105" s="147" t="s">
        <v>43</v>
      </c>
      <c r="B105" s="148" t="s">
        <v>64</v>
      </c>
      <c r="C105" s="148"/>
      <c r="D105" s="125">
        <v>0.98</v>
      </c>
      <c r="E105" s="125"/>
      <c r="F105" s="125">
        <v>0.91</v>
      </c>
      <c r="G105" s="125"/>
      <c r="H105" s="125">
        <v>0.94</v>
      </c>
      <c r="I105" s="125"/>
      <c r="J105" s="125">
        <v>0.7</v>
      </c>
      <c r="K105" s="150"/>
      <c r="Q105" s="186"/>
    </row>
    <row r="106" spans="1:17" s="136" customFormat="1" ht="21.1" customHeight="1" x14ac:dyDescent="0.25">
      <c r="A106" s="147" t="s">
        <v>44</v>
      </c>
      <c r="B106" s="148" t="s">
        <v>65</v>
      </c>
      <c r="C106" s="148"/>
      <c r="D106" s="125">
        <v>0.94</v>
      </c>
      <c r="E106" s="125"/>
      <c r="F106" s="125">
        <v>0.89</v>
      </c>
      <c r="G106" s="125"/>
      <c r="H106" s="125">
        <v>0.93</v>
      </c>
      <c r="I106" s="125"/>
      <c r="J106" s="125">
        <v>0.79</v>
      </c>
      <c r="K106" s="150"/>
      <c r="Q106" s="186"/>
    </row>
    <row r="107" spans="1:17" s="136" customFormat="1" ht="21.1" customHeight="1" collapsed="1" x14ac:dyDescent="0.25">
      <c r="A107" s="147" t="s">
        <v>45</v>
      </c>
      <c r="B107" s="148" t="s">
        <v>66</v>
      </c>
      <c r="C107" s="148"/>
      <c r="D107" s="125">
        <v>0.93</v>
      </c>
      <c r="E107" s="125"/>
      <c r="F107" s="125">
        <v>0.86</v>
      </c>
      <c r="G107" s="125"/>
      <c r="H107" s="125">
        <v>0.85</v>
      </c>
      <c r="I107" s="125"/>
      <c r="J107" s="125">
        <v>0.74</v>
      </c>
      <c r="K107" s="150"/>
      <c r="Q107" s="186"/>
    </row>
    <row r="108" spans="1:17" s="136" customFormat="1" ht="21.1" customHeight="1" x14ac:dyDescent="0.25">
      <c r="A108" s="147" t="s">
        <v>46</v>
      </c>
      <c r="B108" s="148" t="s">
        <v>6</v>
      </c>
      <c r="C108" s="148"/>
      <c r="D108" s="125">
        <v>1.1100000000000001</v>
      </c>
      <c r="E108" s="125"/>
      <c r="F108" s="125">
        <v>0.87</v>
      </c>
      <c r="G108" s="125"/>
      <c r="H108" s="125">
        <v>0.75</v>
      </c>
      <c r="I108" s="125"/>
      <c r="J108" s="125">
        <v>0.68</v>
      </c>
      <c r="K108" s="150"/>
      <c r="Q108" s="186"/>
    </row>
    <row r="109" spans="1:17" s="136" customFormat="1" ht="21.1" customHeight="1" collapsed="1" x14ac:dyDescent="0.25">
      <c r="A109" s="147" t="s">
        <v>47</v>
      </c>
      <c r="B109" s="148" t="s">
        <v>67</v>
      </c>
      <c r="C109" s="148"/>
      <c r="D109" s="125">
        <v>0.98</v>
      </c>
      <c r="E109" s="125"/>
      <c r="F109" s="125">
        <v>0.88</v>
      </c>
      <c r="G109" s="125"/>
      <c r="H109" s="125">
        <v>0.81</v>
      </c>
      <c r="I109" s="125"/>
      <c r="J109" s="125">
        <v>0.61</v>
      </c>
      <c r="K109" s="150"/>
      <c r="Q109" s="186"/>
    </row>
    <row r="110" spans="1:17" s="136" customFormat="1" ht="21.1" customHeight="1" x14ac:dyDescent="0.25">
      <c r="A110" s="147" t="s">
        <v>48</v>
      </c>
      <c r="B110" s="148" t="s">
        <v>9</v>
      </c>
      <c r="C110" s="148"/>
      <c r="D110" s="125">
        <v>1.06</v>
      </c>
      <c r="E110" s="125"/>
      <c r="F110" s="125">
        <v>0.86</v>
      </c>
      <c r="G110" s="125"/>
      <c r="H110" s="125">
        <v>0.84</v>
      </c>
      <c r="I110" s="125"/>
      <c r="J110" s="125">
        <v>0.84</v>
      </c>
      <c r="K110" s="150"/>
      <c r="Q110" s="186"/>
    </row>
    <row r="111" spans="1:17" s="136" customFormat="1" ht="21.1" customHeight="1" collapsed="1" x14ac:dyDescent="0.25">
      <c r="A111" s="147" t="s">
        <v>49</v>
      </c>
      <c r="B111" s="148" t="s">
        <v>68</v>
      </c>
      <c r="C111" s="148"/>
      <c r="D111" s="125">
        <v>0.75</v>
      </c>
      <c r="E111" s="125"/>
      <c r="F111" s="125">
        <v>0.71</v>
      </c>
      <c r="G111" s="125"/>
      <c r="H111" s="125">
        <v>0.59</v>
      </c>
      <c r="I111" s="125"/>
      <c r="J111" s="125">
        <v>0.57999999999999996</v>
      </c>
      <c r="K111" s="150"/>
      <c r="Q111" s="186"/>
    </row>
    <row r="112" spans="1:17" s="136" customFormat="1" ht="21.1" customHeight="1" x14ac:dyDescent="0.25">
      <c r="A112" s="147" t="s">
        <v>50</v>
      </c>
      <c r="B112" s="148" t="s">
        <v>10</v>
      </c>
      <c r="C112" s="148"/>
      <c r="D112" s="125">
        <v>0.96</v>
      </c>
      <c r="E112" s="125"/>
      <c r="F112" s="125">
        <v>0.89</v>
      </c>
      <c r="G112" s="125"/>
      <c r="H112" s="125">
        <v>0.93</v>
      </c>
      <c r="I112" s="125"/>
      <c r="J112" s="125">
        <v>0.77</v>
      </c>
      <c r="K112" s="150"/>
      <c r="Q112" s="186"/>
    </row>
    <row r="113" spans="1:17" s="136" customFormat="1" ht="21.1" customHeight="1" collapsed="1" x14ac:dyDescent="0.25">
      <c r="A113" s="147" t="s">
        <v>51</v>
      </c>
      <c r="B113" s="148" t="s">
        <v>69</v>
      </c>
      <c r="C113" s="148"/>
      <c r="D113" s="125">
        <v>0.94</v>
      </c>
      <c r="E113" s="125"/>
      <c r="F113" s="125">
        <v>0.87</v>
      </c>
      <c r="G113" s="125"/>
      <c r="H113" s="125">
        <v>0.84</v>
      </c>
      <c r="I113" s="125"/>
      <c r="J113" s="125">
        <v>0.61</v>
      </c>
      <c r="K113" s="150"/>
      <c r="Q113" s="186"/>
    </row>
    <row r="114" spans="1:17" s="136" customFormat="1" ht="21.1" customHeight="1" x14ac:dyDescent="0.25">
      <c r="A114" s="147" t="s">
        <v>52</v>
      </c>
      <c r="B114" s="148" t="s">
        <v>70</v>
      </c>
      <c r="C114" s="148"/>
      <c r="D114" s="125">
        <v>0.92</v>
      </c>
      <c r="E114" s="125"/>
      <c r="F114" s="125">
        <v>0.81</v>
      </c>
      <c r="G114" s="125"/>
      <c r="H114" s="125">
        <v>0.67</v>
      </c>
      <c r="I114" s="125"/>
      <c r="J114" s="125">
        <v>0.56000000000000005</v>
      </c>
      <c r="K114" s="150"/>
      <c r="Q114" s="186"/>
    </row>
    <row r="115" spans="1:17" ht="21.1" customHeight="1" x14ac:dyDescent="0.2">
      <c r="A115" s="177"/>
      <c r="B115" s="178"/>
      <c r="C115" s="178"/>
      <c r="D115" s="178"/>
      <c r="E115" s="178"/>
      <c r="F115" s="178"/>
      <c r="G115" s="178"/>
      <c r="H115" s="178"/>
      <c r="I115" s="178"/>
      <c r="J115" s="178"/>
      <c r="K115" s="179"/>
    </row>
    <row r="116" spans="1:17" ht="21.1" customHeight="1" x14ac:dyDescent="0.2">
      <c r="A116" s="163" t="s">
        <v>225</v>
      </c>
      <c r="B116" s="164"/>
      <c r="C116" s="164"/>
      <c r="D116" s="164"/>
      <c r="E116" s="164"/>
      <c r="F116" s="164"/>
      <c r="G116" s="164"/>
      <c r="H116" s="164"/>
      <c r="I116" s="164"/>
      <c r="J116" s="164"/>
      <c r="K116" s="165"/>
    </row>
    <row r="117" spans="1:17" ht="21.1" customHeight="1" x14ac:dyDescent="0.2">
      <c r="A117" s="166" t="s">
        <v>226</v>
      </c>
      <c r="B117" s="167"/>
      <c r="C117" s="167"/>
      <c r="D117" s="167"/>
      <c r="E117" s="167"/>
      <c r="F117" s="167"/>
      <c r="G117" s="167"/>
      <c r="H117" s="167"/>
      <c r="I117" s="167"/>
      <c r="J117" s="167"/>
      <c r="K117" s="168"/>
    </row>
    <row r="120" spans="1:17" s="126" customFormat="1" ht="21.1" customHeight="1" x14ac:dyDescent="0.25">
      <c r="A120" s="200" t="s">
        <v>212</v>
      </c>
      <c r="B120" s="200"/>
      <c r="C120" s="200"/>
      <c r="D120" s="200"/>
      <c r="E120" s="200"/>
      <c r="F120" s="200"/>
      <c r="G120" s="200"/>
      <c r="H120" s="200"/>
      <c r="I120" s="200"/>
      <c r="J120" s="200"/>
      <c r="K120" s="200"/>
      <c r="L120" s="200"/>
      <c r="M120" s="200"/>
      <c r="N120" s="127"/>
      <c r="O120" s="127"/>
      <c r="P120" s="127"/>
      <c r="Q120" s="188"/>
    </row>
    <row r="121" spans="1:17" s="126" customFormat="1" ht="21.1" customHeight="1" x14ac:dyDescent="0.25">
      <c r="A121" s="200"/>
      <c r="B121" s="200"/>
      <c r="C121" s="200"/>
      <c r="D121" s="200"/>
      <c r="E121" s="200"/>
      <c r="F121" s="200"/>
      <c r="G121" s="200"/>
      <c r="H121" s="200"/>
      <c r="I121" s="200"/>
      <c r="J121" s="200"/>
      <c r="K121" s="200"/>
      <c r="L121" s="200"/>
      <c r="M121" s="200"/>
      <c r="N121" s="127"/>
      <c r="O121" s="127"/>
      <c r="P121" s="127"/>
      <c r="Q121" s="188"/>
    </row>
    <row r="122" spans="1:17" s="126" customFormat="1" ht="21.1" customHeight="1" x14ac:dyDescent="0.25">
      <c r="A122" s="128" t="s">
        <v>229</v>
      </c>
      <c r="B122" s="129"/>
      <c r="C122" s="129"/>
      <c r="D122" s="129"/>
      <c r="E122" s="129"/>
      <c r="F122" s="129"/>
      <c r="G122" s="129"/>
      <c r="H122" s="129"/>
      <c r="I122" s="129"/>
      <c r="J122" s="129"/>
      <c r="K122" s="129"/>
      <c r="L122" s="129"/>
      <c r="M122" s="130"/>
      <c r="Q122" s="188"/>
    </row>
    <row r="123" spans="1:17" s="126" customFormat="1" ht="21.1" customHeight="1" x14ac:dyDescent="0.25">
      <c r="A123" s="128" t="s">
        <v>230</v>
      </c>
      <c r="B123" s="129"/>
      <c r="C123" s="129"/>
      <c r="D123" s="129"/>
      <c r="E123" s="129"/>
      <c r="F123" s="129"/>
      <c r="G123" s="129"/>
      <c r="H123" s="129"/>
      <c r="I123" s="129"/>
      <c r="J123" s="129"/>
      <c r="K123" s="129"/>
      <c r="L123" s="129"/>
      <c r="M123" s="130"/>
      <c r="Q123" s="188"/>
    </row>
    <row r="124" spans="1:17" s="126" customFormat="1" ht="21.1" customHeight="1" x14ac:dyDescent="0.25">
      <c r="A124" s="131" t="s">
        <v>214</v>
      </c>
      <c r="B124" s="132"/>
      <c r="C124" s="132"/>
      <c r="D124" s="132"/>
      <c r="E124" s="132"/>
      <c r="F124" s="132"/>
      <c r="G124" s="132"/>
      <c r="H124" s="132"/>
      <c r="I124" s="132"/>
      <c r="J124" s="132"/>
      <c r="K124" s="132"/>
      <c r="L124" s="132"/>
      <c r="M124" s="133"/>
      <c r="Q124" s="188"/>
    </row>
    <row r="125" spans="1:17" s="136" customFormat="1" ht="21.1" customHeight="1" x14ac:dyDescent="0.25">
      <c r="A125" s="170"/>
      <c r="B125" s="170"/>
      <c r="C125" s="170"/>
      <c r="D125" s="170"/>
      <c r="E125" s="170"/>
      <c r="F125" s="145"/>
      <c r="Q125" s="186"/>
    </row>
    <row r="126" spans="1:17" s="136" customFormat="1" ht="21.1" customHeight="1" x14ac:dyDescent="0.3">
      <c r="A126" s="190" t="s">
        <v>215</v>
      </c>
      <c r="B126" s="193" t="s">
        <v>216</v>
      </c>
      <c r="C126" s="134"/>
      <c r="D126" s="196" t="s">
        <v>217</v>
      </c>
      <c r="E126" s="196"/>
      <c r="F126" s="196"/>
      <c r="G126" s="196"/>
      <c r="H126" s="196"/>
      <c r="I126" s="196"/>
      <c r="J126" s="196"/>
      <c r="K126" s="180"/>
      <c r="L126" s="198" t="s">
        <v>204</v>
      </c>
      <c r="M126" s="175"/>
      <c r="N126" s="181"/>
      <c r="O126" s="181"/>
      <c r="P126" s="181"/>
      <c r="Q126" s="186"/>
    </row>
    <row r="127" spans="1:17" s="136" customFormat="1" ht="21.1" customHeight="1" x14ac:dyDescent="0.3">
      <c r="A127" s="191"/>
      <c r="B127" s="194"/>
      <c r="C127" s="137"/>
      <c r="D127" s="196" t="s">
        <v>218</v>
      </c>
      <c r="E127" s="196"/>
      <c r="F127" s="196"/>
      <c r="G127" s="138"/>
      <c r="H127" s="196" t="s">
        <v>219</v>
      </c>
      <c r="I127" s="196"/>
      <c r="J127" s="196"/>
      <c r="K127" s="138"/>
      <c r="L127" s="205"/>
      <c r="M127" s="139"/>
      <c r="N127" s="181"/>
      <c r="O127" s="181"/>
      <c r="P127" s="181"/>
      <c r="Q127" s="186"/>
    </row>
    <row r="128" spans="1:17" s="136" customFormat="1" ht="21.1" customHeight="1" x14ac:dyDescent="0.3">
      <c r="A128" s="192"/>
      <c r="B128" s="195"/>
      <c r="C128" s="140"/>
      <c r="D128" s="176" t="s">
        <v>220</v>
      </c>
      <c r="E128" s="142"/>
      <c r="F128" s="176" t="s">
        <v>221</v>
      </c>
      <c r="G128" s="142"/>
      <c r="H128" s="176" t="s">
        <v>220</v>
      </c>
      <c r="I128" s="142"/>
      <c r="J128" s="176" t="s">
        <v>221</v>
      </c>
      <c r="K128" s="142"/>
      <c r="L128" s="199"/>
      <c r="M128" s="143"/>
      <c r="N128" s="183"/>
      <c r="O128" s="183"/>
      <c r="P128" s="183"/>
      <c r="Q128" s="186"/>
    </row>
    <row r="129" spans="1:17" s="136" customFormat="1" ht="21.1" customHeight="1" x14ac:dyDescent="0.25">
      <c r="A129" s="144"/>
      <c r="B129" s="145"/>
      <c r="C129" s="145"/>
      <c r="M129" s="146"/>
      <c r="Q129" s="186"/>
    </row>
    <row r="130" spans="1:17" s="136" customFormat="1" ht="21.1" customHeight="1" x14ac:dyDescent="0.25">
      <c r="A130" s="147" t="s">
        <v>25</v>
      </c>
      <c r="B130" s="148" t="s">
        <v>53</v>
      </c>
      <c r="C130" s="148"/>
      <c r="D130" s="149">
        <v>2712.3084836375501</v>
      </c>
      <c r="E130" s="149"/>
      <c r="F130" s="149">
        <v>286.60292061004401</v>
      </c>
      <c r="G130" s="149"/>
      <c r="H130" s="149">
        <v>3501.1584954735399</v>
      </c>
      <c r="I130" s="149"/>
      <c r="J130" s="149">
        <v>525.48802452786799</v>
      </c>
      <c r="K130" s="149"/>
      <c r="L130" s="149">
        <v>7025.5579242490021</v>
      </c>
      <c r="M130" s="150"/>
      <c r="N130" s="154"/>
      <c r="O130" s="154"/>
      <c r="P130" s="154"/>
      <c r="Q130" s="186"/>
    </row>
    <row r="131" spans="1:17" s="136" customFormat="1" ht="21.1" customHeight="1" collapsed="1" x14ac:dyDescent="0.25">
      <c r="A131" s="147" t="s">
        <v>222</v>
      </c>
      <c r="B131" s="148" t="s">
        <v>223</v>
      </c>
      <c r="C131" s="148"/>
      <c r="D131" s="149">
        <v>268.76094692555802</v>
      </c>
      <c r="E131" s="149"/>
      <c r="F131" s="149">
        <v>35.421992547910499</v>
      </c>
      <c r="G131" s="149"/>
      <c r="H131" s="149">
        <v>115.791738145441</v>
      </c>
      <c r="I131" s="149"/>
      <c r="J131" s="149">
        <v>25.2388705494314</v>
      </c>
      <c r="K131" s="149"/>
      <c r="L131" s="149">
        <v>445.21354816834094</v>
      </c>
      <c r="M131" s="150"/>
      <c r="N131" s="154"/>
      <c r="O131" s="154"/>
      <c r="P131" s="154"/>
      <c r="Q131" s="186"/>
    </row>
    <row r="132" spans="1:17" s="136" customFormat="1" ht="21.1" customHeight="1" x14ac:dyDescent="0.25">
      <c r="A132" s="147" t="s">
        <v>31</v>
      </c>
      <c r="B132" s="148" t="s">
        <v>54</v>
      </c>
      <c r="C132" s="148"/>
      <c r="D132" s="149">
        <v>624.29205026592797</v>
      </c>
      <c r="E132" s="149"/>
      <c r="F132" s="149">
        <v>294.40336638717997</v>
      </c>
      <c r="G132" s="149"/>
      <c r="H132" s="149">
        <v>194.74308584162199</v>
      </c>
      <c r="I132" s="149"/>
      <c r="J132" s="149">
        <v>216.34345281919099</v>
      </c>
      <c r="K132" s="149"/>
      <c r="L132" s="149">
        <v>1329.7819553139209</v>
      </c>
      <c r="M132" s="150"/>
      <c r="N132" s="154"/>
      <c r="O132" s="154"/>
      <c r="P132" s="154"/>
      <c r="Q132" s="186"/>
    </row>
    <row r="133" spans="1:17" s="136" customFormat="1" ht="21.1" customHeight="1" collapsed="1" x14ac:dyDescent="0.25">
      <c r="A133" s="147" t="s">
        <v>32</v>
      </c>
      <c r="B133" s="148" t="s">
        <v>55</v>
      </c>
      <c r="C133" s="148"/>
      <c r="D133" s="149">
        <v>273.77536853103499</v>
      </c>
      <c r="E133" s="149"/>
      <c r="F133" s="149">
        <v>423.89568728830199</v>
      </c>
      <c r="G133" s="149"/>
      <c r="H133" s="149">
        <v>255.539862164948</v>
      </c>
      <c r="I133" s="149"/>
      <c r="J133" s="149">
        <v>538.63863446872801</v>
      </c>
      <c r="K133" s="149"/>
      <c r="L133" s="149">
        <v>1491.8495524530131</v>
      </c>
      <c r="M133" s="150"/>
      <c r="N133" s="154"/>
      <c r="O133" s="154"/>
      <c r="P133" s="154"/>
      <c r="Q133" s="186"/>
    </row>
    <row r="134" spans="1:17" s="136" customFormat="1" ht="21.1" customHeight="1" x14ac:dyDescent="0.25">
      <c r="A134" s="147" t="s">
        <v>33</v>
      </c>
      <c r="B134" s="148" t="s">
        <v>56</v>
      </c>
      <c r="C134" s="148"/>
      <c r="D134" s="149">
        <v>109.22006279969</v>
      </c>
      <c r="E134" s="149"/>
      <c r="F134" s="149">
        <v>44.082249352785503</v>
      </c>
      <c r="G134" s="149"/>
      <c r="H134" s="149">
        <v>61.691791607537802</v>
      </c>
      <c r="I134" s="149"/>
      <c r="J134" s="149">
        <v>33.325186657799101</v>
      </c>
      <c r="K134" s="149"/>
      <c r="L134" s="149">
        <v>248.3192904178124</v>
      </c>
      <c r="M134" s="150"/>
      <c r="N134" s="154"/>
      <c r="O134" s="154"/>
      <c r="P134" s="154"/>
      <c r="Q134" s="186"/>
    </row>
    <row r="135" spans="1:17" s="136" customFormat="1" ht="21.1" customHeight="1" collapsed="1" x14ac:dyDescent="0.25">
      <c r="A135" s="147" t="s">
        <v>34</v>
      </c>
      <c r="B135" s="148" t="s">
        <v>57</v>
      </c>
      <c r="C135" s="148"/>
      <c r="D135" s="149">
        <v>366.32390721438099</v>
      </c>
      <c r="E135" s="149"/>
      <c r="F135" s="149">
        <v>164.12574722556801</v>
      </c>
      <c r="G135" s="149"/>
      <c r="H135" s="149">
        <v>78.0718099755005</v>
      </c>
      <c r="I135" s="149"/>
      <c r="J135" s="149">
        <v>21.722712734761998</v>
      </c>
      <c r="K135" s="149"/>
      <c r="L135" s="149">
        <v>630.2441771502115</v>
      </c>
      <c r="M135" s="150"/>
      <c r="N135" s="154"/>
      <c r="O135" s="154"/>
      <c r="P135" s="154"/>
      <c r="Q135" s="186"/>
    </row>
    <row r="136" spans="1:17" s="136" customFormat="1" ht="21.1" customHeight="1" x14ac:dyDescent="0.25">
      <c r="A136" s="147" t="s">
        <v>35</v>
      </c>
      <c r="B136" s="148" t="s">
        <v>58</v>
      </c>
      <c r="C136" s="148"/>
      <c r="D136" s="149">
        <v>502.43051148795502</v>
      </c>
      <c r="E136" s="149"/>
      <c r="F136" s="149">
        <v>88.682915058734693</v>
      </c>
      <c r="G136" s="149"/>
      <c r="H136" s="149">
        <v>278.51871620223602</v>
      </c>
      <c r="I136" s="149"/>
      <c r="J136" s="149">
        <v>15.9208539833228</v>
      </c>
      <c r="K136" s="149"/>
      <c r="L136" s="149">
        <v>885.5529967322484</v>
      </c>
      <c r="M136" s="150"/>
      <c r="N136" s="154"/>
      <c r="O136" s="154"/>
      <c r="P136" s="154"/>
      <c r="Q136" s="186"/>
    </row>
    <row r="137" spans="1:17" s="136" customFormat="1" ht="21.1" customHeight="1" collapsed="1" x14ac:dyDescent="0.25">
      <c r="A137" s="147" t="s">
        <v>36</v>
      </c>
      <c r="B137" s="148" t="s">
        <v>59</v>
      </c>
      <c r="C137" s="148"/>
      <c r="D137" s="149">
        <v>197.92128177650699</v>
      </c>
      <c r="E137" s="149"/>
      <c r="F137" s="149">
        <v>58.672941663495699</v>
      </c>
      <c r="G137" s="149"/>
      <c r="H137" s="149">
        <v>241.75986793816799</v>
      </c>
      <c r="I137" s="149"/>
      <c r="J137" s="149">
        <v>108.555522786583</v>
      </c>
      <c r="K137" s="149"/>
      <c r="L137" s="149">
        <v>606.90961416475363</v>
      </c>
      <c r="M137" s="150"/>
      <c r="N137" s="154"/>
      <c r="O137" s="154"/>
      <c r="P137" s="154"/>
      <c r="Q137" s="186"/>
    </row>
    <row r="138" spans="1:17" s="136" customFormat="1" ht="21.1" customHeight="1" x14ac:dyDescent="0.25">
      <c r="A138" s="147" t="s">
        <v>224</v>
      </c>
      <c r="B138" s="148" t="s">
        <v>60</v>
      </c>
      <c r="C138" s="148"/>
      <c r="D138" s="149">
        <v>91.958707839274794</v>
      </c>
      <c r="E138" s="149"/>
      <c r="F138" s="149">
        <v>29.1061222206277</v>
      </c>
      <c r="G138" s="149"/>
      <c r="H138" s="149">
        <v>5.3642876670214799</v>
      </c>
      <c r="I138" s="149"/>
      <c r="J138" s="149">
        <v>1.12597138209798</v>
      </c>
      <c r="K138" s="149"/>
      <c r="L138" s="149">
        <v>127.55508910902196</v>
      </c>
      <c r="M138" s="150"/>
      <c r="N138" s="154"/>
      <c r="O138" s="154"/>
      <c r="P138" s="154"/>
      <c r="Q138" s="186"/>
    </row>
    <row r="139" spans="1:17" s="136" customFormat="1" ht="21.1" customHeight="1" collapsed="1" x14ac:dyDescent="0.25">
      <c r="A139" s="147" t="s">
        <v>37</v>
      </c>
      <c r="B139" s="148" t="s">
        <v>61</v>
      </c>
      <c r="C139" s="148"/>
      <c r="D139" s="149">
        <v>155.37704031618</v>
      </c>
      <c r="E139" s="149"/>
      <c r="F139" s="149">
        <v>25.130109213752501</v>
      </c>
      <c r="G139" s="149"/>
      <c r="H139" s="149">
        <v>59.831154732495698</v>
      </c>
      <c r="I139" s="149"/>
      <c r="J139" s="149">
        <v>16.982397709914601</v>
      </c>
      <c r="K139" s="149"/>
      <c r="L139" s="149">
        <v>257.32070197234276</v>
      </c>
      <c r="M139" s="150"/>
      <c r="N139" s="154"/>
      <c r="O139" s="154"/>
      <c r="P139" s="154"/>
      <c r="Q139" s="186"/>
    </row>
    <row r="140" spans="1:17" s="136" customFormat="1" ht="21.1" customHeight="1" x14ac:dyDescent="0.25">
      <c r="A140" s="147" t="s">
        <v>38</v>
      </c>
      <c r="B140" s="148" t="s">
        <v>3</v>
      </c>
      <c r="C140" s="148"/>
      <c r="D140" s="149">
        <v>1072.2232345820601</v>
      </c>
      <c r="E140" s="149"/>
      <c r="F140" s="149">
        <v>74.946230232676797</v>
      </c>
      <c r="G140" s="149"/>
      <c r="H140" s="149">
        <v>972.99874344684201</v>
      </c>
      <c r="I140" s="149"/>
      <c r="J140" s="149">
        <v>6.5021053722023003</v>
      </c>
      <c r="K140" s="149"/>
      <c r="L140" s="149">
        <v>2126.670313633781</v>
      </c>
      <c r="M140" s="150"/>
      <c r="N140" s="154"/>
      <c r="O140" s="154"/>
      <c r="P140" s="154"/>
      <c r="Q140" s="186"/>
    </row>
    <row r="141" spans="1:17" s="136" customFormat="1" ht="21.1" customHeight="1" collapsed="1" x14ac:dyDescent="0.25">
      <c r="A141" s="147" t="s">
        <v>39</v>
      </c>
      <c r="B141" s="148" t="s">
        <v>4</v>
      </c>
      <c r="C141" s="148"/>
      <c r="D141" s="149">
        <v>367.015628027199</v>
      </c>
      <c r="E141" s="149"/>
      <c r="F141" s="149">
        <v>54.499245253352697</v>
      </c>
      <c r="G141" s="149"/>
      <c r="H141" s="149">
        <v>66.516039731658097</v>
      </c>
      <c r="I141" s="149"/>
      <c r="J141" s="149">
        <v>4.71085200832922</v>
      </c>
      <c r="K141" s="149"/>
      <c r="L141" s="149">
        <v>492.74176502053899</v>
      </c>
      <c r="M141" s="150"/>
      <c r="N141" s="154"/>
      <c r="O141" s="154"/>
      <c r="P141" s="154"/>
      <c r="Q141" s="186"/>
    </row>
    <row r="142" spans="1:17" s="136" customFormat="1" ht="21.1" customHeight="1" x14ac:dyDescent="0.25">
      <c r="A142" s="147" t="s">
        <v>40</v>
      </c>
      <c r="B142" s="148" t="s">
        <v>5</v>
      </c>
      <c r="C142" s="148"/>
      <c r="D142" s="149">
        <v>345.547417773348</v>
      </c>
      <c r="E142" s="149"/>
      <c r="F142" s="149">
        <v>34.947411116123</v>
      </c>
      <c r="G142" s="149"/>
      <c r="H142" s="149">
        <v>391.38731772934199</v>
      </c>
      <c r="I142" s="149"/>
      <c r="J142" s="149">
        <v>6.9797185906505597</v>
      </c>
      <c r="K142" s="149"/>
      <c r="L142" s="149">
        <v>778.86186520946364</v>
      </c>
      <c r="M142" s="150"/>
      <c r="N142" s="154"/>
      <c r="O142" s="154"/>
      <c r="P142" s="154"/>
      <c r="Q142" s="186"/>
    </row>
    <row r="143" spans="1:17" s="136" customFormat="1" ht="21.1" customHeight="1" collapsed="1" x14ac:dyDescent="0.25">
      <c r="A143" s="147" t="s">
        <v>41</v>
      </c>
      <c r="B143" s="148" t="s">
        <v>62</v>
      </c>
      <c r="C143" s="148"/>
      <c r="D143" s="149">
        <v>2520.2019787439599</v>
      </c>
      <c r="E143" s="149"/>
      <c r="F143" s="149">
        <v>1640.4575470393299</v>
      </c>
      <c r="G143" s="149"/>
      <c r="H143" s="149">
        <v>3171.8296683716198</v>
      </c>
      <c r="I143" s="149"/>
      <c r="J143" s="149">
        <v>2254.4272302501299</v>
      </c>
      <c r="K143" s="149"/>
      <c r="L143" s="149">
        <v>9586.9164244050389</v>
      </c>
      <c r="M143" s="150"/>
      <c r="N143" s="154"/>
      <c r="O143" s="154"/>
      <c r="P143" s="154"/>
      <c r="Q143" s="186"/>
    </row>
    <row r="144" spans="1:17" s="136" customFormat="1" ht="21.1" customHeight="1" x14ac:dyDescent="0.25">
      <c r="A144" s="147" t="s">
        <v>42</v>
      </c>
      <c r="B144" s="148" t="s">
        <v>63</v>
      </c>
      <c r="C144" s="148"/>
      <c r="D144" s="149">
        <v>1100.8869600154701</v>
      </c>
      <c r="E144" s="149"/>
      <c r="F144" s="149">
        <v>202.55373016235899</v>
      </c>
      <c r="G144" s="149"/>
      <c r="H144" s="149">
        <v>2625.1485264273902</v>
      </c>
      <c r="I144" s="149"/>
      <c r="J144" s="149">
        <v>61.706052831106199</v>
      </c>
      <c r="K144" s="149"/>
      <c r="L144" s="149">
        <v>3990.2952694363253</v>
      </c>
      <c r="M144" s="150"/>
      <c r="N144" s="154"/>
      <c r="O144" s="154"/>
      <c r="P144" s="154"/>
      <c r="Q144" s="186"/>
    </row>
    <row r="145" spans="1:22" s="136" customFormat="1" ht="21.1" customHeight="1" collapsed="1" x14ac:dyDescent="0.25">
      <c r="A145" s="147" t="s">
        <v>43</v>
      </c>
      <c r="B145" s="148" t="s">
        <v>64</v>
      </c>
      <c r="C145" s="148"/>
      <c r="D145" s="149">
        <v>689.61316194522601</v>
      </c>
      <c r="E145" s="149"/>
      <c r="F145" s="149">
        <v>1152.8769047265801</v>
      </c>
      <c r="G145" s="149"/>
      <c r="H145" s="149">
        <v>571.96085570738705</v>
      </c>
      <c r="I145" s="149"/>
      <c r="J145" s="149">
        <v>1056.6622463072699</v>
      </c>
      <c r="K145" s="149"/>
      <c r="L145" s="149">
        <v>3471.1131686864628</v>
      </c>
      <c r="M145" s="150"/>
      <c r="N145" s="154"/>
      <c r="O145" s="154"/>
      <c r="P145" s="154"/>
      <c r="Q145" s="186"/>
    </row>
    <row r="146" spans="1:22" s="136" customFormat="1" ht="21.1" customHeight="1" x14ac:dyDescent="0.25">
      <c r="A146" s="147" t="s">
        <v>44</v>
      </c>
      <c r="B146" s="148" t="s">
        <v>65</v>
      </c>
      <c r="C146" s="148"/>
      <c r="D146" s="149">
        <v>272.35877000642603</v>
      </c>
      <c r="E146" s="149"/>
      <c r="F146" s="149">
        <v>156.57352004019299</v>
      </c>
      <c r="G146" s="149"/>
      <c r="H146" s="149">
        <v>123.93835574032801</v>
      </c>
      <c r="I146" s="149"/>
      <c r="J146" s="149">
        <v>109.45595076924801</v>
      </c>
      <c r="K146" s="149"/>
      <c r="L146" s="149">
        <v>662.32659655619511</v>
      </c>
      <c r="M146" s="150"/>
      <c r="N146" s="154"/>
      <c r="O146" s="154"/>
      <c r="P146" s="154"/>
      <c r="Q146" s="186"/>
    </row>
    <row r="147" spans="1:22" s="136" customFormat="1" ht="21.1" customHeight="1" collapsed="1" x14ac:dyDescent="0.25">
      <c r="A147" s="147" t="s">
        <v>45</v>
      </c>
      <c r="B147" s="148" t="s">
        <v>66</v>
      </c>
      <c r="C147" s="148"/>
      <c r="D147" s="149">
        <v>271.51903479396901</v>
      </c>
      <c r="E147" s="149"/>
      <c r="F147" s="149">
        <v>323.27642657152802</v>
      </c>
      <c r="G147" s="149"/>
      <c r="H147" s="149">
        <v>38.1897198087444</v>
      </c>
      <c r="I147" s="149"/>
      <c r="J147" s="149">
        <v>28.490705275500101</v>
      </c>
      <c r="K147" s="149"/>
      <c r="L147" s="149">
        <v>661.47588644974144</v>
      </c>
      <c r="M147" s="150"/>
      <c r="N147" s="154"/>
      <c r="O147" s="154"/>
      <c r="P147" s="154"/>
      <c r="Q147" s="186"/>
    </row>
    <row r="148" spans="1:22" s="136" customFormat="1" ht="21.1" customHeight="1" x14ac:dyDescent="0.25">
      <c r="A148" s="147" t="s">
        <v>46</v>
      </c>
      <c r="B148" s="148" t="s">
        <v>6</v>
      </c>
      <c r="C148" s="148"/>
      <c r="D148" s="149">
        <v>390.46079104901099</v>
      </c>
      <c r="E148" s="149"/>
      <c r="F148" s="149">
        <v>122.80854741361</v>
      </c>
      <c r="G148" s="149"/>
      <c r="H148" s="149">
        <v>52.981269773494702</v>
      </c>
      <c r="I148" s="149"/>
      <c r="J148" s="149">
        <v>34.093737119531703</v>
      </c>
      <c r="K148" s="149"/>
      <c r="L148" s="149">
        <v>600.34434535564742</v>
      </c>
      <c r="M148" s="150"/>
      <c r="N148" s="154"/>
      <c r="O148" s="154"/>
      <c r="P148" s="154"/>
      <c r="Q148" s="186"/>
    </row>
    <row r="149" spans="1:22" s="136" customFormat="1" ht="21.1" customHeight="1" collapsed="1" x14ac:dyDescent="0.25">
      <c r="A149" s="147" t="s">
        <v>47</v>
      </c>
      <c r="B149" s="148" t="s">
        <v>67</v>
      </c>
      <c r="C149" s="148"/>
      <c r="D149" s="149">
        <v>1599.2990651181301</v>
      </c>
      <c r="E149" s="149"/>
      <c r="F149" s="149">
        <v>1261.56703291299</v>
      </c>
      <c r="G149" s="149"/>
      <c r="H149" s="149">
        <v>584.12010893730599</v>
      </c>
      <c r="I149" s="149"/>
      <c r="J149" s="149">
        <v>726.94939659355202</v>
      </c>
      <c r="K149" s="149"/>
      <c r="L149" s="149">
        <v>4171.9356035619776</v>
      </c>
      <c r="M149" s="150"/>
      <c r="N149" s="154"/>
      <c r="O149" s="154"/>
      <c r="P149" s="154"/>
      <c r="Q149" s="186"/>
    </row>
    <row r="150" spans="1:22" s="136" customFormat="1" ht="21.1" customHeight="1" x14ac:dyDescent="0.25">
      <c r="A150" s="147" t="s">
        <v>48</v>
      </c>
      <c r="B150" s="148" t="s">
        <v>9</v>
      </c>
      <c r="C150" s="148"/>
      <c r="D150" s="149">
        <v>709.58411197061696</v>
      </c>
      <c r="E150" s="149"/>
      <c r="F150" s="149">
        <v>313.12294565487099</v>
      </c>
      <c r="G150" s="149"/>
      <c r="H150" s="149">
        <v>209.997467584943</v>
      </c>
      <c r="I150" s="149"/>
      <c r="J150" s="149">
        <v>203.56684811647699</v>
      </c>
      <c r="K150" s="149"/>
      <c r="L150" s="149">
        <v>1436.2713733269079</v>
      </c>
      <c r="M150" s="150"/>
      <c r="N150" s="154"/>
      <c r="O150" s="154"/>
      <c r="P150" s="154"/>
      <c r="Q150" s="186"/>
    </row>
    <row r="151" spans="1:22" s="136" customFormat="1" ht="21.1" customHeight="1" collapsed="1" x14ac:dyDescent="0.25">
      <c r="A151" s="147" t="s">
        <v>49</v>
      </c>
      <c r="B151" s="148" t="s">
        <v>68</v>
      </c>
      <c r="C151" s="148"/>
      <c r="D151" s="149">
        <v>512.17943182096496</v>
      </c>
      <c r="E151" s="149"/>
      <c r="F151" s="149">
        <v>841.915478094842</v>
      </c>
      <c r="G151" s="149"/>
      <c r="H151" s="149">
        <v>107.933319419794</v>
      </c>
      <c r="I151" s="149"/>
      <c r="J151" s="149">
        <v>134.780161499804</v>
      </c>
      <c r="K151" s="149"/>
      <c r="L151" s="149">
        <v>1596.8083908354051</v>
      </c>
      <c r="M151" s="150"/>
      <c r="N151" s="154"/>
      <c r="O151" s="154"/>
      <c r="P151" s="154"/>
      <c r="Q151" s="186"/>
    </row>
    <row r="152" spans="1:22" s="136" customFormat="1" ht="21.1" customHeight="1" x14ac:dyDescent="0.25">
      <c r="A152" s="147" t="s">
        <v>50</v>
      </c>
      <c r="B152" s="148" t="s">
        <v>10</v>
      </c>
      <c r="C152" s="148"/>
      <c r="D152" s="149">
        <v>304.63253758598501</v>
      </c>
      <c r="E152" s="149"/>
      <c r="F152" s="149">
        <v>928.417418143438</v>
      </c>
      <c r="G152" s="149"/>
      <c r="H152" s="149">
        <v>132.17415509796299</v>
      </c>
      <c r="I152" s="149"/>
      <c r="J152" s="149">
        <v>453.31367850800001</v>
      </c>
      <c r="K152" s="149"/>
      <c r="L152" s="149">
        <v>1818.5377893353859</v>
      </c>
      <c r="M152" s="150"/>
      <c r="N152" s="154"/>
      <c r="O152" s="154"/>
      <c r="P152" s="154"/>
      <c r="Q152" s="186"/>
    </row>
    <row r="153" spans="1:22" s="136" customFormat="1" ht="21.1" customHeight="1" collapsed="1" x14ac:dyDescent="0.25">
      <c r="A153" s="147" t="s">
        <v>51</v>
      </c>
      <c r="B153" s="148" t="s">
        <v>69</v>
      </c>
      <c r="C153" s="148"/>
      <c r="D153" s="149">
        <v>413.84256763898497</v>
      </c>
      <c r="E153" s="149"/>
      <c r="F153" s="149">
        <v>349.572807889008</v>
      </c>
      <c r="G153" s="149"/>
      <c r="H153" s="149">
        <v>925.78915241630898</v>
      </c>
      <c r="I153" s="149"/>
      <c r="J153" s="149">
        <v>820.67456192989698</v>
      </c>
      <c r="K153" s="149"/>
      <c r="L153" s="149">
        <v>2509.8790898741991</v>
      </c>
      <c r="M153" s="150"/>
      <c r="N153" s="154"/>
      <c r="O153" s="154"/>
      <c r="P153" s="154"/>
      <c r="Q153" s="186"/>
    </row>
    <row r="154" spans="1:22" s="136" customFormat="1" ht="21.1" customHeight="1" x14ac:dyDescent="0.25">
      <c r="A154" s="147" t="s">
        <v>52</v>
      </c>
      <c r="B154" s="148" t="s">
        <v>70</v>
      </c>
      <c r="C154" s="148"/>
      <c r="D154" s="149">
        <v>92.935088510194205</v>
      </c>
      <c r="E154" s="149"/>
      <c r="F154" s="149">
        <v>1309.4783906872899</v>
      </c>
      <c r="G154" s="149"/>
      <c r="H154" s="149">
        <v>1.5200292406281599</v>
      </c>
      <c r="I154" s="149"/>
      <c r="J154" s="149">
        <v>44.736569269362597</v>
      </c>
      <c r="K154" s="149"/>
      <c r="L154" s="149">
        <v>1448.670077707475</v>
      </c>
      <c r="M154" s="150"/>
      <c r="N154" s="154"/>
      <c r="O154" s="154"/>
      <c r="P154" s="154"/>
      <c r="Q154" s="186"/>
    </row>
    <row r="155" spans="1:22" s="136" customFormat="1" ht="21.1" customHeight="1" x14ac:dyDescent="0.25">
      <c r="A155" s="152"/>
      <c r="B155" s="153"/>
      <c r="C155" s="153"/>
      <c r="D155" s="154"/>
      <c r="E155" s="154"/>
      <c r="F155" s="154"/>
      <c r="G155" s="154"/>
      <c r="H155" s="154"/>
      <c r="I155" s="154"/>
      <c r="J155" s="154"/>
      <c r="K155" s="154"/>
      <c r="L155" s="154"/>
      <c r="M155" s="150"/>
      <c r="N155" s="154"/>
      <c r="O155" s="154"/>
      <c r="P155" s="154"/>
      <c r="Q155" s="186"/>
    </row>
    <row r="156" spans="1:22" s="159" customFormat="1" ht="21.1" customHeight="1" x14ac:dyDescent="0.25">
      <c r="A156" s="155"/>
      <c r="B156" s="156" t="s">
        <v>231</v>
      </c>
      <c r="C156" s="156"/>
      <c r="D156" s="182">
        <v>15964.668140375603</v>
      </c>
      <c r="E156" s="157"/>
      <c r="F156" s="182">
        <v>10217.137687506591</v>
      </c>
      <c r="G156" s="157"/>
      <c r="H156" s="157">
        <v>14768.955539182256</v>
      </c>
      <c r="I156" s="157"/>
      <c r="J156" s="157">
        <v>7450.3914420607571</v>
      </c>
      <c r="K156" s="157"/>
      <c r="L156" s="157">
        <v>48401.152809125204</v>
      </c>
      <c r="M156" s="158"/>
      <c r="N156" s="184"/>
      <c r="O156" s="184"/>
      <c r="P156" s="184"/>
      <c r="Q156" s="186"/>
      <c r="R156" s="151"/>
      <c r="S156" s="151"/>
      <c r="T156" s="151"/>
      <c r="U156" s="151"/>
      <c r="V156" s="151"/>
    </row>
    <row r="157" spans="1:22" ht="21.1" customHeight="1" x14ac:dyDescent="0.2">
      <c r="A157" s="160"/>
      <c r="M157" s="162"/>
    </row>
    <row r="158" spans="1:22" ht="21.1" customHeight="1" x14ac:dyDescent="0.2">
      <c r="A158" s="163" t="s">
        <v>225</v>
      </c>
      <c r="B158" s="164"/>
      <c r="C158" s="164"/>
      <c r="D158" s="164"/>
      <c r="E158" s="164"/>
      <c r="F158" s="164"/>
      <c r="G158" s="164"/>
      <c r="H158" s="164"/>
      <c r="I158" s="164"/>
      <c r="J158" s="164"/>
      <c r="K158" s="164"/>
      <c r="L158" s="164"/>
      <c r="M158" s="165"/>
    </row>
    <row r="159" spans="1:22" ht="21.1" customHeight="1" x14ac:dyDescent="0.2">
      <c r="A159" s="166" t="s">
        <v>226</v>
      </c>
      <c r="B159" s="167"/>
      <c r="C159" s="167"/>
      <c r="D159" s="167"/>
      <c r="E159" s="167"/>
      <c r="F159" s="167"/>
      <c r="G159" s="167"/>
      <c r="H159" s="167"/>
      <c r="I159" s="167"/>
      <c r="J159" s="167"/>
      <c r="K159" s="167"/>
      <c r="L159" s="167"/>
      <c r="M159" s="168"/>
    </row>
  </sheetData>
  <mergeCells count="25">
    <mergeCell ref="A120:M121"/>
    <mergeCell ref="A126:A128"/>
    <mergeCell ref="B126:B128"/>
    <mergeCell ref="D126:J126"/>
    <mergeCell ref="L126:L128"/>
    <mergeCell ref="D127:F127"/>
    <mergeCell ref="H127:J127"/>
    <mergeCell ref="A81:K82"/>
    <mergeCell ref="A86:A88"/>
    <mergeCell ref="B86:B88"/>
    <mergeCell ref="D86:J86"/>
    <mergeCell ref="D87:F87"/>
    <mergeCell ref="H87:J87"/>
    <mergeCell ref="A42:K43"/>
    <mergeCell ref="A47:A49"/>
    <mergeCell ref="B47:B49"/>
    <mergeCell ref="D47:K47"/>
    <mergeCell ref="D48:F48"/>
    <mergeCell ref="H48:J48"/>
    <mergeCell ref="A6:A8"/>
    <mergeCell ref="B6:B8"/>
    <mergeCell ref="D6:M6"/>
    <mergeCell ref="D7:F7"/>
    <mergeCell ref="H7:J7"/>
    <mergeCell ref="L7:L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3BF91-C300-4AD9-ACCD-9733734A27EA}">
  <sheetPr codeName="Hoja7"/>
  <dimension ref="A1:CL148"/>
  <sheetViews>
    <sheetView tabSelected="1" zoomScale="40" zoomScaleNormal="40" workbookViewId="0">
      <pane xSplit="1" ySplit="3" topLeftCell="BA22" activePane="bottomRight" state="frozen"/>
      <selection pane="topRight" activeCell="B1" sqref="B1"/>
      <selection pane="bottomLeft" activeCell="A4" sqref="A4"/>
      <selection pane="bottomRight" activeCell="BK44" sqref="BK44:BK49"/>
    </sheetView>
  </sheetViews>
  <sheetFormatPr baseColWidth="10" defaultRowHeight="16.3" x14ac:dyDescent="0.3"/>
  <cols>
    <col min="1" max="1" width="26.75" style="7" customWidth="1"/>
    <col min="2" max="2" width="3.5" style="7" customWidth="1"/>
    <col min="3" max="3" width="2" style="7" customWidth="1"/>
    <col min="4" max="4" width="8.875" style="7" customWidth="1"/>
    <col min="5" max="5" width="7.375" style="7" customWidth="1"/>
    <col min="6" max="6" width="6.375" style="9" customWidth="1"/>
    <col min="7" max="11" width="6.375" style="10" customWidth="1"/>
    <col min="12" max="34" width="6.375" style="9" customWidth="1"/>
    <col min="35" max="36" width="6.375" style="7" customWidth="1"/>
    <col min="37" max="37" width="12.625" style="7" customWidth="1"/>
    <col min="38" max="38" width="14.875" style="7" bestFit="1" customWidth="1"/>
    <col min="39" max="43" width="11" style="7"/>
    <col min="44" max="44" width="6.625" style="7" customWidth="1"/>
    <col min="45" max="45" width="44.875" style="7" customWidth="1"/>
    <col min="46" max="46" width="9.375" style="7" customWidth="1"/>
    <col min="47" max="47" width="8.625" style="7" customWidth="1"/>
    <col min="48" max="50" width="12.25" style="7" customWidth="1"/>
    <col min="51" max="51" width="15" style="7" customWidth="1"/>
    <col min="52" max="53" width="16.75" style="7" customWidth="1"/>
    <col min="54" max="55" width="11" style="7"/>
    <col min="56" max="56" width="47.75" style="7" customWidth="1"/>
    <col min="57" max="57" width="12.25" style="7" customWidth="1"/>
    <col min="58" max="58" width="20.625" style="7" customWidth="1"/>
    <col min="59" max="59" width="22" style="7" customWidth="1"/>
    <col min="60" max="60" width="21.125" style="7" customWidth="1"/>
    <col min="61" max="67" width="12.25" style="7" customWidth="1"/>
    <col min="68" max="68" width="15.25" style="7" customWidth="1"/>
    <col min="69" max="69" width="12.25" style="7" customWidth="1"/>
    <col min="70" max="70" width="13.5" style="7" customWidth="1"/>
    <col min="71" max="16384" width="11" style="7"/>
  </cols>
  <sheetData>
    <row r="1" spans="1:90" x14ac:dyDescent="0.3">
      <c r="A1" s="83"/>
      <c r="C1" s="8" t="s">
        <v>15</v>
      </c>
      <c r="D1" s="8"/>
      <c r="AS1" s="6"/>
      <c r="AT1" s="6"/>
      <c r="AU1" s="6"/>
      <c r="AV1" s="6">
        <v>0</v>
      </c>
      <c r="AW1" s="6">
        <v>0</v>
      </c>
      <c r="AX1" s="6">
        <v>0</v>
      </c>
      <c r="AY1" s="6">
        <v>1</v>
      </c>
      <c r="AZ1" s="6"/>
      <c r="BA1" s="6"/>
      <c r="BB1" s="6"/>
      <c r="BC1" s="11"/>
      <c r="BD1" s="12">
        <v>179008</v>
      </c>
      <c r="BF1" s="7" t="s">
        <v>74</v>
      </c>
      <c r="BL1" s="12">
        <v>179008</v>
      </c>
      <c r="BN1" s="7" t="s">
        <v>74</v>
      </c>
      <c r="BY1" s="7" t="s">
        <v>244</v>
      </c>
      <c r="CD1" s="7" t="s">
        <v>245</v>
      </c>
      <c r="CI1" s="7" t="s">
        <v>246</v>
      </c>
    </row>
    <row r="2" spans="1:90" x14ac:dyDescent="0.3">
      <c r="A2" s="6"/>
      <c r="B2" s="6"/>
      <c r="C2" s="6"/>
      <c r="D2" s="6"/>
      <c r="E2" s="6"/>
      <c r="F2" s="84" t="s">
        <v>53</v>
      </c>
      <c r="G2" s="14" t="s">
        <v>0</v>
      </c>
      <c r="H2" s="85" t="s">
        <v>7</v>
      </c>
      <c r="I2" s="14" t="s">
        <v>8</v>
      </c>
      <c r="J2" s="14" t="s">
        <v>1</v>
      </c>
      <c r="K2" s="14" t="s">
        <v>2</v>
      </c>
      <c r="L2" s="84" t="s">
        <v>54</v>
      </c>
      <c r="M2" s="86" t="s">
        <v>55</v>
      </c>
      <c r="N2" s="86" t="s">
        <v>56</v>
      </c>
      <c r="O2" s="85" t="s">
        <v>197</v>
      </c>
      <c r="P2" s="86" t="s">
        <v>198</v>
      </c>
      <c r="Q2" s="86" t="s">
        <v>58</v>
      </c>
      <c r="R2" s="86" t="s">
        <v>59</v>
      </c>
      <c r="S2" s="86" t="s">
        <v>199</v>
      </c>
      <c r="T2" s="85" t="s">
        <v>200</v>
      </c>
      <c r="U2" s="86" t="s">
        <v>61</v>
      </c>
      <c r="V2" s="86" t="s">
        <v>3</v>
      </c>
      <c r="W2" s="86" t="s">
        <v>4</v>
      </c>
      <c r="X2" s="86" t="s">
        <v>5</v>
      </c>
      <c r="Y2" s="84" t="s">
        <v>62</v>
      </c>
      <c r="Z2" s="86" t="s">
        <v>63</v>
      </c>
      <c r="AA2" s="86" t="s">
        <v>64</v>
      </c>
      <c r="AB2" s="86" t="s">
        <v>65</v>
      </c>
      <c r="AC2" s="86" t="s">
        <v>66</v>
      </c>
      <c r="AD2" s="86" t="s">
        <v>6</v>
      </c>
      <c r="AE2" s="86" t="s">
        <v>67</v>
      </c>
      <c r="AF2" s="86" t="s">
        <v>9</v>
      </c>
      <c r="AG2" s="86" t="s">
        <v>68</v>
      </c>
      <c r="AH2" s="86" t="s">
        <v>10</v>
      </c>
      <c r="AI2" s="86" t="s">
        <v>69</v>
      </c>
      <c r="AJ2" s="90" t="s">
        <v>70</v>
      </c>
      <c r="AK2" s="83" t="s">
        <v>201</v>
      </c>
      <c r="AL2" s="83" t="s">
        <v>202</v>
      </c>
      <c r="AM2" s="97" t="s">
        <v>203</v>
      </c>
      <c r="AN2" s="83" t="s">
        <v>204</v>
      </c>
      <c r="AO2" s="83"/>
      <c r="AS2" s="6"/>
      <c r="AT2" s="6"/>
      <c r="AU2" s="6"/>
      <c r="AV2" s="6"/>
      <c r="AW2" s="6"/>
      <c r="AX2" s="6"/>
      <c r="AY2" s="6"/>
      <c r="AZ2" s="6"/>
      <c r="BA2" s="6"/>
      <c r="BB2" s="6"/>
      <c r="BC2" s="11"/>
      <c r="BD2" s="12"/>
      <c r="BL2" s="12"/>
      <c r="BY2" s="7" t="s">
        <v>218</v>
      </c>
      <c r="CA2" s="7" t="s">
        <v>219</v>
      </c>
      <c r="CD2" s="7" t="s">
        <v>218</v>
      </c>
      <c r="CF2" s="7" t="s">
        <v>219</v>
      </c>
    </row>
    <row r="3" spans="1:90" x14ac:dyDescent="0.3">
      <c r="A3" s="6"/>
      <c r="B3" s="6"/>
      <c r="C3" s="6"/>
      <c r="D3" s="6"/>
      <c r="E3" s="6"/>
      <c r="F3" s="84" t="s">
        <v>25</v>
      </c>
      <c r="G3" s="14" t="s">
        <v>26</v>
      </c>
      <c r="H3" s="85" t="s">
        <v>27</v>
      </c>
      <c r="I3" s="14" t="s">
        <v>28</v>
      </c>
      <c r="J3" s="14" t="s">
        <v>29</v>
      </c>
      <c r="K3" s="14" t="s">
        <v>30</v>
      </c>
      <c r="L3" s="84" t="s">
        <v>31</v>
      </c>
      <c r="M3" s="86" t="s">
        <v>32</v>
      </c>
      <c r="N3" s="86" t="s">
        <v>33</v>
      </c>
      <c r="O3" s="85" t="s">
        <v>34</v>
      </c>
      <c r="P3" s="86"/>
      <c r="Q3" s="86" t="s">
        <v>35</v>
      </c>
      <c r="R3" s="86" t="s">
        <v>36</v>
      </c>
      <c r="S3" s="86" t="s">
        <v>195</v>
      </c>
      <c r="T3" s="85" t="s">
        <v>196</v>
      </c>
      <c r="U3" s="86" t="s">
        <v>37</v>
      </c>
      <c r="V3" s="86" t="s">
        <v>38</v>
      </c>
      <c r="W3" s="86" t="s">
        <v>39</v>
      </c>
      <c r="X3" s="86" t="s">
        <v>40</v>
      </c>
      <c r="Y3" s="84" t="s">
        <v>41</v>
      </c>
      <c r="Z3" s="86" t="s">
        <v>42</v>
      </c>
      <c r="AA3" s="86" t="s">
        <v>43</v>
      </c>
      <c r="AB3" s="86" t="s">
        <v>44</v>
      </c>
      <c r="AC3" s="86" t="s">
        <v>45</v>
      </c>
      <c r="AD3" s="86" t="s">
        <v>46</v>
      </c>
      <c r="AE3" s="86" t="s">
        <v>47</v>
      </c>
      <c r="AF3" s="86" t="s">
        <v>48</v>
      </c>
      <c r="AG3" s="86" t="s">
        <v>49</v>
      </c>
      <c r="AH3" s="86" t="s">
        <v>50</v>
      </c>
      <c r="AI3" s="86" t="s">
        <v>51</v>
      </c>
      <c r="AJ3" s="90" t="s">
        <v>52</v>
      </c>
      <c r="AK3" s="92" t="s">
        <v>11</v>
      </c>
      <c r="AL3" s="92" t="s">
        <v>12</v>
      </c>
      <c r="AM3" s="11" t="s">
        <v>13</v>
      </c>
      <c r="AN3" s="92" t="s">
        <v>14</v>
      </c>
      <c r="AO3" s="92" t="s">
        <v>206</v>
      </c>
      <c r="AS3" s="83"/>
      <c r="AT3" s="15" t="s">
        <v>23</v>
      </c>
      <c r="AU3" s="15" t="s">
        <v>24</v>
      </c>
      <c r="AV3" s="16" t="s">
        <v>11</v>
      </c>
      <c r="AW3" s="16" t="s">
        <v>12</v>
      </c>
      <c r="AX3" s="16" t="s">
        <v>13</v>
      </c>
      <c r="AY3" s="16" t="s">
        <v>19</v>
      </c>
      <c r="AZ3" s="16" t="s">
        <v>20</v>
      </c>
      <c r="BA3" s="16" t="s">
        <v>21</v>
      </c>
      <c r="BB3" s="16" t="s">
        <v>22</v>
      </c>
      <c r="BC3" s="11"/>
      <c r="BD3" s="17" t="s">
        <v>71</v>
      </c>
      <c r="BE3" s="17" t="s">
        <v>72</v>
      </c>
      <c r="BF3" s="17" t="s">
        <v>73</v>
      </c>
      <c r="BG3" s="17" t="s">
        <v>75</v>
      </c>
      <c r="BH3" s="16" t="s">
        <v>77</v>
      </c>
      <c r="BI3" s="16" t="s">
        <v>76</v>
      </c>
      <c r="BJ3" s="18" t="s">
        <v>207</v>
      </c>
      <c r="BK3" s="18"/>
      <c r="BL3" s="17" t="s">
        <v>52</v>
      </c>
      <c r="BM3" s="17" t="s">
        <v>163</v>
      </c>
      <c r="BN3" s="17" t="s">
        <v>164</v>
      </c>
      <c r="BO3" s="17" t="s">
        <v>165</v>
      </c>
      <c r="BP3" s="16" t="s">
        <v>166</v>
      </c>
      <c r="BQ3" s="16" t="s">
        <v>167</v>
      </c>
      <c r="BR3" s="18" t="s">
        <v>208</v>
      </c>
      <c r="BY3" s="7" t="s">
        <v>220</v>
      </c>
      <c r="BZ3" s="7" t="s">
        <v>221</v>
      </c>
      <c r="CA3" s="7" t="s">
        <v>220</v>
      </c>
      <c r="CB3" s="7" t="s">
        <v>221</v>
      </c>
      <c r="CD3" s="7" t="s">
        <v>220</v>
      </c>
      <c r="CE3" s="7" t="s">
        <v>221</v>
      </c>
      <c r="CF3" s="7" t="s">
        <v>220</v>
      </c>
      <c r="CG3" s="7" t="s">
        <v>221</v>
      </c>
    </row>
    <row r="4" spans="1:90" s="19" customFormat="1" x14ac:dyDescent="0.3">
      <c r="A4" s="84" t="s">
        <v>53</v>
      </c>
      <c r="B4" s="13">
        <v>1</v>
      </c>
      <c r="C4" s="13"/>
      <c r="D4" s="13"/>
      <c r="E4" s="84" t="s">
        <v>25</v>
      </c>
      <c r="F4" s="23">
        <v>9646.0230655518208</v>
      </c>
      <c r="G4" s="23">
        <v>2.764237707505631</v>
      </c>
      <c r="H4" s="23">
        <v>17.706209961810657</v>
      </c>
      <c r="I4" s="23">
        <v>0.76288132364347561</v>
      </c>
      <c r="J4" s="23">
        <v>1.0900029038766748</v>
      </c>
      <c r="K4" s="23">
        <v>1.7339857933763496</v>
      </c>
      <c r="L4" s="23">
        <v>45286.122649239202</v>
      </c>
      <c r="M4" s="23">
        <v>424.94038097914603</v>
      </c>
      <c r="N4" s="23">
        <v>546.78982442068104</v>
      </c>
      <c r="O4" s="23">
        <v>378.51328505149826</v>
      </c>
      <c r="P4" s="23">
        <v>278.74850221445575</v>
      </c>
      <c r="Q4" s="23">
        <v>30.255197742941</v>
      </c>
      <c r="R4" s="23">
        <v>40.739973548729203</v>
      </c>
      <c r="S4" s="23">
        <v>8.1482298134731774</v>
      </c>
      <c r="T4" s="23">
        <v>1.6426967486075819</v>
      </c>
      <c r="U4" s="23">
        <v>8.5928805991847703</v>
      </c>
      <c r="V4" s="23">
        <v>252.044506319758</v>
      </c>
      <c r="W4" s="23">
        <v>336.30374839502002</v>
      </c>
      <c r="X4" s="23">
        <v>277.54613927587701</v>
      </c>
      <c r="Y4" s="23">
        <v>39.790887813851697</v>
      </c>
      <c r="Z4" s="23">
        <v>45.784947158159802</v>
      </c>
      <c r="AA4" s="23">
        <v>6237.9245463525504</v>
      </c>
      <c r="AB4" s="23">
        <v>4.4435186680537804</v>
      </c>
      <c r="AC4" s="23">
        <v>7.4720420689847797</v>
      </c>
      <c r="AD4" s="23">
        <v>10.605034637376299</v>
      </c>
      <c r="AE4" s="23">
        <v>7.4680989334546704</v>
      </c>
      <c r="AF4" s="23">
        <v>40.792851280034199</v>
      </c>
      <c r="AG4" s="23">
        <v>66.779735399150198</v>
      </c>
      <c r="AH4" s="23">
        <v>107.957275073486</v>
      </c>
      <c r="AI4" s="23">
        <v>33.216081581911197</v>
      </c>
      <c r="AJ4" s="91">
        <v>0</v>
      </c>
      <c r="AK4" s="93">
        <v>35702.534934125397</v>
      </c>
      <c r="AL4" s="93">
        <v>7087.4713883437498</v>
      </c>
      <c r="AM4" s="98">
        <v>537.29026097325197</v>
      </c>
      <c r="AN4" s="104">
        <v>107470.00000000001</v>
      </c>
      <c r="AO4" s="113">
        <f>AN4/$AN$37</f>
        <v>5.7859048316370051E-2</v>
      </c>
      <c r="AP4" s="89"/>
      <c r="AR4" s="84">
        <f>AT4</f>
        <v>0</v>
      </c>
      <c r="AS4" s="84" t="s">
        <v>53</v>
      </c>
      <c r="AT4" s="20">
        <f>IF(AS4=BD61,BD65*-1,0)</f>
        <v>0</v>
      </c>
      <c r="AU4" s="20">
        <f>1-AT4</f>
        <v>1</v>
      </c>
      <c r="AV4" s="21">
        <f t="shared" ref="AV4:AV34" si="0">IF(AV$1=1,AK4*$AU4,AK4)</f>
        <v>35702.534934125397</v>
      </c>
      <c r="AW4" s="21">
        <f t="shared" ref="AW4:AW34" si="1">IF(AW$1=1,AL4*$AU4,AL4)</f>
        <v>7087.4713883437498</v>
      </c>
      <c r="AX4" s="21">
        <f t="shared" ref="AX4:AX34" si="2">IF(AX$1=1,AM4*$AU4,AM4)</f>
        <v>537.29026097325197</v>
      </c>
      <c r="AY4" s="21">
        <f>IF(AY$1=1,SUM(AV4:AX4)*$AU4,SUM(AV4:AX4))</f>
        <v>43327.296583442403</v>
      </c>
      <c r="AZ4" s="21" cm="1">
        <f t="array" ref="AZ4:AZ34">MMULT(_xlfn.ANCHORARRAY(F111),AY4:AY34)</f>
        <v>113848.60757229952</v>
      </c>
      <c r="BA4" s="109">
        <f>AZ4-AN4</f>
        <v>6378.607572299501</v>
      </c>
      <c r="BB4" s="22">
        <f>AZ4/AN4-1</f>
        <v>5.935244786730709E-2</v>
      </c>
      <c r="BD4" s="23">
        <v>3037864</v>
      </c>
      <c r="BE4" s="24">
        <f>BD4/AN4</f>
        <v>28.267088489811105</v>
      </c>
      <c r="BF4" s="23">
        <f>BE4*AN4</f>
        <v>3037864</v>
      </c>
      <c r="BG4" s="23">
        <f>BE4*AZ4</f>
        <v>3218168.6646879688</v>
      </c>
      <c r="BH4" s="23">
        <f>BG4-BD4</f>
        <v>180304.66468796879</v>
      </c>
      <c r="BI4" s="22">
        <f>BH4/BF4</f>
        <v>5.9352447867307027E-2</v>
      </c>
      <c r="BJ4" s="113">
        <f>BD4/$BF$37</f>
        <v>0.15928456113251255</v>
      </c>
      <c r="BK4" s="25"/>
      <c r="BL4" s="23">
        <v>1063.002933</v>
      </c>
      <c r="BM4" s="113">
        <f>BL4/AN4</f>
        <v>9.8911597003815011E-3</v>
      </c>
      <c r="BN4" s="23">
        <f>BM4*AN4</f>
        <v>1063.002933</v>
      </c>
      <c r="BO4" s="23">
        <f>BM4*AZ4</f>
        <v>1126.0947591636773</v>
      </c>
      <c r="BP4" s="23">
        <f>BO4-BL4</f>
        <v>63.091826163677297</v>
      </c>
      <c r="BQ4" s="22">
        <f>BP4/BN4</f>
        <v>5.935244786730734E-2</v>
      </c>
      <c r="BR4" s="113">
        <f>BL4/$BL$37</f>
        <v>8.9079120996209439E-3</v>
      </c>
      <c r="BY4" s="19">
        <f>$BH4*'Cuadro 10'!AB10</f>
        <v>69608.96297905891</v>
      </c>
      <c r="BZ4" s="19">
        <f>$BH4*'Cuadro 10'!AC10</f>
        <v>7355.4142631935583</v>
      </c>
      <c r="CA4" s="19">
        <f>$BH4*'Cuadro 10'!AD10</f>
        <v>89854.112173269852</v>
      </c>
      <c r="CB4" s="19">
        <f>$BH4*'Cuadro 10'!AE10</f>
        <v>13486.175272446475</v>
      </c>
      <c r="CD4" s="19">
        <v>-12042.596359959607</v>
      </c>
      <c r="CE4" s="19">
        <v>-1272.5126368938656</v>
      </c>
      <c r="CF4" s="19">
        <v>-15545.078649006056</v>
      </c>
      <c r="CG4" s="19">
        <v>-2333.1559370393147</v>
      </c>
      <c r="CI4" s="19">
        <f>BY4-CD4</f>
        <v>81651.559339018509</v>
      </c>
      <c r="CJ4" s="19">
        <f t="shared" ref="CJ4:CL4" si="3">BZ4-CE4</f>
        <v>8627.9269000874247</v>
      </c>
      <c r="CK4" s="19">
        <f t="shared" si="3"/>
        <v>105399.19082227591</v>
      </c>
      <c r="CL4" s="19">
        <f t="shared" si="3"/>
        <v>15819.33120948579</v>
      </c>
    </row>
    <row r="5" spans="1:90" x14ac:dyDescent="0.3">
      <c r="A5" s="85" t="s">
        <v>0</v>
      </c>
      <c r="B5" s="14">
        <v>2</v>
      </c>
      <c r="C5" s="14"/>
      <c r="D5" s="14">
        <v>0.20836798159826647</v>
      </c>
      <c r="E5" s="14" t="s">
        <v>26</v>
      </c>
      <c r="F5" s="23">
        <v>35.228260664343495</v>
      </c>
      <c r="G5" s="23">
        <v>242.7125049768203</v>
      </c>
      <c r="H5" s="23">
        <v>1554.6848817696477</v>
      </c>
      <c r="I5" s="23">
        <v>66.984411853864827</v>
      </c>
      <c r="J5" s="23">
        <v>95.707158076012547</v>
      </c>
      <c r="K5" s="23">
        <v>152.25175257607094</v>
      </c>
      <c r="L5" s="23">
        <v>26.820130560854356</v>
      </c>
      <c r="M5" s="23">
        <v>3.8069960790745481</v>
      </c>
      <c r="N5" s="23">
        <v>6.7673434136861195</v>
      </c>
      <c r="O5" s="23">
        <v>1803.3808671284019</v>
      </c>
      <c r="P5" s="23">
        <v>1328.0635990513661</v>
      </c>
      <c r="Q5" s="23">
        <v>846.48850072846926</v>
      </c>
      <c r="R5" s="23">
        <v>6.2416591521739049</v>
      </c>
      <c r="S5" s="23">
        <v>478.74522136338175</v>
      </c>
      <c r="T5" s="23">
        <v>96.515836758147046</v>
      </c>
      <c r="U5" s="23">
        <v>2.4698940953967092</v>
      </c>
      <c r="V5" s="23">
        <v>129.82977637355185</v>
      </c>
      <c r="W5" s="23">
        <v>562.0487728155656</v>
      </c>
      <c r="X5" s="23">
        <v>42.35580369785341</v>
      </c>
      <c r="Y5" s="23">
        <v>16.599948264228551</v>
      </c>
      <c r="Z5" s="23">
        <v>13.815488851970171</v>
      </c>
      <c r="AA5" s="23">
        <v>11.013126883801924</v>
      </c>
      <c r="AB5" s="23">
        <v>9.2100732996288581</v>
      </c>
      <c r="AC5" s="23">
        <v>6.2209798840960664</v>
      </c>
      <c r="AD5" s="23">
        <v>3.1513818039585026</v>
      </c>
      <c r="AE5" s="23">
        <v>11.843100012262321</v>
      </c>
      <c r="AF5" s="23">
        <v>19.08168250729366</v>
      </c>
      <c r="AG5" s="23">
        <v>7.1737913822006876</v>
      </c>
      <c r="AH5" s="23">
        <v>5.1221570385913822</v>
      </c>
      <c r="AI5" s="23">
        <v>2.9442568749790525</v>
      </c>
      <c r="AJ5" s="91">
        <v>0</v>
      </c>
      <c r="AK5" s="94">
        <v>103.56729478908407</v>
      </c>
      <c r="AL5" s="94">
        <v>603.14339309653042</v>
      </c>
      <c r="AM5" s="99">
        <v>9340.0099541766449</v>
      </c>
      <c r="AN5" s="96">
        <v>17633.999999999953</v>
      </c>
      <c r="AO5" s="114">
        <f t="shared" ref="AO5:AO34" si="4">AN5/$AN$37</f>
        <v>9.4936862195111812E-3</v>
      </c>
      <c r="AP5" s="89"/>
      <c r="AQ5" s="19"/>
      <c r="AR5" s="85">
        <f>AT5</f>
        <v>0.4</v>
      </c>
      <c r="AS5" s="85" t="s">
        <v>0</v>
      </c>
      <c r="AT5" s="26">
        <f>AT6</f>
        <v>0.4</v>
      </c>
      <c r="AU5" s="26">
        <f t="shared" ref="AU5:AU32" si="5">1-AT5</f>
        <v>0.6</v>
      </c>
      <c r="AV5" s="21">
        <f t="shared" si="0"/>
        <v>103.56729478908407</v>
      </c>
      <c r="AW5" s="21">
        <f t="shared" si="1"/>
        <v>603.14339309653042</v>
      </c>
      <c r="AX5" s="21">
        <f t="shared" si="2"/>
        <v>9340.0099541766449</v>
      </c>
      <c r="AY5" s="21">
        <f>IF(AY$1=1,SUM(AV5:AX5)*$AU5,SUM(AV5:AX5))</f>
        <v>6028.0323852373549</v>
      </c>
      <c r="AZ5" s="21">
        <v>8732.4436758969241</v>
      </c>
      <c r="BA5" s="109">
        <f t="shared" ref="BA5:BA34" si="6">AZ5-AN5</f>
        <v>-8901.5563241030286</v>
      </c>
      <c r="BB5" s="22">
        <f t="shared" ref="BB5:BB34" si="7">AZ5/AN5-1</f>
        <v>-0.50479507338681251</v>
      </c>
      <c r="BD5" s="30">
        <v>28012.532470635389</v>
      </c>
      <c r="BE5" s="24">
        <f t="shared" ref="BE5:BE34" si="8">BD5/AN5</f>
        <v>1.5885523687555554</v>
      </c>
      <c r="BF5" s="23">
        <f t="shared" ref="BF5:BF34" si="9">BE5*AN5</f>
        <v>28012.532470635389</v>
      </c>
      <c r="BG5" s="23">
        <f t="shared" ref="BG5:BG34" si="10">BE5*AZ5</f>
        <v>13871.944086370528</v>
      </c>
      <c r="BH5" s="30">
        <f t="shared" ref="BH5:BH32" si="11">BG5-BD5</f>
        <v>-14140.588384264862</v>
      </c>
      <c r="BI5" s="22">
        <f t="shared" ref="BI5:BI34" si="12">BH5/BF5</f>
        <v>-0.50479507338681262</v>
      </c>
      <c r="BJ5" s="114">
        <f t="shared" ref="BJ5:BJ34" si="13">BD5/$BF$37</f>
        <v>1.4687833098504131E-3</v>
      </c>
      <c r="BK5" s="107"/>
      <c r="BL5" s="30">
        <v>1174.136673</v>
      </c>
      <c r="BM5" s="114">
        <f t="shared" ref="BM5:BM34" si="14">BL5/AN5</f>
        <v>6.6583683395713009E-2</v>
      </c>
      <c r="BN5" s="23">
        <f t="shared" ref="BN5:BN34" si="15">BM5*AN5</f>
        <v>1174.136673</v>
      </c>
      <c r="BO5" s="23">
        <f t="shared" ref="BO5:BO34" si="16">BM5*AZ5</f>
        <v>581.4382649868171</v>
      </c>
      <c r="BP5" s="30">
        <f t="shared" ref="BP5:BP32" si="17">BO5-BL5</f>
        <v>-592.69840801318287</v>
      </c>
      <c r="BQ5" s="108">
        <f t="shared" ref="BQ5:BQ32" si="18">BP5/BN5</f>
        <v>-0.50479507338681251</v>
      </c>
      <c r="BR5" s="27">
        <f t="shared" ref="BR5:BR34" si="19">BL5/$BL$37</f>
        <v>9.8392073543087585E-3</v>
      </c>
      <c r="BY5" s="19">
        <f>$BH5*'Cuadro 10'!AB11</f>
        <v>-8536.1835683430563</v>
      </c>
      <c r="BZ5" s="19">
        <f>$BH5*'Cuadro 10'!AC11</f>
        <v>-1125.082582184911</v>
      </c>
      <c r="CA5" s="19">
        <f>$BH5*'Cuadro 10'!AD11</f>
        <v>-3677.685038764107</v>
      </c>
      <c r="CB5" s="19">
        <f>$BH5*'Cuadro 10'!AE11</f>
        <v>-801.63719497278885</v>
      </c>
      <c r="CD5" s="7">
        <v>-8576.6028793802707</v>
      </c>
      <c r="CE5" s="7">
        <v>-1130.4099117189819</v>
      </c>
      <c r="CF5" s="7">
        <v>-3695.0990850165795</v>
      </c>
      <c r="CG5" s="7">
        <v>-805.43299234092058</v>
      </c>
      <c r="CI5" s="19">
        <f t="shared" ref="CI5:CI34" si="20">BY5-CD5</f>
        <v>40.419311037214356</v>
      </c>
      <c r="CJ5" s="19">
        <f t="shared" ref="CJ5:CJ34" si="21">BZ5-CE5</f>
        <v>5.327329534070941</v>
      </c>
      <c r="CK5" s="19">
        <f t="shared" ref="CK5:CK34" si="22">CA5-CF5</f>
        <v>17.414046252472417</v>
      </c>
      <c r="CL5" s="19">
        <f t="shared" ref="CL5:CL34" si="23">CB5-CG5</f>
        <v>3.7957973681317299</v>
      </c>
    </row>
    <row r="6" spans="1:90" x14ac:dyDescent="0.3">
      <c r="A6" s="85" t="s">
        <v>7</v>
      </c>
      <c r="B6" s="13">
        <v>3</v>
      </c>
      <c r="C6" s="14"/>
      <c r="D6" s="14">
        <v>0.50821875673662287</v>
      </c>
      <c r="E6" s="85" t="s">
        <v>27</v>
      </c>
      <c r="F6" s="23">
        <v>124.15794329297327</v>
      </c>
      <c r="G6" s="23">
        <v>855.41224179451342</v>
      </c>
      <c r="H6" s="23">
        <v>5479.3076282807142</v>
      </c>
      <c r="I6" s="23">
        <v>236.07883703673909</v>
      </c>
      <c r="J6" s="23">
        <v>337.30884469015092</v>
      </c>
      <c r="K6" s="23">
        <v>536.59374905581615</v>
      </c>
      <c r="L6" s="23">
        <v>94.524458105168549</v>
      </c>
      <c r="M6" s="23">
        <v>13.417318777271452</v>
      </c>
      <c r="N6" s="23">
        <v>23.850721663671312</v>
      </c>
      <c r="O6" s="23">
        <v>6355.807956853997</v>
      </c>
      <c r="P6" s="23">
        <v>4680.6070442011796</v>
      </c>
      <c r="Q6" s="23">
        <v>2983.3511303036066</v>
      </c>
      <c r="R6" s="23">
        <v>21.998008089398727</v>
      </c>
      <c r="S6" s="23">
        <v>1687.2823388064478</v>
      </c>
      <c r="T6" s="23">
        <v>340.15893947386292</v>
      </c>
      <c r="U6" s="23">
        <v>8.7048569884774043</v>
      </c>
      <c r="V6" s="23">
        <v>457.57007892933524</v>
      </c>
      <c r="W6" s="23">
        <v>1980.8761019459394</v>
      </c>
      <c r="X6" s="23">
        <v>149.27814698978676</v>
      </c>
      <c r="Y6" s="23">
        <v>58.504603871699175</v>
      </c>
      <c r="Z6" s="23">
        <v>48.691097689752567</v>
      </c>
      <c r="AA6" s="23">
        <v>38.814496013463071</v>
      </c>
      <c r="AB6" s="23">
        <v>32.459841527653147</v>
      </c>
      <c r="AC6" s="23">
        <v>21.92512639314322</v>
      </c>
      <c r="AD6" s="23">
        <v>11.106681849507632</v>
      </c>
      <c r="AE6" s="23">
        <v>41.739640618242774</v>
      </c>
      <c r="AF6" s="23">
        <v>67.251190095599256</v>
      </c>
      <c r="AG6" s="23">
        <v>25.28320066986457</v>
      </c>
      <c r="AH6" s="23">
        <v>18.052451955961029</v>
      </c>
      <c r="AI6" s="23">
        <v>10.376693916472364</v>
      </c>
      <c r="AJ6" s="91">
        <v>0</v>
      </c>
      <c r="AK6" s="94">
        <v>365.01099035084525</v>
      </c>
      <c r="AL6" s="94">
        <v>2125.7093533830316</v>
      </c>
      <c r="AM6" s="99">
        <v>32917.788286385738</v>
      </c>
      <c r="AN6" s="96">
        <v>62149.000000000022</v>
      </c>
      <c r="AO6" s="114">
        <f t="shared" si="4"/>
        <v>3.3459402566428612E-2</v>
      </c>
      <c r="AP6" s="89"/>
      <c r="AQ6" s="19"/>
      <c r="AR6" s="85">
        <f>AT6</f>
        <v>0.4</v>
      </c>
      <c r="AS6" s="85" t="s">
        <v>7</v>
      </c>
      <c r="AT6" s="26">
        <f>AT13</f>
        <v>0.4</v>
      </c>
      <c r="AU6" s="26">
        <f t="shared" si="5"/>
        <v>0.6</v>
      </c>
      <c r="AV6" s="21">
        <f t="shared" si="0"/>
        <v>365.01099035084525</v>
      </c>
      <c r="AW6" s="21">
        <f t="shared" si="1"/>
        <v>2125.7093533830316</v>
      </c>
      <c r="AX6" s="21">
        <f t="shared" si="2"/>
        <v>32917.788286385738</v>
      </c>
      <c r="AY6" s="21">
        <f t="shared" ref="AY6:AY34" si="24">IF(AY$1=1,SUM(AV6:AX6)*$AU6,SUM(AV6:AX6))</f>
        <v>21245.105178071768</v>
      </c>
      <c r="AZ6" s="21">
        <v>30776.490984083041</v>
      </c>
      <c r="BA6" s="109">
        <f t="shared" si="6"/>
        <v>-31372.509015916981</v>
      </c>
      <c r="BB6" s="22">
        <f t="shared" si="7"/>
        <v>-0.50479507338681184</v>
      </c>
      <c r="BD6" s="30">
        <v>98726.941165789045</v>
      </c>
      <c r="BE6" s="24">
        <f t="shared" si="8"/>
        <v>1.5885523687555554</v>
      </c>
      <c r="BF6" s="23">
        <f t="shared" si="9"/>
        <v>98726.941165789045</v>
      </c>
      <c r="BG6" s="23">
        <f t="shared" si="10"/>
        <v>48890.067654749109</v>
      </c>
      <c r="BH6" s="30">
        <f t="shared" si="11"/>
        <v>-49836.873511039936</v>
      </c>
      <c r="BI6" s="22">
        <f t="shared" si="12"/>
        <v>-0.50479507338681184</v>
      </c>
      <c r="BJ6" s="114">
        <f t="shared" si="13"/>
        <v>5.1765574415273677E-3</v>
      </c>
      <c r="BK6" s="107"/>
      <c r="BL6" s="30">
        <v>7703.3558190000003</v>
      </c>
      <c r="BM6" s="114">
        <f t="shared" si="14"/>
        <v>0.12394979515358248</v>
      </c>
      <c r="BN6" s="23">
        <f t="shared" si="15"/>
        <v>7703.3558190000003</v>
      </c>
      <c r="BO6" s="23">
        <f t="shared" si="16"/>
        <v>3814.739753023171</v>
      </c>
      <c r="BP6" s="30">
        <f>BO6-BL6</f>
        <v>-3888.6160659768293</v>
      </c>
      <c r="BQ6" s="108">
        <f t="shared" si="18"/>
        <v>-0.50479507338681184</v>
      </c>
      <c r="BR6" s="114">
        <f t="shared" si="19"/>
        <v>6.4553741459672451E-2</v>
      </c>
      <c r="BY6" s="19">
        <f>$BH6*'Cuadro 10'!AB12</f>
        <v>-30084.794861571587</v>
      </c>
      <c r="BZ6" s="19">
        <f>$BH6*'Cuadro 10'!AC12</f>
        <v>-3965.2238516621373</v>
      </c>
      <c r="CA6" s="19">
        <f>$BH6*'Cuadro 10'!AD12</f>
        <v>-12961.57692379215</v>
      </c>
      <c r="CB6" s="19">
        <f>$BH6*'Cuadro 10'!AE12</f>
        <v>-2825.2778740140593</v>
      </c>
      <c r="CD6" s="7">
        <v>-30227.248063434621</v>
      </c>
      <c r="CE6" s="7">
        <v>-3983.9994104243628</v>
      </c>
      <c r="CF6" s="7">
        <v>-13022.950722167179</v>
      </c>
      <c r="CG6" s="7">
        <v>-2838.6557242257018</v>
      </c>
      <c r="CI6" s="19">
        <f t="shared" si="20"/>
        <v>142.45320186303434</v>
      </c>
      <c r="CJ6" s="19">
        <f t="shared" si="21"/>
        <v>18.775558762225501</v>
      </c>
      <c r="CK6" s="19">
        <f t="shared" si="22"/>
        <v>61.373798375028855</v>
      </c>
      <c r="CL6" s="19">
        <f t="shared" si="23"/>
        <v>13.377850211642453</v>
      </c>
    </row>
    <row r="7" spans="1:90" x14ac:dyDescent="0.3">
      <c r="A7" s="14" t="s">
        <v>8</v>
      </c>
      <c r="B7" s="14">
        <v>4</v>
      </c>
      <c r="C7" s="14"/>
      <c r="D7" s="14">
        <v>5.2991900857750497E-2</v>
      </c>
      <c r="E7" s="14" t="s">
        <v>28</v>
      </c>
      <c r="F7" s="23">
        <v>10.999591880337734</v>
      </c>
      <c r="G7" s="23">
        <v>75.78399979598359</v>
      </c>
      <c r="H7" s="23">
        <v>485.43126681545272</v>
      </c>
      <c r="I7" s="23">
        <v>20.915060205703771</v>
      </c>
      <c r="J7" s="23">
        <v>29.883385072390034</v>
      </c>
      <c r="K7" s="23">
        <v>47.538740483375747</v>
      </c>
      <c r="L7" s="23">
        <v>8.3742564856563639</v>
      </c>
      <c r="M7" s="23">
        <v>1.1886877856064701</v>
      </c>
      <c r="N7" s="23">
        <v>2.1130198954154378</v>
      </c>
      <c r="O7" s="23">
        <v>563.08353489900173</v>
      </c>
      <c r="P7" s="23">
        <v>414.67155361102607</v>
      </c>
      <c r="Q7" s="23">
        <v>264.30564165878184</v>
      </c>
      <c r="R7" s="23">
        <v>1.9488814388039908</v>
      </c>
      <c r="S7" s="23">
        <v>149.48231761521967</v>
      </c>
      <c r="T7" s="23">
        <v>30.135885062399822</v>
      </c>
      <c r="U7" s="23">
        <v>0.77119410736385974</v>
      </c>
      <c r="V7" s="23">
        <v>40.537753698127347</v>
      </c>
      <c r="W7" s="23">
        <v>175.49282880359019</v>
      </c>
      <c r="X7" s="23">
        <v>13.225079684721631</v>
      </c>
      <c r="Y7" s="23">
        <v>5.1831300409914114</v>
      </c>
      <c r="Z7" s="23">
        <v>4.313716775487574</v>
      </c>
      <c r="AA7" s="23">
        <v>3.4387136566980545</v>
      </c>
      <c r="AB7" s="23">
        <v>2.8757323118836666</v>
      </c>
      <c r="AC7" s="23">
        <v>1.9424245912347167</v>
      </c>
      <c r="AD7" s="23">
        <v>0.98398027745239558</v>
      </c>
      <c r="AE7" s="23">
        <v>3.6978625761322692</v>
      </c>
      <c r="AF7" s="23">
        <v>5.9580210890982794</v>
      </c>
      <c r="AG7" s="23">
        <v>2.239928283452254</v>
      </c>
      <c r="AH7" s="23">
        <v>1.5993306484339456</v>
      </c>
      <c r="AI7" s="23">
        <v>0.91930806133802245</v>
      </c>
      <c r="AJ7" s="91">
        <v>0</v>
      </c>
      <c r="AK7" s="94">
        <v>32.337616258857764</v>
      </c>
      <c r="AL7" s="94">
        <v>188.3241194504651</v>
      </c>
      <c r="AM7" s="99">
        <v>2916.3034369795105</v>
      </c>
      <c r="AN7" s="96">
        <v>5505.9999999999945</v>
      </c>
      <c r="AO7" s="27">
        <f t="shared" si="4"/>
        <v>2.9642869640823777E-3</v>
      </c>
      <c r="AP7" s="89"/>
      <c r="AQ7" s="19"/>
      <c r="AR7" s="14"/>
      <c r="AS7" s="14" t="s">
        <v>8</v>
      </c>
      <c r="AT7" s="26">
        <v>0</v>
      </c>
      <c r="AU7" s="26">
        <f t="shared" si="5"/>
        <v>1</v>
      </c>
      <c r="AV7" s="21">
        <f t="shared" si="0"/>
        <v>32.337616258857764</v>
      </c>
      <c r="AW7" s="21">
        <f t="shared" si="1"/>
        <v>188.3241194504651</v>
      </c>
      <c r="AX7" s="21">
        <f t="shared" si="2"/>
        <v>2916.3034369795105</v>
      </c>
      <c r="AY7" s="21">
        <f t="shared" si="24"/>
        <v>3136.9651726888333</v>
      </c>
      <c r="AZ7" s="21">
        <v>4544.3305432203506</v>
      </c>
      <c r="BA7" s="109">
        <f t="shared" si="6"/>
        <v>-961.66945677964395</v>
      </c>
      <c r="BB7" s="22">
        <f t="shared" si="7"/>
        <v>-0.17465845564468674</v>
      </c>
      <c r="BD7" s="30">
        <v>8746.5693423680787</v>
      </c>
      <c r="BE7" s="24">
        <f t="shared" si="8"/>
        <v>1.5885523687555552</v>
      </c>
      <c r="BF7" s="23">
        <f t="shared" si="9"/>
        <v>8746.5693423680787</v>
      </c>
      <c r="BG7" s="23">
        <f t="shared" si="10"/>
        <v>7218.907048840907</v>
      </c>
      <c r="BH7" s="30">
        <f t="shared" si="11"/>
        <v>-1527.6622935271716</v>
      </c>
      <c r="BI7" s="22">
        <f t="shared" si="12"/>
        <v>-0.17465845564468671</v>
      </c>
      <c r="BJ7" s="27">
        <f t="shared" si="13"/>
        <v>4.5860955563323052E-4</v>
      </c>
      <c r="BK7" s="107"/>
      <c r="BL7" s="30">
        <v>638.61946799999998</v>
      </c>
      <c r="BM7" s="27">
        <f t="shared" si="14"/>
        <v>0.11598610025426818</v>
      </c>
      <c r="BN7" s="23">
        <f t="shared" si="15"/>
        <v>638.61946799999998</v>
      </c>
      <c r="BO7" s="23">
        <f t="shared" si="16"/>
        <v>527.07917797448863</v>
      </c>
      <c r="BP7" s="30">
        <f t="shared" si="17"/>
        <v>-111.54029002551135</v>
      </c>
      <c r="BQ7" s="108">
        <f t="shared" si="18"/>
        <v>-0.1746584556446866</v>
      </c>
      <c r="BR7" s="27">
        <f t="shared" si="19"/>
        <v>5.3515996141194943E-3</v>
      </c>
      <c r="BY7" s="19">
        <f>$BH7*'Cuadro 10'!AB13</f>
        <v>-922.19682898731446</v>
      </c>
      <c r="BZ7" s="19">
        <f>$BH7*'Cuadro 10'!AC13</f>
        <v>-121.5470100113113</v>
      </c>
      <c r="CA7" s="19">
        <f>$BH7*'Cuadro 10'!AD13</f>
        <v>-397.314497000757</v>
      </c>
      <c r="CB7" s="19">
        <f>$BH7*'Cuadro 10'!AE13</f>
        <v>-86.603957527788879</v>
      </c>
      <c r="CD7" s="7">
        <v>-943.23088503160216</v>
      </c>
      <c r="CE7" s="7">
        <v>-124.31933207991027</v>
      </c>
      <c r="CF7" s="7">
        <v>-406.37670057209118</v>
      </c>
      <c r="CG7" s="7">
        <v>-88.579276070465937</v>
      </c>
      <c r="CI7" s="19">
        <f t="shared" si="20"/>
        <v>21.034056044287695</v>
      </c>
      <c r="CJ7" s="19">
        <f t="shared" si="21"/>
        <v>2.7723220685989673</v>
      </c>
      <c r="CK7" s="19">
        <f t="shared" si="22"/>
        <v>9.0622035713341802</v>
      </c>
      <c r="CL7" s="19">
        <f t="shared" si="23"/>
        <v>1.9753185426770585</v>
      </c>
    </row>
    <row r="8" spans="1:90" x14ac:dyDescent="0.3">
      <c r="A8" s="14" t="s">
        <v>1</v>
      </c>
      <c r="B8" s="13">
        <v>5</v>
      </c>
      <c r="C8" s="14"/>
      <c r="D8" s="14">
        <v>6.389328716328789E-2</v>
      </c>
      <c r="E8" s="14" t="s">
        <v>29</v>
      </c>
      <c r="F8" s="23">
        <v>9.341462337896715</v>
      </c>
      <c r="G8" s="23">
        <v>64.359967861609107</v>
      </c>
      <c r="H8" s="23">
        <v>412.25510418253907</v>
      </c>
      <c r="I8" s="23">
        <v>17.762226938225748</v>
      </c>
      <c r="J8" s="23">
        <v>25.378624881673812</v>
      </c>
      <c r="K8" s="23">
        <v>40.372530058166603</v>
      </c>
      <c r="L8" s="23">
        <v>7.1118821879638956</v>
      </c>
      <c r="M8" s="23">
        <v>1.0094994706676101</v>
      </c>
      <c r="N8" s="23">
        <v>1.7944934673015986</v>
      </c>
      <c r="O8" s="23">
        <v>478.20170889715513</v>
      </c>
      <c r="P8" s="23">
        <v>352.16203862788967</v>
      </c>
      <c r="Q8" s="23">
        <v>224.46298227324112</v>
      </c>
      <c r="R8" s="23">
        <v>1.6550980036046992</v>
      </c>
      <c r="S8" s="23">
        <v>126.94865912981625</v>
      </c>
      <c r="T8" s="23">
        <v>25.593061851031923</v>
      </c>
      <c r="U8" s="23">
        <v>0.6549407275759922</v>
      </c>
      <c r="V8" s="23">
        <v>34.426904520966893</v>
      </c>
      <c r="W8" s="23">
        <v>149.03822511543567</v>
      </c>
      <c r="X8" s="23">
        <v>11.231469779469386</v>
      </c>
      <c r="Y8" s="23">
        <v>4.40180095744204</v>
      </c>
      <c r="Z8" s="23">
        <v>3.6634470835779012</v>
      </c>
      <c r="AA8" s="23">
        <v>2.9203459968616281</v>
      </c>
      <c r="AB8" s="23">
        <v>2.4422310734413446</v>
      </c>
      <c r="AC8" s="23">
        <v>1.6496144912120501</v>
      </c>
      <c r="AD8" s="23">
        <v>0.83565052258761496</v>
      </c>
      <c r="AE8" s="23">
        <v>3.1404296051570135</v>
      </c>
      <c r="AF8" s="23">
        <v>5.0598813317514697</v>
      </c>
      <c r="AG8" s="23">
        <v>1.9022710957905475</v>
      </c>
      <c r="AH8" s="23">
        <v>1.3582401220626843</v>
      </c>
      <c r="AI8" s="23">
        <v>0.78072729655223383</v>
      </c>
      <c r="AJ8" s="91">
        <v>0</v>
      </c>
      <c r="AK8" s="94">
        <v>27.46289386604052</v>
      </c>
      <c r="AL8" s="94">
        <v>159.9352674446742</v>
      </c>
      <c r="AM8" s="99">
        <v>2476.6863188006196</v>
      </c>
      <c r="AN8" s="96">
        <v>4676.0000000000018</v>
      </c>
      <c r="AO8" s="27">
        <f t="shared" si="4"/>
        <v>2.5174365862784633E-3</v>
      </c>
      <c r="AP8" s="89"/>
      <c r="AQ8" s="19"/>
      <c r="AR8" s="14"/>
      <c r="AS8" s="14" t="s">
        <v>1</v>
      </c>
      <c r="AT8" s="26">
        <v>0</v>
      </c>
      <c r="AU8" s="26">
        <f t="shared" si="5"/>
        <v>1</v>
      </c>
      <c r="AV8" s="21">
        <f t="shared" si="0"/>
        <v>27.46289386604052</v>
      </c>
      <c r="AW8" s="21">
        <f t="shared" si="1"/>
        <v>159.9352674446742</v>
      </c>
      <c r="AX8" s="21">
        <f t="shared" si="2"/>
        <v>2476.6863188006196</v>
      </c>
      <c r="AY8" s="21">
        <f t="shared" si="24"/>
        <v>2664.0844801113344</v>
      </c>
      <c r="AZ8" s="21">
        <v>3859.2970614054475</v>
      </c>
      <c r="BA8" s="109">
        <f t="shared" si="6"/>
        <v>-816.70293859455433</v>
      </c>
      <c r="BB8" s="22">
        <f t="shared" si="7"/>
        <v>-0.17465845564468652</v>
      </c>
      <c r="BD8" s="30">
        <v>7428.0708763009789</v>
      </c>
      <c r="BE8" s="24">
        <f t="shared" si="8"/>
        <v>1.5885523687555552</v>
      </c>
      <c r="BF8" s="23">
        <f t="shared" si="9"/>
        <v>7428.0708763009789</v>
      </c>
      <c r="BG8" s="23">
        <f t="shared" si="10"/>
        <v>6130.6954886269768</v>
      </c>
      <c r="BH8" s="30">
        <f t="shared" si="11"/>
        <v>-1297.375387674002</v>
      </c>
      <c r="BI8" s="22">
        <f t="shared" si="12"/>
        <v>-0.17465845564468649</v>
      </c>
      <c r="BJ8" s="27">
        <f>BD8/$BF$37</f>
        <v>3.8947662225590065E-4</v>
      </c>
      <c r="BK8" s="107"/>
      <c r="BL8" s="30">
        <v>149.38992300000001</v>
      </c>
      <c r="BM8" s="27">
        <f t="shared" si="14"/>
        <v>3.1948229897348149E-2</v>
      </c>
      <c r="BN8" s="23">
        <f t="shared" si="15"/>
        <v>149.38992300000001</v>
      </c>
      <c r="BO8" s="23">
        <f t="shared" si="16"/>
        <v>123.29770975994137</v>
      </c>
      <c r="BP8" s="30">
        <f t="shared" si="17"/>
        <v>-26.092213240058641</v>
      </c>
      <c r="BQ8" s="108">
        <f t="shared" si="18"/>
        <v>-0.17465845564468654</v>
      </c>
      <c r="BR8" s="27">
        <f>BL8/$BL$37</f>
        <v>1.2518801795753289E-3</v>
      </c>
      <c r="BY8" s="19">
        <f>$BH8*'Cuadro 10'!AB14</f>
        <v>-783.18059795580871</v>
      </c>
      <c r="BZ8" s="19">
        <f>$BH8*'Cuadro 10'!AC14</f>
        <v>-103.22444947564324</v>
      </c>
      <c r="CA8" s="19">
        <f>$BH8*'Cuadro 10'!AD14</f>
        <v>-337.42146530612774</v>
      </c>
      <c r="CB8" s="19">
        <f>$BH8*'Cuadro 10'!AE14</f>
        <v>-73.548874936422237</v>
      </c>
      <c r="CD8" s="7">
        <v>-801.04388274750409</v>
      </c>
      <c r="CE8" s="7">
        <v>-105.57885884592419</v>
      </c>
      <c r="CF8" s="7">
        <v>-345.11759024247942</v>
      </c>
      <c r="CG8" s="7">
        <v>-75.226424792135376</v>
      </c>
      <c r="CI8" s="19">
        <f t="shared" si="20"/>
        <v>17.863284791695378</v>
      </c>
      <c r="CJ8" s="19">
        <f t="shared" si="21"/>
        <v>2.3544093702809477</v>
      </c>
      <c r="CK8" s="19">
        <f t="shared" si="22"/>
        <v>7.6961249363516799</v>
      </c>
      <c r="CL8" s="19">
        <f t="shared" si="23"/>
        <v>1.6775498557131385</v>
      </c>
    </row>
    <row r="9" spans="1:90" x14ac:dyDescent="0.3">
      <c r="A9" s="14" t="s">
        <v>2</v>
      </c>
      <c r="B9" s="14">
        <v>6</v>
      </c>
      <c r="C9" s="14"/>
      <c r="D9" s="14">
        <v>0.16652807364407232</v>
      </c>
      <c r="E9" s="14" t="s">
        <v>30</v>
      </c>
      <c r="F9" s="23">
        <v>29.3029447331628</v>
      </c>
      <c r="G9" s="23">
        <v>201.88879567880323</v>
      </c>
      <c r="H9" s="23">
        <v>1293.1903054211919</v>
      </c>
      <c r="I9" s="23">
        <v>55.717781165503787</v>
      </c>
      <c r="J9" s="23">
        <v>79.609424671597964</v>
      </c>
      <c r="K9" s="23">
        <v>126.64334279152881</v>
      </c>
      <c r="L9" s="23">
        <v>22.309043612714841</v>
      </c>
      <c r="M9" s="23">
        <v>3.1666677150882232</v>
      </c>
      <c r="N9" s="23">
        <v>5.6290911416552376</v>
      </c>
      <c r="O9" s="23">
        <v>1500.0561732471092</v>
      </c>
      <c r="P9" s="23">
        <v>1104.6862238224753</v>
      </c>
      <c r="Q9" s="23">
        <v>704.11099743026227</v>
      </c>
      <c r="R9" s="23">
        <v>5.1918258162689837</v>
      </c>
      <c r="S9" s="23">
        <v>398.2213285107245</v>
      </c>
      <c r="T9" s="23">
        <v>80.282085378729022</v>
      </c>
      <c r="U9" s="23">
        <v>2.0544633430463364</v>
      </c>
      <c r="V9" s="23">
        <v>107.99269365131379</v>
      </c>
      <c r="W9" s="23">
        <v>467.51340590102956</v>
      </c>
      <c r="X9" s="23">
        <v>35.231650711132851</v>
      </c>
      <c r="Y9" s="23">
        <v>13.807873490966628</v>
      </c>
      <c r="Z9" s="23">
        <v>11.491754025218295</v>
      </c>
      <c r="AA9" s="23">
        <v>9.1607431740732324</v>
      </c>
      <c r="AB9" s="23">
        <v>7.6609592355084901</v>
      </c>
      <c r="AC9" s="23">
        <v>5.17462475558135</v>
      </c>
      <c r="AD9" s="23">
        <v>2.6213263185019584</v>
      </c>
      <c r="AE9" s="23">
        <v>9.851116648512221</v>
      </c>
      <c r="AF9" s="23">
        <v>15.872185494895357</v>
      </c>
      <c r="AG9" s="23">
        <v>5.9671754561710433</v>
      </c>
      <c r="AH9" s="23">
        <v>4.2606214949562631</v>
      </c>
      <c r="AI9" s="23">
        <v>2.4490393468409288</v>
      </c>
      <c r="AJ9" s="91">
        <v>0</v>
      </c>
      <c r="AK9" s="94">
        <v>86.147503684149498</v>
      </c>
      <c r="AL9" s="94">
        <v>501.69600147101897</v>
      </c>
      <c r="AM9" s="99">
        <v>7769.0408306602967</v>
      </c>
      <c r="AN9" s="96">
        <v>14668.000000000029</v>
      </c>
      <c r="AO9" s="27">
        <f t="shared" si="4"/>
        <v>7.8968690862986652E-3</v>
      </c>
      <c r="AP9" s="89"/>
      <c r="AQ9" s="19"/>
      <c r="AR9" s="14"/>
      <c r="AS9" s="14" t="s">
        <v>2</v>
      </c>
      <c r="AT9" s="26">
        <v>0</v>
      </c>
      <c r="AU9" s="26">
        <f t="shared" si="5"/>
        <v>1</v>
      </c>
      <c r="AV9" s="21">
        <f t="shared" si="0"/>
        <v>86.147503684149498</v>
      </c>
      <c r="AW9" s="21">
        <f t="shared" si="1"/>
        <v>501.69600147101897</v>
      </c>
      <c r="AX9" s="21">
        <f t="shared" si="2"/>
        <v>7769.0408306602967</v>
      </c>
      <c r="AY9" s="21">
        <f t="shared" si="24"/>
        <v>8356.8843358154645</v>
      </c>
      <c r="AZ9" s="21">
        <v>12106.109772603753</v>
      </c>
      <c r="BA9" s="109">
        <f t="shared" si="6"/>
        <v>-2561.8902273962758</v>
      </c>
      <c r="BB9" s="22">
        <f t="shared" si="7"/>
        <v>-0.17465845564468707</v>
      </c>
      <c r="BD9" s="30">
        <v>23300.886144906533</v>
      </c>
      <c r="BE9" s="24">
        <f t="shared" si="8"/>
        <v>1.5885523687555554</v>
      </c>
      <c r="BF9" s="23">
        <f t="shared" si="9"/>
        <v>23300.886144906533</v>
      </c>
      <c r="BG9" s="23">
        <f t="shared" si="10"/>
        <v>19231.18935568447</v>
      </c>
      <c r="BH9" s="30">
        <f t="shared" si="11"/>
        <v>-4069.6967892220637</v>
      </c>
      <c r="BI9" s="22">
        <f t="shared" si="12"/>
        <v>-0.17465845564468718</v>
      </c>
      <c r="BJ9" s="27">
        <f t="shared" si="13"/>
        <v>1.2217371888899829E-3</v>
      </c>
      <c r="BK9" s="107"/>
      <c r="BL9" s="30">
        <v>1878.5033870000002</v>
      </c>
      <c r="BM9" s="27">
        <f t="shared" si="14"/>
        <v>0.1280681338287426</v>
      </c>
      <c r="BN9" s="23">
        <f t="shared" si="15"/>
        <v>1878.5033870000002</v>
      </c>
      <c r="BO9" s="23">
        <f t="shared" si="16"/>
        <v>1550.4068865032662</v>
      </c>
      <c r="BP9" s="30">
        <f t="shared" si="17"/>
        <v>-328.09650049673405</v>
      </c>
      <c r="BQ9" s="108">
        <f t="shared" si="18"/>
        <v>-0.17465845564468713</v>
      </c>
      <c r="BR9" s="27">
        <f t="shared" si="19"/>
        <v>1.5741765644061705E-2</v>
      </c>
      <c r="BY9" s="19">
        <f>$BH9*'Cuadro 10'!AB15</f>
        <v>-2456.7350322531793</v>
      </c>
      <c r="BZ9" s="19">
        <f>$BH9*'Cuadro 10'!AC15</f>
        <v>-323.80158787612135</v>
      </c>
      <c r="CA9" s="19">
        <f>$BH9*'Cuadro 10'!AD15</f>
        <v>-1058.4469745744889</v>
      </c>
      <c r="CB9" s="19">
        <f>$BH9*'Cuadro 10'!AE15</f>
        <v>-230.71319451827364</v>
      </c>
      <c r="CD9" s="7">
        <v>-2512.7698186784496</v>
      </c>
      <c r="CE9" s="7">
        <v>-331.18706192301562</v>
      </c>
      <c r="CF9" s="7">
        <v>-1082.5887112225635</v>
      </c>
      <c r="CG9" s="7">
        <v>-235.97544885608332</v>
      </c>
      <c r="CI9" s="19">
        <f t="shared" si="20"/>
        <v>56.03478642527034</v>
      </c>
      <c r="CJ9" s="19">
        <f t="shared" si="21"/>
        <v>7.3854740468942737</v>
      </c>
      <c r="CK9" s="19">
        <f t="shared" si="22"/>
        <v>24.141736648074584</v>
      </c>
      <c r="CL9" s="19">
        <f t="shared" si="23"/>
        <v>5.2622543378096793</v>
      </c>
    </row>
    <row r="10" spans="1:90" x14ac:dyDescent="0.3">
      <c r="A10" s="84" t="s">
        <v>54</v>
      </c>
      <c r="B10" s="13">
        <v>7</v>
      </c>
      <c r="C10" s="6"/>
      <c r="D10" s="6"/>
      <c r="E10" s="84" t="s">
        <v>31</v>
      </c>
      <c r="F10" s="23">
        <v>9959.5644832388407</v>
      </c>
      <c r="G10" s="23">
        <v>16.661173874420026</v>
      </c>
      <c r="H10" s="23">
        <v>106.72245806852861</v>
      </c>
      <c r="I10" s="23">
        <v>4.5981929644687591</v>
      </c>
      <c r="J10" s="23">
        <v>6.569886466638116</v>
      </c>
      <c r="K10" s="23">
        <v>10.451430685853442</v>
      </c>
      <c r="L10" s="23">
        <v>16862.192402803099</v>
      </c>
      <c r="M10" s="23">
        <v>46.587567965054703</v>
      </c>
      <c r="N10" s="23">
        <v>204.83637246827999</v>
      </c>
      <c r="O10" s="23">
        <v>939.08247569494415</v>
      </c>
      <c r="P10" s="23">
        <v>691.56841752646574</v>
      </c>
      <c r="Q10" s="23">
        <v>83.328024669399696</v>
      </c>
      <c r="R10" s="23">
        <v>31.597398687608798</v>
      </c>
      <c r="S10" s="23">
        <v>123.4735112918713</v>
      </c>
      <c r="T10" s="23">
        <v>24.8924662388557</v>
      </c>
      <c r="U10" s="23">
        <v>41.952222484484302</v>
      </c>
      <c r="V10" s="23">
        <v>123.811665197728</v>
      </c>
      <c r="W10" s="23">
        <v>118.35696734645001</v>
      </c>
      <c r="X10" s="23">
        <v>70.337245853286603</v>
      </c>
      <c r="Y10" s="23">
        <v>340.21365899802299</v>
      </c>
      <c r="Z10" s="23">
        <v>206.09602176984501</v>
      </c>
      <c r="AA10" s="23">
        <v>13920.140975832001</v>
      </c>
      <c r="AB10" s="23">
        <v>138.27850824551399</v>
      </c>
      <c r="AC10" s="23">
        <v>93.297557742375702</v>
      </c>
      <c r="AD10" s="23">
        <v>46.154538191987903</v>
      </c>
      <c r="AE10" s="23">
        <v>175.99882357104099</v>
      </c>
      <c r="AF10" s="23">
        <v>376.06606892583397</v>
      </c>
      <c r="AG10" s="23">
        <v>277.61517462042599</v>
      </c>
      <c r="AH10" s="23">
        <v>99.4718324002625</v>
      </c>
      <c r="AI10" s="23">
        <v>46.781685628344597</v>
      </c>
      <c r="AJ10" s="91">
        <v>0</v>
      </c>
      <c r="AK10" s="94">
        <v>76802.962023283399</v>
      </c>
      <c r="AL10" s="94">
        <v>535.32795245079797</v>
      </c>
      <c r="AM10" s="99">
        <v>490.01081481388002</v>
      </c>
      <c r="AN10" s="96">
        <v>123015.00000000001</v>
      </c>
      <c r="AO10" s="113">
        <f t="shared" si="4"/>
        <v>6.6228071356083204E-2</v>
      </c>
      <c r="AP10" s="89"/>
      <c r="AR10" s="84">
        <f>AT10</f>
        <v>0</v>
      </c>
      <c r="AS10" s="84" t="s">
        <v>54</v>
      </c>
      <c r="AT10" s="20">
        <f>IF(AS10=BD61,BD65*-1,0)</f>
        <v>0</v>
      </c>
      <c r="AU10" s="15">
        <f t="shared" si="5"/>
        <v>1</v>
      </c>
      <c r="AV10" s="21">
        <f t="shared" si="0"/>
        <v>76802.962023283399</v>
      </c>
      <c r="AW10" s="21">
        <f t="shared" si="1"/>
        <v>535.32795245079797</v>
      </c>
      <c r="AX10" s="21">
        <f t="shared" si="2"/>
        <v>490.01081481388002</v>
      </c>
      <c r="AY10" s="21">
        <f t="shared" si="24"/>
        <v>77828.300790548077</v>
      </c>
      <c r="AZ10" s="21">
        <v>130967.49606257249</v>
      </c>
      <c r="BA10" s="109">
        <f t="shared" si="6"/>
        <v>7952.496062572478</v>
      </c>
      <c r="BB10" s="22">
        <f t="shared" si="7"/>
        <v>6.4646555806791683E-2</v>
      </c>
      <c r="BD10" s="30">
        <v>522176</v>
      </c>
      <c r="BE10" s="24">
        <f t="shared" si="8"/>
        <v>4.2448156728854203</v>
      </c>
      <c r="BF10" s="23">
        <f t="shared" si="9"/>
        <v>522176.00000000006</v>
      </c>
      <c r="BG10" s="23">
        <f t="shared" si="10"/>
        <v>555932.8799249673</v>
      </c>
      <c r="BH10" s="30">
        <f t="shared" si="11"/>
        <v>33756.879924967303</v>
      </c>
      <c r="BI10" s="22">
        <f t="shared" si="12"/>
        <v>6.4646555806791767E-2</v>
      </c>
      <c r="BJ10" s="113">
        <f t="shared" si="13"/>
        <v>2.7379295121154494E-2</v>
      </c>
      <c r="BK10" s="32"/>
      <c r="BL10" s="30">
        <v>6812.3559479999994</v>
      </c>
      <c r="BM10" s="113">
        <f t="shared" si="14"/>
        <v>5.5378254261675391E-2</v>
      </c>
      <c r="BN10" s="23">
        <f t="shared" si="15"/>
        <v>6812.3559479999994</v>
      </c>
      <c r="BO10" s="23">
        <f t="shared" si="16"/>
        <v>7252.7512969681102</v>
      </c>
      <c r="BP10" s="30">
        <f t="shared" si="17"/>
        <v>440.39534896811074</v>
      </c>
      <c r="BQ10" s="29">
        <f t="shared" si="18"/>
        <v>6.4646555806791614E-2</v>
      </c>
      <c r="BR10" s="113">
        <f t="shared" si="19"/>
        <v>5.7087206528068826E-2</v>
      </c>
      <c r="BY10" s="19">
        <f>$BH10*'Cuadro 10'!AB16</f>
        <v>15847.830724978267</v>
      </c>
      <c r="BZ10" s="19">
        <f>$BH10*'Cuadro 10'!AC16</f>
        <v>7473.508933863699</v>
      </c>
      <c r="CA10" s="19">
        <f>$BH10*'Cuadro 10'!AD16</f>
        <v>4943.6041885367822</v>
      </c>
      <c r="CB10" s="19">
        <f>$BH10*'Cuadro 10'!AE16</f>
        <v>5491.9360775885543</v>
      </c>
      <c r="CD10" s="7">
        <v>-2931.5668044013005</v>
      </c>
      <c r="CE10" s="7">
        <v>-1382.4662241236438</v>
      </c>
      <c r="CF10" s="7">
        <v>-914.47884475264891</v>
      </c>
      <c r="CG10" s="7">
        <v>-1015.9104912432467</v>
      </c>
      <c r="CI10" s="19">
        <f t="shared" si="20"/>
        <v>18779.397529379567</v>
      </c>
      <c r="CJ10" s="19">
        <f t="shared" si="21"/>
        <v>8855.9751579873428</v>
      </c>
      <c r="CK10" s="19">
        <f t="shared" si="22"/>
        <v>5858.0830332894311</v>
      </c>
      <c r="CL10" s="19">
        <f t="shared" si="23"/>
        <v>6507.8465688318011</v>
      </c>
    </row>
    <row r="11" spans="1:90" x14ac:dyDescent="0.3">
      <c r="A11" s="86" t="s">
        <v>55</v>
      </c>
      <c r="B11" s="14">
        <v>8</v>
      </c>
      <c r="C11" s="6"/>
      <c r="D11" s="6"/>
      <c r="E11" s="86" t="s">
        <v>32</v>
      </c>
      <c r="F11" s="23">
        <v>259.35161714818798</v>
      </c>
      <c r="G11" s="23">
        <v>15.303556807376538</v>
      </c>
      <c r="H11" s="23">
        <v>98.026298265940198</v>
      </c>
      <c r="I11" s="23">
        <v>4.2235143677999885</v>
      </c>
      <c r="J11" s="23">
        <v>6.0345466362711857</v>
      </c>
      <c r="K11" s="23">
        <v>9.5998075780770336</v>
      </c>
      <c r="L11" s="23">
        <v>99.294576076663702</v>
      </c>
      <c r="M11" s="23">
        <v>6233.3156204739798</v>
      </c>
      <c r="N11" s="23">
        <v>417.610688869358</v>
      </c>
      <c r="O11" s="23">
        <v>163.0114681602503</v>
      </c>
      <c r="P11" s="23">
        <v>120.04651986591969</v>
      </c>
      <c r="Q11" s="23">
        <v>157.52234293290999</v>
      </c>
      <c r="R11" s="23">
        <v>302.92926701515898</v>
      </c>
      <c r="S11" s="23">
        <v>37.034903128601833</v>
      </c>
      <c r="T11" s="23">
        <v>7.4662983675001682</v>
      </c>
      <c r="U11" s="23">
        <v>103.044234895614</v>
      </c>
      <c r="V11" s="23">
        <v>345.94626378249097</v>
      </c>
      <c r="W11" s="23">
        <v>201.06718935391899</v>
      </c>
      <c r="X11" s="23">
        <v>292.92431393341099</v>
      </c>
      <c r="Y11" s="23">
        <v>578.49107034835697</v>
      </c>
      <c r="Z11" s="23">
        <v>161.39654648618199</v>
      </c>
      <c r="AA11" s="23">
        <v>248.71777049144799</v>
      </c>
      <c r="AB11" s="23">
        <v>104.940099925787</v>
      </c>
      <c r="AC11" s="23">
        <v>80.839669484264206</v>
      </c>
      <c r="AD11" s="23">
        <v>13.682654932343301</v>
      </c>
      <c r="AE11" s="23">
        <v>200.29622245193599</v>
      </c>
      <c r="AF11" s="23">
        <v>108.660663264158</v>
      </c>
      <c r="AG11" s="23">
        <v>149.92287121519001</v>
      </c>
      <c r="AH11" s="23">
        <v>157.50247869965199</v>
      </c>
      <c r="AI11" s="23">
        <v>200.225639952346</v>
      </c>
      <c r="AJ11" s="91">
        <v>0</v>
      </c>
      <c r="AK11" s="94">
        <v>24835.7563628588</v>
      </c>
      <c r="AL11" s="94">
        <v>473.436574147692</v>
      </c>
      <c r="AM11" s="99">
        <v>-9072.6216519175796</v>
      </c>
      <c r="AN11" s="96">
        <v>27115.000000000007</v>
      </c>
      <c r="AO11" s="115">
        <f t="shared" si="4"/>
        <v>1.4598009631509949E-2</v>
      </c>
      <c r="AP11" s="89"/>
      <c r="AR11" s="86"/>
      <c r="AS11" s="86" t="s">
        <v>55</v>
      </c>
      <c r="AT11" s="15">
        <v>0</v>
      </c>
      <c r="AU11" s="15">
        <f t="shared" si="5"/>
        <v>1</v>
      </c>
      <c r="AV11" s="21">
        <f t="shared" si="0"/>
        <v>24835.7563628588</v>
      </c>
      <c r="AW11" s="21">
        <f t="shared" si="1"/>
        <v>473.436574147692</v>
      </c>
      <c r="AX11" s="21">
        <f t="shared" si="2"/>
        <v>-9072.6216519175796</v>
      </c>
      <c r="AY11" s="21">
        <f t="shared" si="24"/>
        <v>16236.57128508891</v>
      </c>
      <c r="AZ11" s="21">
        <v>26912.708194001534</v>
      </c>
      <c r="BA11" s="109">
        <f t="shared" si="6"/>
        <v>-202.29180599847314</v>
      </c>
      <c r="BB11" s="22">
        <f t="shared" si="7"/>
        <v>-7.460512852608292E-3</v>
      </c>
      <c r="BD11" s="30">
        <v>619269</v>
      </c>
      <c r="BE11" s="24">
        <f t="shared" si="8"/>
        <v>22.838613313664016</v>
      </c>
      <c r="BF11" s="23">
        <f t="shared" si="9"/>
        <v>619269</v>
      </c>
      <c r="BG11" s="23">
        <f t="shared" si="10"/>
        <v>614648.93566627812</v>
      </c>
      <c r="BH11" s="30">
        <f t="shared" si="11"/>
        <v>-4620.0643337218789</v>
      </c>
      <c r="BI11" s="22">
        <f t="shared" si="12"/>
        <v>-7.4605128526082833E-3</v>
      </c>
      <c r="BJ11" s="115">
        <f t="shared" si="13"/>
        <v>3.247017999751467E-2</v>
      </c>
      <c r="BK11" s="32"/>
      <c r="BL11" s="30">
        <v>1868.8324850000001</v>
      </c>
      <c r="BM11" s="115">
        <f t="shared" si="14"/>
        <v>6.8922459339848779E-2</v>
      </c>
      <c r="BN11" s="23">
        <f t="shared" si="15"/>
        <v>1868.8324850000001</v>
      </c>
      <c r="BO11" s="23">
        <f t="shared" si="16"/>
        <v>1854.8900362262857</v>
      </c>
      <c r="BP11" s="30">
        <f t="shared" si="17"/>
        <v>-13.942448773714432</v>
      </c>
      <c r="BQ11" s="29">
        <f t="shared" si="18"/>
        <v>-7.4605128526083119E-3</v>
      </c>
      <c r="BR11" s="115">
        <f t="shared" si="19"/>
        <v>1.5660723962740167E-2</v>
      </c>
      <c r="BY11" s="19">
        <f>$BH11*'Cuadro 10'!AB17</f>
        <v>-847.84828518232143</v>
      </c>
      <c r="BZ11" s="19">
        <f>$BH11*'Cuadro 10'!AC17</f>
        <v>-1312.7479739667201</v>
      </c>
      <c r="CA11" s="19">
        <f>$BH11*'Cuadro 10'!AD17</f>
        <v>-791.37453674093388</v>
      </c>
      <c r="CB11" s="19">
        <f>$BH11*'Cuadro 10'!AE17</f>
        <v>-1668.0935378319034</v>
      </c>
      <c r="CD11" s="7">
        <v>-1984.0042851531919</v>
      </c>
      <c r="CE11" s="7">
        <v>-3071.8911050413594</v>
      </c>
      <c r="CF11" s="7">
        <v>-1851.8530962382051</v>
      </c>
      <c r="CG11" s="7">
        <v>-3903.4161947773091</v>
      </c>
      <c r="CI11" s="19">
        <f t="shared" si="20"/>
        <v>1136.1559999708704</v>
      </c>
      <c r="CJ11" s="19">
        <f t="shared" si="21"/>
        <v>1759.1431310746393</v>
      </c>
      <c r="CK11" s="19">
        <f t="shared" si="22"/>
        <v>1060.4785594972714</v>
      </c>
      <c r="CL11" s="19">
        <f t="shared" si="23"/>
        <v>2235.3226569454055</v>
      </c>
    </row>
    <row r="12" spans="1:90" x14ac:dyDescent="0.3">
      <c r="A12" s="86" t="s">
        <v>56</v>
      </c>
      <c r="B12" s="13">
        <v>9</v>
      </c>
      <c r="C12" s="6"/>
      <c r="D12" s="6"/>
      <c r="E12" s="86" t="s">
        <v>33</v>
      </c>
      <c r="F12" s="23">
        <v>933.99148287433695</v>
      </c>
      <c r="G12" s="23">
        <v>5.2778616625810759</v>
      </c>
      <c r="H12" s="23">
        <v>33.807123929070144</v>
      </c>
      <c r="I12" s="23">
        <v>1.4565976291490133</v>
      </c>
      <c r="J12" s="23">
        <v>2.0811830049391755</v>
      </c>
      <c r="K12" s="23">
        <v>3.3107634403046804</v>
      </c>
      <c r="L12" s="23">
        <v>1189.5065238923301</v>
      </c>
      <c r="M12" s="23">
        <v>292.75922853426499</v>
      </c>
      <c r="N12" s="23">
        <v>5871.0416453563803</v>
      </c>
      <c r="O12" s="23">
        <v>663.85694232919207</v>
      </c>
      <c r="P12" s="23">
        <v>488.88410438157786</v>
      </c>
      <c r="Q12" s="23">
        <v>272.327283077017</v>
      </c>
      <c r="R12" s="23">
        <v>836.91219753177404</v>
      </c>
      <c r="S12" s="23">
        <v>72.3290012129697</v>
      </c>
      <c r="T12" s="23">
        <v>14.581647528659298</v>
      </c>
      <c r="U12" s="23">
        <v>45.477089653015</v>
      </c>
      <c r="V12" s="23">
        <v>1090.0372305891501</v>
      </c>
      <c r="W12" s="23">
        <v>504.89220208523102</v>
      </c>
      <c r="X12" s="23">
        <v>351.328156024115</v>
      </c>
      <c r="Y12" s="23">
        <v>842.80754506624805</v>
      </c>
      <c r="Z12" s="23">
        <v>151.11493934296601</v>
      </c>
      <c r="AA12" s="23">
        <v>250.20146257274499</v>
      </c>
      <c r="AB12" s="23">
        <v>594.66088178399104</v>
      </c>
      <c r="AC12" s="23">
        <v>90.953552582862002</v>
      </c>
      <c r="AD12" s="23">
        <v>75.2990409087882</v>
      </c>
      <c r="AE12" s="23">
        <v>301.77369620920501</v>
      </c>
      <c r="AF12" s="23">
        <v>2077.92283748921</v>
      </c>
      <c r="AG12" s="23">
        <v>126.459345923214</v>
      </c>
      <c r="AH12" s="23">
        <v>320.85465999676802</v>
      </c>
      <c r="AI12" s="23">
        <v>160.35446333461201</v>
      </c>
      <c r="AJ12" s="91">
        <v>0</v>
      </c>
      <c r="AK12" s="94">
        <v>7070.4859753216497</v>
      </c>
      <c r="AL12" s="94">
        <v>-10.0372986462535</v>
      </c>
      <c r="AM12" s="99">
        <v>-2721.7093666220599</v>
      </c>
      <c r="AN12" s="96">
        <v>22005</v>
      </c>
      <c r="AO12" s="115">
        <f t="shared" si="4"/>
        <v>1.1846918751295458E-2</v>
      </c>
      <c r="AP12" s="89"/>
      <c r="AR12" s="86"/>
      <c r="AS12" s="86" t="s">
        <v>56</v>
      </c>
      <c r="AT12" s="15">
        <v>0</v>
      </c>
      <c r="AU12" s="15">
        <f t="shared" si="5"/>
        <v>1</v>
      </c>
      <c r="AV12" s="21">
        <f t="shared" si="0"/>
        <v>7070.4859753216497</v>
      </c>
      <c r="AW12" s="21">
        <f t="shared" si="1"/>
        <v>-10.0372986462535</v>
      </c>
      <c r="AX12" s="21">
        <f t="shared" si="2"/>
        <v>-2721.7093666220599</v>
      </c>
      <c r="AY12" s="21">
        <f t="shared" si="24"/>
        <v>4338.7393100533363</v>
      </c>
      <c r="AZ12" s="21">
        <v>21359.770145551702</v>
      </c>
      <c r="BA12" s="109">
        <f t="shared" si="6"/>
        <v>-645.22985444829828</v>
      </c>
      <c r="BB12" s="22">
        <f t="shared" si="7"/>
        <v>-2.9321965664544369E-2</v>
      </c>
      <c r="BD12" s="30">
        <v>95149</v>
      </c>
      <c r="BE12" s="24">
        <f t="shared" si="8"/>
        <v>4.3239718245853211</v>
      </c>
      <c r="BF12" s="23">
        <f t="shared" si="9"/>
        <v>95148.999999999985</v>
      </c>
      <c r="BG12" s="23">
        <f t="shared" si="10"/>
        <v>92359.044288984267</v>
      </c>
      <c r="BH12" s="30">
        <f t="shared" si="11"/>
        <v>-2789.955711015733</v>
      </c>
      <c r="BI12" s="22">
        <f t="shared" si="12"/>
        <v>-2.9321965664544383E-2</v>
      </c>
      <c r="BJ12" s="115">
        <f t="shared" si="13"/>
        <v>4.9889549720453039E-3</v>
      </c>
      <c r="BK12" s="32"/>
      <c r="BL12" s="30">
        <v>1476.459335</v>
      </c>
      <c r="BM12" s="115">
        <f t="shared" si="14"/>
        <v>6.7096538741195186E-2</v>
      </c>
      <c r="BN12" s="23">
        <f t="shared" si="15"/>
        <v>1476.459335</v>
      </c>
      <c r="BO12" s="23">
        <f t="shared" si="16"/>
        <v>1433.166645074034</v>
      </c>
      <c r="BP12" s="30">
        <f t="shared" si="17"/>
        <v>-43.292689925965988</v>
      </c>
      <c r="BQ12" s="29">
        <f t="shared" si="18"/>
        <v>-2.9321965664544352E-2</v>
      </c>
      <c r="BR12" s="115">
        <f t="shared" si="19"/>
        <v>1.2372656336635708E-2</v>
      </c>
      <c r="BY12" s="19">
        <f>$BH12*'Cuadro 10'!AB18</f>
        <v>-1227.136300611407</v>
      </c>
      <c r="BZ12" s="19">
        <f>$BH12*'Cuadro 10'!AC18</f>
        <v>-495.27981637867492</v>
      </c>
      <c r="CA12" s="19">
        <f>$BH12*'Cuadro 10'!AD18</f>
        <v>-693.12813213381639</v>
      </c>
      <c r="CB12" s="19">
        <f>$BH12*'Cuadro 10'!AE18</f>
        <v>-374.41146189183456</v>
      </c>
      <c r="CD12" s="7">
        <v>-2181.3485671209878</v>
      </c>
      <c r="CE12" s="7">
        <v>-880.40580108605877</v>
      </c>
      <c r="CF12" s="7">
        <v>-1232.0995288852857</v>
      </c>
      <c r="CG12" s="7">
        <v>-665.55109282033709</v>
      </c>
      <c r="CI12" s="19">
        <f t="shared" si="20"/>
        <v>954.21226650958079</v>
      </c>
      <c r="CJ12" s="19">
        <f t="shared" si="21"/>
        <v>385.12598470738385</v>
      </c>
      <c r="CK12" s="19">
        <f t="shared" si="22"/>
        <v>538.97139675146934</v>
      </c>
      <c r="CL12" s="19">
        <f t="shared" si="23"/>
        <v>291.13963092850253</v>
      </c>
    </row>
    <row r="13" spans="1:90" x14ac:dyDescent="0.3">
      <c r="A13" s="85" t="s">
        <v>197</v>
      </c>
      <c r="B13" s="14">
        <v>10</v>
      </c>
      <c r="C13" s="6"/>
      <c r="D13" s="6"/>
      <c r="E13" s="85" t="s">
        <v>193</v>
      </c>
      <c r="F13" s="23">
        <v>3065.4049826373321</v>
      </c>
      <c r="G13" s="23">
        <v>413.09589027089532</v>
      </c>
      <c r="H13" s="23">
        <v>2646.0685879644702</v>
      </c>
      <c r="I13" s="23">
        <v>114.00725006602877</v>
      </c>
      <c r="J13" s="23">
        <v>162.89327026839237</v>
      </c>
      <c r="K13" s="23">
        <v>259.1319853162189</v>
      </c>
      <c r="L13" s="23">
        <v>2784.3105768063547</v>
      </c>
      <c r="M13" s="23">
        <v>844.6874875715481</v>
      </c>
      <c r="N13" s="23">
        <v>829.53032500772679</v>
      </c>
      <c r="O13" s="23">
        <v>15450.605949745659</v>
      </c>
      <c r="P13" s="23">
        <v>11378.28825799707</v>
      </c>
      <c r="Q13" s="23">
        <v>1012.2210553814941</v>
      </c>
      <c r="R13" s="23">
        <v>320.26531728179731</v>
      </c>
      <c r="S13" s="23">
        <v>437.71780034536158</v>
      </c>
      <c r="T13" s="23">
        <v>88.244640111408302</v>
      </c>
      <c r="U13" s="23">
        <v>476.08527899036108</v>
      </c>
      <c r="V13" s="23">
        <v>5051.0829259585062</v>
      </c>
      <c r="W13" s="23">
        <v>4249.6224950886308</v>
      </c>
      <c r="X13" s="23">
        <v>2781.287115735051</v>
      </c>
      <c r="Y13" s="23">
        <v>1501.518984529253</v>
      </c>
      <c r="Z13" s="23">
        <v>7197.9297135514707</v>
      </c>
      <c r="AA13" s="23">
        <v>371.71110160193359</v>
      </c>
      <c r="AB13" s="23">
        <v>104.37350752579871</v>
      </c>
      <c r="AC13" s="23">
        <v>57.493206701937062</v>
      </c>
      <c r="AD13" s="23">
        <v>12.845040432308958</v>
      </c>
      <c r="AE13" s="23">
        <v>351.83570270869416</v>
      </c>
      <c r="AF13" s="23">
        <v>700.53324090453384</v>
      </c>
      <c r="AG13" s="23">
        <v>36.114741251083636</v>
      </c>
      <c r="AH13" s="23">
        <v>2386.8037267956897</v>
      </c>
      <c r="AI13" s="23">
        <v>370.63050721641031</v>
      </c>
      <c r="AJ13" s="91">
        <v>0</v>
      </c>
      <c r="AK13" s="94">
        <v>17898.397617066057</v>
      </c>
      <c r="AL13" s="94">
        <v>1016.9397655433008</v>
      </c>
      <c r="AM13" s="99">
        <v>-13417.536435108777</v>
      </c>
      <c r="AN13" s="96">
        <v>70953.999999999927</v>
      </c>
      <c r="AO13" s="114">
        <f t="shared" si="4"/>
        <v>3.819978518879423E-2</v>
      </c>
      <c r="AP13" s="89">
        <f>AN13/SUM(AN13:AN14)</f>
        <v>0.46299510603588895</v>
      </c>
      <c r="AR13" s="85">
        <f>AT13</f>
        <v>0.4</v>
      </c>
      <c r="AS13" s="85" t="s">
        <v>197</v>
      </c>
      <c r="AT13" s="15">
        <f>AT18</f>
        <v>0.4</v>
      </c>
      <c r="AU13" s="15">
        <f t="shared" si="5"/>
        <v>0.6</v>
      </c>
      <c r="AV13" s="21">
        <f t="shared" si="0"/>
        <v>17898.397617066057</v>
      </c>
      <c r="AW13" s="21">
        <f t="shared" si="1"/>
        <v>1016.9397655433008</v>
      </c>
      <c r="AX13" s="21">
        <f t="shared" si="2"/>
        <v>-13417.536435108777</v>
      </c>
      <c r="AY13" s="21">
        <f t="shared" si="24"/>
        <v>3298.6805685003492</v>
      </c>
      <c r="AZ13" s="21">
        <v>32605.850783134458</v>
      </c>
      <c r="BA13" s="109">
        <f t="shared" si="6"/>
        <v>-38348.149216865466</v>
      </c>
      <c r="BB13" s="22">
        <f t="shared" si="7"/>
        <v>-0.54046493808475216</v>
      </c>
      <c r="BD13" s="30">
        <v>119265.22433931481</v>
      </c>
      <c r="BE13" s="24">
        <f t="shared" si="8"/>
        <v>1.6808809135399685</v>
      </c>
      <c r="BF13" s="23">
        <f t="shared" si="9"/>
        <v>119265.22433931481</v>
      </c>
      <c r="BG13" s="23">
        <f t="shared" si="10"/>
        <v>54806.552251102941</v>
      </c>
      <c r="BH13" s="30">
        <f t="shared" si="11"/>
        <v>-64458.672088211868</v>
      </c>
      <c r="BI13" s="22">
        <f t="shared" si="12"/>
        <v>-0.54046493808475227</v>
      </c>
      <c r="BJ13" s="114">
        <f t="shared" si="13"/>
        <v>6.2534428523654817E-3</v>
      </c>
      <c r="BK13" s="32"/>
      <c r="BL13" s="30">
        <v>670.35159499999997</v>
      </c>
      <c r="BM13" s="114">
        <f t="shared" si="14"/>
        <v>9.4476928009696523E-3</v>
      </c>
      <c r="BN13" s="23">
        <f t="shared" si="15"/>
        <v>670.35159499999997</v>
      </c>
      <c r="BO13" s="23">
        <f t="shared" si="16"/>
        <v>308.05006171331013</v>
      </c>
      <c r="BP13" s="30">
        <f t="shared" si="17"/>
        <v>-362.30153328668985</v>
      </c>
      <c r="BQ13" s="29">
        <f t="shared" si="18"/>
        <v>-0.54046493808475216</v>
      </c>
      <c r="BR13" s="114">
        <f>BL13/$BL$37</f>
        <v>5.6175132718102282E-3</v>
      </c>
      <c r="BY13" s="19">
        <f>$BH13*'Cuadro 10'!AB19</f>
        <v>-37465.891558697862</v>
      </c>
      <c r="BZ13" s="19">
        <f>$BH13*'Cuadro 10'!AC19</f>
        <v>-16786.181661263909</v>
      </c>
      <c r="CA13" s="19">
        <f>$BH13*'Cuadro 10'!AD19</f>
        <v>-7984.8983542592896</v>
      </c>
      <c r="CB13" s="19">
        <f>$BH13*'Cuadro 10'!AE19</f>
        <v>-2221.7005139908119</v>
      </c>
      <c r="CD13" s="7">
        <v>-38190.977721588213</v>
      </c>
      <c r="CE13" s="7">
        <v>-17111.048561368963</v>
      </c>
      <c r="CF13" s="7">
        <v>-8139.431959837274</v>
      </c>
      <c r="CG13" s="7">
        <v>-2264.6976037105983</v>
      </c>
      <c r="CI13" s="19">
        <f t="shared" si="20"/>
        <v>725.08616289035126</v>
      </c>
      <c r="CJ13" s="19">
        <f t="shared" si="21"/>
        <v>324.86690010505481</v>
      </c>
      <c r="CK13" s="19">
        <f t="shared" si="22"/>
        <v>154.53360557798442</v>
      </c>
      <c r="CL13" s="19">
        <f t="shared" si="23"/>
        <v>42.997089719786345</v>
      </c>
    </row>
    <row r="14" spans="1:90" x14ac:dyDescent="0.3">
      <c r="A14" s="86" t="s">
        <v>198</v>
      </c>
      <c r="B14" s="13">
        <v>11</v>
      </c>
      <c r="C14" s="6"/>
      <c r="D14" s="6"/>
      <c r="E14" s="86" t="s">
        <v>194</v>
      </c>
      <c r="F14" s="23">
        <v>3555.4101030403076</v>
      </c>
      <c r="G14" s="23">
        <v>479.12928637897249</v>
      </c>
      <c r="H14" s="23">
        <v>3069.0427673580648</v>
      </c>
      <c r="I14" s="23">
        <v>132.231313970092</v>
      </c>
      <c r="J14" s="23">
        <v>188.93176663764726</v>
      </c>
      <c r="K14" s="23">
        <v>300.55424449056517</v>
      </c>
      <c r="L14" s="23">
        <v>3229.3827441561552</v>
      </c>
      <c r="M14" s="23">
        <v>979.71081936449173</v>
      </c>
      <c r="N14" s="23">
        <v>962.13078370262303</v>
      </c>
      <c r="O14" s="23">
        <v>17920.385985853783</v>
      </c>
      <c r="P14" s="23">
        <v>13197.108133158486</v>
      </c>
      <c r="Q14" s="23">
        <v>1174.024635308446</v>
      </c>
      <c r="R14" s="23">
        <v>371.4597422417736</v>
      </c>
      <c r="S14" s="23">
        <v>507.68700985458031</v>
      </c>
      <c r="T14" s="23">
        <v>102.35054968864983</v>
      </c>
      <c r="U14" s="23">
        <v>552.18753163726876</v>
      </c>
      <c r="V14" s="23">
        <v>5858.498752356194</v>
      </c>
      <c r="W14" s="23">
        <v>4928.9248365957392</v>
      </c>
      <c r="X14" s="23">
        <v>3225.8759827005083</v>
      </c>
      <c r="Y14" s="23">
        <v>1741.536859808037</v>
      </c>
      <c r="Z14" s="23">
        <v>8348.5190927422282</v>
      </c>
      <c r="AA14" s="23">
        <v>431.12913743316432</v>
      </c>
      <c r="AB14" s="23">
        <v>121.05761726390527</v>
      </c>
      <c r="AC14" s="23">
        <v>66.683498305135927</v>
      </c>
      <c r="AD14" s="23">
        <v>14.898320706616939</v>
      </c>
      <c r="AE14" s="23">
        <v>408.07665515847879</v>
      </c>
      <c r="AF14" s="23">
        <v>812.51351006961602</v>
      </c>
      <c r="AG14" s="23">
        <v>41.887684217932467</v>
      </c>
      <c r="AH14" s="23">
        <v>2768.3344068041006</v>
      </c>
      <c r="AI14" s="23">
        <v>429.87580998790361</v>
      </c>
      <c r="AJ14" s="91">
        <v>0</v>
      </c>
      <c r="AK14" s="94">
        <v>20759.457258140046</v>
      </c>
      <c r="AL14" s="94">
        <v>1179.4976314957792</v>
      </c>
      <c r="AM14" s="99">
        <v>-15562.330220476821</v>
      </c>
      <c r="AN14" s="96">
        <v>82295.999999999942</v>
      </c>
      <c r="AO14" s="115">
        <f t="shared" si="4"/>
        <v>4.4306022520182245E-2</v>
      </c>
      <c r="AP14" s="89"/>
      <c r="AR14" s="86"/>
      <c r="AS14" s="86" t="s">
        <v>198</v>
      </c>
      <c r="AT14" s="15">
        <v>0</v>
      </c>
      <c r="AU14" s="15">
        <f t="shared" si="5"/>
        <v>1</v>
      </c>
      <c r="AV14" s="21">
        <f t="shared" si="0"/>
        <v>20759.457258140046</v>
      </c>
      <c r="AW14" s="21">
        <f t="shared" si="1"/>
        <v>1179.4976314957792</v>
      </c>
      <c r="AX14" s="21">
        <f t="shared" si="2"/>
        <v>-15562.330220476821</v>
      </c>
      <c r="AY14" s="21">
        <f t="shared" si="24"/>
        <v>6376.624669159004</v>
      </c>
      <c r="AZ14" s="21">
        <v>63029.829092295346</v>
      </c>
      <c r="BA14" s="109">
        <f t="shared" si="6"/>
        <v>-19266.170907704596</v>
      </c>
      <c r="BB14" s="22">
        <f t="shared" si="7"/>
        <v>-0.23410823014125359</v>
      </c>
      <c r="BD14" s="30">
        <v>138329.77566068518</v>
      </c>
      <c r="BE14" s="24">
        <f t="shared" si="8"/>
        <v>1.6808809135399687</v>
      </c>
      <c r="BF14" s="23">
        <f t="shared" si="9"/>
        <v>138329.77566068518</v>
      </c>
      <c r="BG14" s="23">
        <f t="shared" si="10"/>
        <v>105945.63670492549</v>
      </c>
      <c r="BH14" s="30">
        <f t="shared" si="11"/>
        <v>-32384.138955759685</v>
      </c>
      <c r="BI14" s="22">
        <f t="shared" si="12"/>
        <v>-0.23410823014125373</v>
      </c>
      <c r="BJ14" s="115">
        <f t="shared" si="13"/>
        <v>7.253055965530766E-3</v>
      </c>
      <c r="BK14" s="32"/>
      <c r="BL14" s="30">
        <v>5893.38357</v>
      </c>
      <c r="BM14" s="115">
        <f t="shared" si="14"/>
        <v>7.1612029381744005E-2</v>
      </c>
      <c r="BN14" s="23">
        <f t="shared" si="15"/>
        <v>5893.3835700000009</v>
      </c>
      <c r="BO14" s="23">
        <f t="shared" si="16"/>
        <v>4513.6939728837569</v>
      </c>
      <c r="BP14" s="30">
        <f t="shared" si="17"/>
        <v>-1379.689597116243</v>
      </c>
      <c r="BQ14" s="29">
        <f t="shared" si="18"/>
        <v>-0.23410823014125362</v>
      </c>
      <c r="BR14" s="115">
        <f t="shared" si="19"/>
        <v>4.9386263368767468E-2</v>
      </c>
      <c r="BY14" s="19">
        <f>$BH14*'Cuadro 10'!AB20</f>
        <v>-18822.923262798369</v>
      </c>
      <c r="BZ14" s="19">
        <f>$BH14*'Cuadro 10'!AC20</f>
        <v>-8433.4042549165297</v>
      </c>
      <c r="CA14" s="19">
        <f>$BH14*'Cuadro 10'!AD20</f>
        <v>-4011.6255807764187</v>
      </c>
      <c r="CB14" s="19">
        <f>$BH14*'Cuadro 10'!AE20</f>
        <v>-1116.1858572683645</v>
      </c>
      <c r="CD14" s="7">
        <v>-20224.575292311034</v>
      </c>
      <c r="CE14" s="7">
        <v>-9061.3990687171554</v>
      </c>
      <c r="CF14" s="7">
        <v>-4310.3519294118241</v>
      </c>
      <c r="CG14" s="7">
        <v>-1199.3028179184473</v>
      </c>
      <c r="CI14" s="19">
        <f t="shared" si="20"/>
        <v>1401.6520295126647</v>
      </c>
      <c r="CJ14" s="19">
        <f t="shared" si="21"/>
        <v>627.99481380062571</v>
      </c>
      <c r="CK14" s="19">
        <f t="shared" si="22"/>
        <v>298.72634863540543</v>
      </c>
      <c r="CL14" s="19">
        <f t="shared" si="23"/>
        <v>83.116960650082774</v>
      </c>
    </row>
    <row r="15" spans="1:90" x14ac:dyDescent="0.3">
      <c r="A15" s="86" t="s">
        <v>58</v>
      </c>
      <c r="B15" s="14">
        <v>12</v>
      </c>
      <c r="C15" s="6"/>
      <c r="D15" s="6"/>
      <c r="E15" s="86" t="s">
        <v>35</v>
      </c>
      <c r="F15" s="23">
        <v>776.794003358586</v>
      </c>
      <c r="G15" s="23">
        <v>51.660572808400246</v>
      </c>
      <c r="H15" s="23">
        <v>330.90965600000879</v>
      </c>
      <c r="I15" s="23">
        <v>14.257415727034482</v>
      </c>
      <c r="J15" s="23">
        <v>20.370959496063506</v>
      </c>
      <c r="K15" s="23">
        <v>32.406293816273795</v>
      </c>
      <c r="L15" s="23">
        <v>868.34172169095905</v>
      </c>
      <c r="M15" s="23">
        <v>175.20376341649799</v>
      </c>
      <c r="N15" s="23">
        <v>275.75771205280103</v>
      </c>
      <c r="O15" s="23">
        <v>513.2728759206168</v>
      </c>
      <c r="P15" s="23">
        <v>377.9894947959682</v>
      </c>
      <c r="Q15" s="23">
        <v>15705.4716816415</v>
      </c>
      <c r="R15" s="23">
        <v>1533.4192972783801</v>
      </c>
      <c r="S15" s="23">
        <v>690.66575407842151</v>
      </c>
      <c r="T15" s="23">
        <v>139.23937033823347</v>
      </c>
      <c r="U15" s="23">
        <v>225.715025060914</v>
      </c>
      <c r="V15" s="23">
        <v>6827.2244759404202</v>
      </c>
      <c r="W15" s="23">
        <v>6243.4786256877096</v>
      </c>
      <c r="X15" s="23">
        <v>4759.2234082816703</v>
      </c>
      <c r="Y15" s="23">
        <v>5904.6915673517697</v>
      </c>
      <c r="Z15" s="23">
        <v>1216.71886271683</v>
      </c>
      <c r="AA15" s="23">
        <v>220.24414957402601</v>
      </c>
      <c r="AB15" s="23">
        <v>1342.6673603550501</v>
      </c>
      <c r="AC15" s="23">
        <v>368.42280021076903</v>
      </c>
      <c r="AD15" s="23">
        <v>12.8053840517965</v>
      </c>
      <c r="AE15" s="23">
        <v>249.86693984028</v>
      </c>
      <c r="AF15" s="23">
        <v>401.40798098886199</v>
      </c>
      <c r="AG15" s="23">
        <v>228.934047453647</v>
      </c>
      <c r="AH15" s="23">
        <v>192.22960996686899</v>
      </c>
      <c r="AI15" s="23">
        <v>794.22030027967605</v>
      </c>
      <c r="AJ15" s="91">
        <v>0</v>
      </c>
      <c r="AK15" s="94">
        <v>19740.736318179799</v>
      </c>
      <c r="AL15" s="94">
        <v>42237.113990428799</v>
      </c>
      <c r="AM15" s="99">
        <v>-60378.461418788604</v>
      </c>
      <c r="AN15" s="96">
        <v>52093.000000000029</v>
      </c>
      <c r="AO15" s="115">
        <f t="shared" si="4"/>
        <v>2.8045514133662106E-2</v>
      </c>
      <c r="AP15" s="89"/>
      <c r="AR15" s="86"/>
      <c r="AS15" s="86" t="s">
        <v>58</v>
      </c>
      <c r="AT15" s="15">
        <v>0</v>
      </c>
      <c r="AU15" s="15">
        <f t="shared" si="5"/>
        <v>1</v>
      </c>
      <c r="AV15" s="21">
        <f t="shared" si="0"/>
        <v>19740.736318179799</v>
      </c>
      <c r="AW15" s="21">
        <f t="shared" si="1"/>
        <v>42237.113990428799</v>
      </c>
      <c r="AX15" s="21">
        <f t="shared" si="2"/>
        <v>-60378.461418788604</v>
      </c>
      <c r="AY15" s="21">
        <f t="shared" si="24"/>
        <v>1599.3888898199948</v>
      </c>
      <c r="AZ15" s="21">
        <v>50530.617622896469</v>
      </c>
      <c r="BA15" s="109">
        <f t="shared" si="6"/>
        <v>-1562.3823771035604</v>
      </c>
      <c r="BB15" s="22">
        <f t="shared" si="7"/>
        <v>-2.9992175092691142E-2</v>
      </c>
      <c r="BD15" s="30">
        <v>338665</v>
      </c>
      <c r="BE15" s="24">
        <f t="shared" si="8"/>
        <v>6.5011613844470428</v>
      </c>
      <c r="BF15" s="23">
        <f t="shared" si="9"/>
        <v>338665</v>
      </c>
      <c r="BG15" s="23">
        <f t="shared" si="10"/>
        <v>328507.70002223377</v>
      </c>
      <c r="BH15" s="30">
        <f t="shared" si="11"/>
        <v>-10157.299977766233</v>
      </c>
      <c r="BI15" s="22">
        <f t="shared" si="12"/>
        <v>-2.9992175092691108E-2</v>
      </c>
      <c r="BJ15" s="115">
        <f t="shared" si="13"/>
        <v>1.7757248479833974E-2</v>
      </c>
      <c r="BK15" s="32"/>
      <c r="BL15" s="30">
        <v>2986.6373269999999</v>
      </c>
      <c r="BM15" s="115">
        <f t="shared" si="14"/>
        <v>5.7332795711515908E-2</v>
      </c>
      <c r="BN15" s="23">
        <f t="shared" si="15"/>
        <v>2986.6373269999999</v>
      </c>
      <c r="BO15" s="23">
        <f t="shared" si="16"/>
        <v>2897.0615773502486</v>
      </c>
      <c r="BP15" s="30">
        <f t="shared" si="17"/>
        <v>-89.575749649751288</v>
      </c>
      <c r="BQ15" s="29">
        <f t="shared" si="18"/>
        <v>-2.9992175092691222E-2</v>
      </c>
      <c r="BR15" s="115">
        <f t="shared" si="19"/>
        <v>2.5027873354290034E-2</v>
      </c>
      <c r="BY15" s="19">
        <f>$BH15*'Cuadro 10'!AB21</f>
        <v>-5762.8718526348785</v>
      </c>
      <c r="BZ15" s="19">
        <f>$BH15*'Cuadro 10'!AC21</f>
        <v>-1017.1929462582951</v>
      </c>
      <c r="CA15" s="19">
        <f>$BH15*'Cuadro 10'!AD21</f>
        <v>-3194.6099662588831</v>
      </c>
      <c r="CB15" s="19">
        <f>$BH15*'Cuadro 10'!AE21</f>
        <v>-182.62521261417575</v>
      </c>
      <c r="CD15" s="7">
        <v>-8683.9702472974004</v>
      </c>
      <c r="CE15" s="7">
        <v>-1532.7901620837019</v>
      </c>
      <c r="CF15" s="7">
        <v>-4813.9015768722757</v>
      </c>
      <c r="CG15" s="7">
        <v>-275.194721191442</v>
      </c>
      <c r="CI15" s="19">
        <f t="shared" si="20"/>
        <v>2921.098394662522</v>
      </c>
      <c r="CJ15" s="19">
        <f t="shared" si="21"/>
        <v>515.59721582540681</v>
      </c>
      <c r="CK15" s="19">
        <f t="shared" si="22"/>
        <v>1619.2916106133925</v>
      </c>
      <c r="CL15" s="19">
        <f t="shared" si="23"/>
        <v>92.569508577266248</v>
      </c>
    </row>
    <row r="16" spans="1:90" x14ac:dyDescent="0.3">
      <c r="A16" s="86" t="s">
        <v>59</v>
      </c>
      <c r="B16" s="13">
        <v>13</v>
      </c>
      <c r="C16" s="6"/>
      <c r="D16" s="6"/>
      <c r="E16" s="86" t="s">
        <v>36</v>
      </c>
      <c r="F16" s="23">
        <v>30.7473276176386</v>
      </c>
      <c r="G16" s="23">
        <v>10.407336963360557</v>
      </c>
      <c r="H16" s="23">
        <v>66.663765173386267</v>
      </c>
      <c r="I16" s="23">
        <v>2.8722432143423027</v>
      </c>
      <c r="J16" s="23">
        <v>4.1038538331504739</v>
      </c>
      <c r="K16" s="23">
        <v>6.5284452174093657</v>
      </c>
      <c r="L16" s="23">
        <v>67.726135063185595</v>
      </c>
      <c r="M16" s="23">
        <v>130.08665139032101</v>
      </c>
      <c r="N16" s="23">
        <v>206.78321120386099</v>
      </c>
      <c r="O16" s="23">
        <v>169.91777248278242</v>
      </c>
      <c r="P16" s="23">
        <v>125.13252889590956</v>
      </c>
      <c r="Q16" s="23">
        <v>195.96006584791701</v>
      </c>
      <c r="R16" s="23">
        <v>168.48725765143701</v>
      </c>
      <c r="S16" s="23">
        <v>20.259094542231157</v>
      </c>
      <c r="T16" s="23">
        <v>4.0842673189247405</v>
      </c>
      <c r="U16" s="23">
        <v>25.676098193528901</v>
      </c>
      <c r="V16" s="23">
        <v>599.36621926659302</v>
      </c>
      <c r="W16" s="23">
        <v>109.737208574785</v>
      </c>
      <c r="X16" s="23">
        <v>41.352223890691803</v>
      </c>
      <c r="Y16" s="23">
        <v>272.42046182904301</v>
      </c>
      <c r="Z16" s="23">
        <v>72.550278131301994</v>
      </c>
      <c r="AA16" s="23">
        <v>11.557500947132899</v>
      </c>
      <c r="AB16" s="23">
        <v>15.3849319161076</v>
      </c>
      <c r="AC16" s="23">
        <v>67.758646333945904</v>
      </c>
      <c r="AD16" s="23">
        <v>0.60050080568619801</v>
      </c>
      <c r="AE16" s="23">
        <v>40.215545197130297</v>
      </c>
      <c r="AF16" s="23">
        <v>112.28001746133501</v>
      </c>
      <c r="AG16" s="23">
        <v>58.641554489711403</v>
      </c>
      <c r="AH16" s="23">
        <v>1726.1499274100199</v>
      </c>
      <c r="AI16" s="23">
        <v>172.63809406078499</v>
      </c>
      <c r="AJ16" s="91">
        <v>0</v>
      </c>
      <c r="AK16" s="94">
        <v>6529.5483856220399</v>
      </c>
      <c r="AL16" s="94">
        <v>4880.2539154608803</v>
      </c>
      <c r="AM16" s="99">
        <v>-4444.8914660065902</v>
      </c>
      <c r="AN16" s="96">
        <v>11500.999999999985</v>
      </c>
      <c r="AO16" s="115">
        <f t="shared" si="4"/>
        <v>6.1918387893046527E-3</v>
      </c>
      <c r="AP16" s="89"/>
      <c r="AR16" s="86"/>
      <c r="AS16" s="86" t="s">
        <v>59</v>
      </c>
      <c r="AT16" s="15">
        <v>0</v>
      </c>
      <c r="AU16" s="15">
        <f t="shared" si="5"/>
        <v>1</v>
      </c>
      <c r="AV16" s="21">
        <f t="shared" si="0"/>
        <v>6529.5483856220399</v>
      </c>
      <c r="AW16" s="21">
        <f t="shared" si="1"/>
        <v>4880.2539154608803</v>
      </c>
      <c r="AX16" s="21">
        <f t="shared" si="2"/>
        <v>-4444.8914660065902</v>
      </c>
      <c r="AY16" s="21">
        <f t="shared" si="24"/>
        <v>6964.9108350763299</v>
      </c>
      <c r="AZ16" s="21">
        <v>11263.978434209212</v>
      </c>
      <c r="BA16" s="109">
        <f t="shared" si="6"/>
        <v>-237.02156579077382</v>
      </c>
      <c r="BB16" s="22">
        <f t="shared" si="7"/>
        <v>-2.0608778870600308E-2</v>
      </c>
      <c r="BD16" s="30">
        <v>250401</v>
      </c>
      <c r="BE16" s="24">
        <f t="shared" si="8"/>
        <v>21.772106773324087</v>
      </c>
      <c r="BF16" s="23">
        <f t="shared" si="9"/>
        <v>250401</v>
      </c>
      <c r="BG16" s="23">
        <f t="shared" si="10"/>
        <v>245240.54116202283</v>
      </c>
      <c r="BH16" s="30">
        <f t="shared" si="11"/>
        <v>-5160.458837977174</v>
      </c>
      <c r="BI16" s="22">
        <f t="shared" si="12"/>
        <v>-2.0608778870600253E-2</v>
      </c>
      <c r="BJ16" s="115">
        <f t="shared" si="13"/>
        <v>1.3129295252237189E-2</v>
      </c>
      <c r="BK16" s="32"/>
      <c r="BL16" s="30">
        <v>1160.304065</v>
      </c>
      <c r="BM16" s="115">
        <f t="shared" si="14"/>
        <v>0.10088723284931758</v>
      </c>
      <c r="BN16" s="23">
        <f t="shared" si="15"/>
        <v>1160.304065</v>
      </c>
      <c r="BO16" s="23">
        <f t="shared" si="16"/>
        <v>1136.3916151017563</v>
      </c>
      <c r="BP16" s="30">
        <f t="shared" si="17"/>
        <v>-23.912449898243722</v>
      </c>
      <c r="BQ16" s="29">
        <f t="shared" si="18"/>
        <v>-2.0608778870600371E-2</v>
      </c>
      <c r="BR16" s="115">
        <f t="shared" si="19"/>
        <v>9.7232907821646307E-3</v>
      </c>
      <c r="BY16" s="19">
        <f>$BH16*'Cuadro 10'!AB22</f>
        <v>-1682.8851939207002</v>
      </c>
      <c r="BZ16" s="19">
        <f>$BH16*'Cuadro 10'!AC22</f>
        <v>-498.89125737428463</v>
      </c>
      <c r="CA16" s="19">
        <f>$BH16*'Cuadro 10'!AD22</f>
        <v>-2055.6476070113513</v>
      </c>
      <c r="CB16" s="19">
        <f>$BH16*'Cuadro 10'!AE22</f>
        <v>-923.03477967083791</v>
      </c>
      <c r="CD16" s="7">
        <v>-1974.7117874188204</v>
      </c>
      <c r="CE16" s="7">
        <v>-585.40324089607429</v>
      </c>
      <c r="CF16" s="7">
        <v>-2412.1143706110038</v>
      </c>
      <c r="CG16" s="7">
        <v>-1083.0968542583939</v>
      </c>
      <c r="CI16" s="19">
        <f t="shared" si="20"/>
        <v>291.82659349812025</v>
      </c>
      <c r="CJ16" s="19">
        <f t="shared" si="21"/>
        <v>86.511983521789659</v>
      </c>
      <c r="CK16" s="19">
        <f t="shared" si="22"/>
        <v>356.4667635996525</v>
      </c>
      <c r="CL16" s="19">
        <f t="shared" si="23"/>
        <v>160.06207458755603</v>
      </c>
    </row>
    <row r="17" spans="1:90" ht="14.3" customHeight="1" x14ac:dyDescent="0.3">
      <c r="A17" s="86" t="s">
        <v>199</v>
      </c>
      <c r="B17" s="14">
        <v>14</v>
      </c>
      <c r="C17" s="6"/>
      <c r="D17" s="6"/>
      <c r="E17" s="86" t="s">
        <v>195</v>
      </c>
      <c r="F17" s="23">
        <v>407.01589305101379</v>
      </c>
      <c r="G17" s="23">
        <v>172.50568763586074</v>
      </c>
      <c r="H17" s="23">
        <v>1104.9780258020203</v>
      </c>
      <c r="I17" s="23">
        <v>47.608556587713537</v>
      </c>
      <c r="J17" s="23">
        <v>68.022985124533747</v>
      </c>
      <c r="K17" s="23">
        <v>108.21153724406727</v>
      </c>
      <c r="L17" s="23">
        <v>1225.5684411231498</v>
      </c>
      <c r="M17" s="23">
        <v>392.08431572577467</v>
      </c>
      <c r="N17" s="23">
        <v>1112.5339450708095</v>
      </c>
      <c r="O17" s="23">
        <v>1641.7777700888137</v>
      </c>
      <c r="P17" s="23">
        <v>1209.0542457947854</v>
      </c>
      <c r="Q17" s="23">
        <v>948.84737676176758</v>
      </c>
      <c r="R17" s="23">
        <v>191.7996046212246</v>
      </c>
      <c r="S17" s="23">
        <v>14980.061281398514</v>
      </c>
      <c r="T17" s="23">
        <v>3020.005390644063</v>
      </c>
      <c r="U17" s="23">
        <v>979.82276687408978</v>
      </c>
      <c r="V17" s="23">
        <v>7.2123245750327865</v>
      </c>
      <c r="W17" s="23">
        <v>57.551319803985692</v>
      </c>
      <c r="X17" s="23">
        <v>1.4611107170916933</v>
      </c>
      <c r="Y17" s="23">
        <v>2154.7528012685466</v>
      </c>
      <c r="Z17" s="23">
        <v>756.44495567650063</v>
      </c>
      <c r="AA17" s="23">
        <v>261.02641498428807</v>
      </c>
      <c r="AB17" s="23">
        <v>243.75221154137725</v>
      </c>
      <c r="AC17" s="23">
        <v>430.66595671626334</v>
      </c>
      <c r="AD17" s="23">
        <v>80.784431009516538</v>
      </c>
      <c r="AE17" s="23">
        <v>249.2782132973407</v>
      </c>
      <c r="AF17" s="23">
        <v>1194.9385555771639</v>
      </c>
      <c r="AG17" s="23">
        <v>466.06960405211362</v>
      </c>
      <c r="AH17" s="23">
        <v>194.64384551853828</v>
      </c>
      <c r="AI17" s="23">
        <v>352.08396680895299</v>
      </c>
      <c r="AJ17" s="91">
        <v>0</v>
      </c>
      <c r="AK17" s="94">
        <v>17412.098902913542</v>
      </c>
      <c r="AL17" s="94">
        <v>18.380217130369683</v>
      </c>
      <c r="AM17" s="99">
        <v>-148.42962601047719</v>
      </c>
      <c r="AN17" s="96">
        <v>51342.999999999942</v>
      </c>
      <c r="AO17" s="115">
        <f t="shared" si="4"/>
        <v>2.7641733671791048E-2</v>
      </c>
      <c r="AP17" s="89">
        <f>AN17/SUM(AN17:AN18)</f>
        <v>0.82804612531247468</v>
      </c>
      <c r="AR17" s="124">
        <v>0</v>
      </c>
      <c r="AS17" s="124" t="s">
        <v>199</v>
      </c>
      <c r="AT17" s="15">
        <v>0</v>
      </c>
      <c r="AU17" s="15">
        <f>1-AT17</f>
        <v>1</v>
      </c>
      <c r="AV17" s="21">
        <f t="shared" si="0"/>
        <v>17412.098902913542</v>
      </c>
      <c r="AW17" s="21">
        <f t="shared" si="1"/>
        <v>18.380217130369683</v>
      </c>
      <c r="AX17" s="21">
        <f t="shared" si="2"/>
        <v>-148.42962601047719</v>
      </c>
      <c r="AY17" s="21">
        <f t="shared" si="24"/>
        <v>17282.049494033432</v>
      </c>
      <c r="AZ17" s="21">
        <v>45035.954012024056</v>
      </c>
      <c r="BA17" s="109">
        <f t="shared" si="6"/>
        <v>-6307.0459879758855</v>
      </c>
      <c r="BB17" s="22">
        <f t="shared" si="7"/>
        <v>-0.12284139976191288</v>
      </c>
      <c r="BD17" s="30">
        <v>39961.506007580028</v>
      </c>
      <c r="BE17" s="24">
        <f t="shared" si="8"/>
        <v>0.77832432868317147</v>
      </c>
      <c r="BF17" s="23">
        <f t="shared" si="9"/>
        <v>39961.506007580028</v>
      </c>
      <c r="BG17" s="23">
        <f t="shared" si="10"/>
        <v>35052.57867301481</v>
      </c>
      <c r="BH17" s="30">
        <f t="shared" si="11"/>
        <v>-4908.9273345652182</v>
      </c>
      <c r="BI17" s="22">
        <f t="shared" si="12"/>
        <v>-0.1228413997619128</v>
      </c>
      <c r="BJ17" s="115">
        <f t="shared" si="13"/>
        <v>2.0953047755303228E-3</v>
      </c>
      <c r="BK17" s="32"/>
      <c r="BL17" s="30">
        <v>4067.1342250000002</v>
      </c>
      <c r="BM17" s="115">
        <f t="shared" si="14"/>
        <v>7.9214970395185422E-2</v>
      </c>
      <c r="BN17" s="23">
        <f t="shared" si="15"/>
        <v>4067.1342250000007</v>
      </c>
      <c r="BO17" s="23">
        <f t="shared" si="16"/>
        <v>3567.5217637814176</v>
      </c>
      <c r="BP17" s="30">
        <f t="shared" si="17"/>
        <v>-499.61246121858267</v>
      </c>
      <c r="BQ17" s="29">
        <f t="shared" si="18"/>
        <v>-0.12284139976191284</v>
      </c>
      <c r="BR17" s="115">
        <f t="shared" si="19"/>
        <v>3.4082384016959205E-2</v>
      </c>
      <c r="BY17" s="19">
        <f>$BH17*'Cuadro 10'!AB23</f>
        <v>-3539.0231661556422</v>
      </c>
      <c r="BZ17" s="19">
        <f>$BH17*'Cuadro 10'!AC23</f>
        <v>-1120.1495342419232</v>
      </c>
      <c r="CA17" s="19">
        <f>$BH17*'Cuadro 10'!AD23</f>
        <v>-206.43181108703314</v>
      </c>
      <c r="CB17" s="19">
        <f>$BH17*'Cuadro 10'!AE23</f>
        <v>-43.322823080619798</v>
      </c>
      <c r="CD17" s="7">
        <v>-3904.1687753265796</v>
      </c>
      <c r="CE17" s="7">
        <v>-1235.7231444841007</v>
      </c>
      <c r="CF17" s="7">
        <v>-227.73081532427176</v>
      </c>
      <c r="CG17" s="7">
        <v>-47.792739744647079</v>
      </c>
      <c r="CI17" s="19">
        <f t="shared" si="20"/>
        <v>365.1456091709374</v>
      </c>
      <c r="CJ17" s="19">
        <f t="shared" si="21"/>
        <v>115.57361024217744</v>
      </c>
      <c r="CK17" s="19">
        <f t="shared" si="22"/>
        <v>21.29900423723862</v>
      </c>
      <c r="CL17" s="19">
        <f t="shared" si="23"/>
        <v>4.4699166640272807</v>
      </c>
    </row>
    <row r="18" spans="1:90" x14ac:dyDescent="0.3">
      <c r="A18" s="85" t="s">
        <v>200</v>
      </c>
      <c r="B18" s="13">
        <v>15</v>
      </c>
      <c r="C18" s="6"/>
      <c r="D18" s="6"/>
      <c r="E18" s="85" t="s">
        <v>196</v>
      </c>
      <c r="F18" s="23">
        <v>84.521813133434193</v>
      </c>
      <c r="G18" s="23">
        <v>35.822909482763926</v>
      </c>
      <c r="H18" s="23">
        <v>229.46216058861285</v>
      </c>
      <c r="I18" s="23">
        <v>9.8864972895662913</v>
      </c>
      <c r="J18" s="23">
        <v>14.125802298225254</v>
      </c>
      <c r="K18" s="23">
        <v>22.471445184275289</v>
      </c>
      <c r="L18" s="23">
        <v>254.50423074723005</v>
      </c>
      <c r="M18" s="23">
        <v>81.421089033913333</v>
      </c>
      <c r="N18" s="23">
        <v>231.03123935775042</v>
      </c>
      <c r="O18" s="23">
        <v>340.93517294834629</v>
      </c>
      <c r="P18" s="23">
        <v>251.07485672173445</v>
      </c>
      <c r="Q18" s="23">
        <v>197.03972753898239</v>
      </c>
      <c r="R18" s="23">
        <v>39.82952660482438</v>
      </c>
      <c r="S18" s="23">
        <v>3110.7923842056571</v>
      </c>
      <c r="T18" s="23">
        <v>627.14094375176785</v>
      </c>
      <c r="U18" s="23">
        <v>203.47214499370025</v>
      </c>
      <c r="V18" s="23">
        <v>1.4977271413629827</v>
      </c>
      <c r="W18" s="23">
        <v>11.951233308339907</v>
      </c>
      <c r="X18" s="23">
        <v>0.30341745643284662</v>
      </c>
      <c r="Y18" s="23">
        <v>447.46069312516329</v>
      </c>
      <c r="Z18" s="23">
        <v>157.0850187449673</v>
      </c>
      <c r="AA18" s="23">
        <v>54.205317892652964</v>
      </c>
      <c r="AB18" s="23">
        <v>50.618118915025732</v>
      </c>
      <c r="AC18" s="23">
        <v>89.433037230173596</v>
      </c>
      <c r="AD18" s="23">
        <v>16.775872142715968</v>
      </c>
      <c r="AE18" s="23">
        <v>51.765660560860262</v>
      </c>
      <c r="AF18" s="23">
        <v>248.143561528616</v>
      </c>
      <c r="AG18" s="23">
        <v>96.785036293236445</v>
      </c>
      <c r="AH18" s="23">
        <v>40.420167908354728</v>
      </c>
      <c r="AI18" s="23">
        <v>73.114528837758982</v>
      </c>
      <c r="AJ18" s="91">
        <v>0</v>
      </c>
      <c r="AK18" s="94">
        <v>3615.8346513227571</v>
      </c>
      <c r="AL18" s="94">
        <v>3.8168762059872172</v>
      </c>
      <c r="AM18" s="99">
        <v>-30.823221715203804</v>
      </c>
      <c r="AN18" s="96">
        <v>10661.999999999996</v>
      </c>
      <c r="AO18" s="114">
        <f t="shared" si="4"/>
        <v>5.740143045958288E-3</v>
      </c>
      <c r="AP18" s="89"/>
      <c r="AR18" s="85">
        <f>AT18</f>
        <v>0.4</v>
      </c>
      <c r="AS18" s="85" t="s">
        <v>200</v>
      </c>
      <c r="AT18" s="110">
        <f>AS41</f>
        <v>0.4</v>
      </c>
      <c r="AU18" s="15">
        <f t="shared" si="5"/>
        <v>0.6</v>
      </c>
      <c r="AV18" s="21">
        <f t="shared" si="0"/>
        <v>3615.8346513227571</v>
      </c>
      <c r="AW18" s="21">
        <f t="shared" si="1"/>
        <v>3.8168762059872172</v>
      </c>
      <c r="AX18" s="21">
        <f t="shared" si="2"/>
        <v>-30.823221715203804</v>
      </c>
      <c r="AY18" s="21">
        <f t="shared" si="24"/>
        <v>2153.2969834881242</v>
      </c>
      <c r="AZ18" s="21">
        <v>5611.3589974430915</v>
      </c>
      <c r="BA18" s="109">
        <f t="shared" si="6"/>
        <v>-5050.6410025569048</v>
      </c>
      <c r="BB18" s="22">
        <f t="shared" si="7"/>
        <v>-0.47370483985714751</v>
      </c>
      <c r="BD18" s="30">
        <v>8298.4939924199698</v>
      </c>
      <c r="BE18" s="24">
        <f t="shared" si="8"/>
        <v>0.77832432868317136</v>
      </c>
      <c r="BF18" s="23">
        <f t="shared" si="9"/>
        <v>8298.4939924199698</v>
      </c>
      <c r="BG18" s="23">
        <f t="shared" si="10"/>
        <v>4367.4572246851676</v>
      </c>
      <c r="BH18" s="30">
        <f t="shared" si="11"/>
        <v>-3931.0367677348022</v>
      </c>
      <c r="BI18" s="22">
        <f t="shared" si="12"/>
        <v>-0.47370483985714745</v>
      </c>
      <c r="BJ18" s="114">
        <f t="shared" si="13"/>
        <v>4.3511558570212712E-4</v>
      </c>
      <c r="BK18" s="32"/>
      <c r="BL18" s="30">
        <v>568.53968299999997</v>
      </c>
      <c r="BM18" s="114">
        <f t="shared" si="14"/>
        <v>5.3323924498217982E-2</v>
      </c>
      <c r="BN18" s="23">
        <f t="shared" si="15"/>
        <v>568.53968299999997</v>
      </c>
      <c r="BO18" s="23">
        <f t="shared" si="16"/>
        <v>299.21968351205157</v>
      </c>
      <c r="BP18" s="30">
        <f t="shared" si="17"/>
        <v>-269.31999948794839</v>
      </c>
      <c r="BQ18" s="29">
        <f t="shared" si="18"/>
        <v>-0.47370483985714751</v>
      </c>
      <c r="BR18" s="114">
        <f>BL18/$BL$37</f>
        <v>4.7643344755572336E-3</v>
      </c>
      <c r="BY18" s="19">
        <f>$BH18*'Cuadro 10'!AB24</f>
        <v>-2834.0265071891195</v>
      </c>
      <c r="BZ18" s="19">
        <f>$BH18*'Cuadro 10'!AC24</f>
        <v>-897.00838989013414</v>
      </c>
      <c r="CA18" s="19">
        <f>$BH18*'Cuadro 10'!AD24</f>
        <v>-165.30923847645127</v>
      </c>
      <c r="CB18" s="19">
        <f>$BH18*'Cuadro 10'!AE24</f>
        <v>-34.692632179097032</v>
      </c>
      <c r="CD18" s="7">
        <v>-2879.5226700738031</v>
      </c>
      <c r="CE18" s="7">
        <v>-911.40855153712118</v>
      </c>
      <c r="CF18" s="7">
        <v>-167.96303723979705</v>
      </c>
      <c r="CG18" s="7">
        <v>-35.249571798580028</v>
      </c>
      <c r="CI18" s="19">
        <f t="shared" si="20"/>
        <v>45.496162884683599</v>
      </c>
      <c r="CJ18" s="19">
        <f t="shared" si="21"/>
        <v>14.400161646987044</v>
      </c>
      <c r="CK18" s="19">
        <f t="shared" si="22"/>
        <v>2.653798763345776</v>
      </c>
      <c r="CL18" s="19">
        <f t="shared" si="23"/>
        <v>0.55693961948299631</v>
      </c>
    </row>
    <row r="19" spans="1:90" x14ac:dyDescent="0.3">
      <c r="A19" s="86" t="s">
        <v>61</v>
      </c>
      <c r="B19" s="14">
        <v>16</v>
      </c>
      <c r="C19" s="6"/>
      <c r="D19" s="6"/>
      <c r="E19" s="86" t="s">
        <v>37</v>
      </c>
      <c r="F19" s="23">
        <v>266.046210311121</v>
      </c>
      <c r="G19" s="23">
        <v>34.326292326014595</v>
      </c>
      <c r="H19" s="23">
        <v>219.87564147779295</v>
      </c>
      <c r="I19" s="23">
        <v>9.4734570960878735</v>
      </c>
      <c r="J19" s="23">
        <v>13.535651515454667</v>
      </c>
      <c r="K19" s="23">
        <v>21.532628352104801</v>
      </c>
      <c r="L19" s="23">
        <v>229.13585762555999</v>
      </c>
      <c r="M19" s="23">
        <v>100.819451149087</v>
      </c>
      <c r="N19" s="23">
        <v>144.37700833520401</v>
      </c>
      <c r="O19" s="23">
        <v>80.559322049104381</v>
      </c>
      <c r="P19" s="23">
        <v>59.326293811707629</v>
      </c>
      <c r="Q19" s="23">
        <v>1285.39293662712</v>
      </c>
      <c r="R19" s="23">
        <v>16.603393250179799</v>
      </c>
      <c r="S19" s="23">
        <v>66.256985488173925</v>
      </c>
      <c r="T19" s="23">
        <v>13.357519010324774</v>
      </c>
      <c r="U19" s="23">
        <v>411.92227597214497</v>
      </c>
      <c r="V19" s="23">
        <v>53.506363100056298</v>
      </c>
      <c r="W19" s="23">
        <v>75.768146587652794</v>
      </c>
      <c r="X19" s="23">
        <v>9.1292351287130291</v>
      </c>
      <c r="Y19" s="23">
        <v>509.22103913064001</v>
      </c>
      <c r="Z19" s="23">
        <v>86.298218382037007</v>
      </c>
      <c r="AA19" s="23">
        <v>237.30211753308001</v>
      </c>
      <c r="AB19" s="23">
        <v>138.73941085586199</v>
      </c>
      <c r="AC19" s="23">
        <v>343.237645584277</v>
      </c>
      <c r="AD19" s="23">
        <v>49.9373098788436</v>
      </c>
      <c r="AE19" s="23">
        <v>235.40160491549599</v>
      </c>
      <c r="AF19" s="23">
        <v>1205.6850286765</v>
      </c>
      <c r="AG19" s="23">
        <v>368.25613870032998</v>
      </c>
      <c r="AH19" s="23">
        <v>396.62134612412802</v>
      </c>
      <c r="AI19" s="23">
        <v>167.07259625481601</v>
      </c>
      <c r="AJ19" s="91">
        <v>0</v>
      </c>
      <c r="AK19" s="94">
        <v>11903.3220452113</v>
      </c>
      <c r="AL19" s="94">
        <v>40.542357384613098</v>
      </c>
      <c r="AM19" s="99">
        <v>548.41847215444204</v>
      </c>
      <c r="AN19" s="96">
        <v>19340.999999999967</v>
      </c>
      <c r="AO19" s="115">
        <f t="shared" si="4"/>
        <v>1.041269055072961E-2</v>
      </c>
      <c r="AP19" s="89"/>
      <c r="AR19" s="86"/>
      <c r="AS19" s="86" t="s">
        <v>61</v>
      </c>
      <c r="AT19" s="15">
        <v>0</v>
      </c>
      <c r="AU19" s="15">
        <f t="shared" si="5"/>
        <v>1</v>
      </c>
      <c r="AV19" s="21">
        <f t="shared" si="0"/>
        <v>11903.3220452113</v>
      </c>
      <c r="AW19" s="21">
        <f t="shared" si="1"/>
        <v>40.542357384613098</v>
      </c>
      <c r="AX19" s="21">
        <f t="shared" si="2"/>
        <v>548.41847215444204</v>
      </c>
      <c r="AY19" s="21">
        <f t="shared" si="24"/>
        <v>12492.282874750355</v>
      </c>
      <c r="AZ19" s="21">
        <v>19127.38252534479</v>
      </c>
      <c r="BA19" s="109">
        <f t="shared" si="6"/>
        <v>-213.61747465517692</v>
      </c>
      <c r="BB19" s="22">
        <f t="shared" si="7"/>
        <v>-1.1044799889104895E-2</v>
      </c>
      <c r="BD19" s="30">
        <v>86944</v>
      </c>
      <c r="BE19" s="24">
        <f t="shared" si="8"/>
        <v>4.4953208210537277</v>
      </c>
      <c r="BF19" s="23">
        <f t="shared" si="9"/>
        <v>86944</v>
      </c>
      <c r="BG19" s="23">
        <f t="shared" si="10"/>
        <v>85983.720918441672</v>
      </c>
      <c r="BH19" s="30">
        <f t="shared" si="11"/>
        <v>-960.27908155832847</v>
      </c>
      <c r="BI19" s="22">
        <f t="shared" si="12"/>
        <v>-1.1044799889104808E-2</v>
      </c>
      <c r="BJ19" s="115">
        <f t="shared" si="13"/>
        <v>4.5587415641731065E-3</v>
      </c>
      <c r="BK19" s="32"/>
      <c r="BL19" s="30">
        <v>858.39298100000008</v>
      </c>
      <c r="BM19" s="115">
        <f t="shared" si="14"/>
        <v>4.4382037174913479E-2</v>
      </c>
      <c r="BN19" s="23">
        <f t="shared" si="15"/>
        <v>858.39298100000019</v>
      </c>
      <c r="BO19" s="23">
        <f t="shared" si="16"/>
        <v>848.91220229864291</v>
      </c>
      <c r="BP19" s="30">
        <f t="shared" si="17"/>
        <v>-9.4807787013571669</v>
      </c>
      <c r="BQ19" s="29">
        <f t="shared" si="18"/>
        <v>-1.1044799889104831E-2</v>
      </c>
      <c r="BR19" s="115">
        <f t="shared" si="19"/>
        <v>7.1932908031586704E-3</v>
      </c>
      <c r="BY19" s="19">
        <f>$BH19*'Cuadro 10'!AB25</f>
        <v>-579.83929875943022</v>
      </c>
      <c r="BZ19" s="19">
        <f>$BH19*'Cuadro 10'!AC25</f>
        <v>-93.780274054778218</v>
      </c>
      <c r="CA19" s="19">
        <f>$BH19*'Cuadro 10'!AD25</f>
        <v>-223.28237478814947</v>
      </c>
      <c r="CB19" s="19">
        <f>$BH19*'Cuadro 10'!AE25</f>
        <v>-63.377133955970493</v>
      </c>
      <c r="CD19" s="7">
        <v>-1194.7117585446658</v>
      </c>
      <c r="CE19" s="7">
        <v>-193.22663429763367</v>
      </c>
      <c r="CF19" s="7">
        <v>-460.05518978432428</v>
      </c>
      <c r="CG19" s="7">
        <v>-130.58343462068925</v>
      </c>
      <c r="CI19" s="19">
        <f t="shared" si="20"/>
        <v>614.87245978523561</v>
      </c>
      <c r="CJ19" s="19">
        <f t="shared" si="21"/>
        <v>99.446360242855448</v>
      </c>
      <c r="CK19" s="19">
        <f t="shared" si="22"/>
        <v>236.77281499617482</v>
      </c>
      <c r="CL19" s="19">
        <f t="shared" si="23"/>
        <v>67.206300664718754</v>
      </c>
    </row>
    <row r="20" spans="1:90" x14ac:dyDescent="0.3">
      <c r="A20" s="86" t="s">
        <v>3</v>
      </c>
      <c r="B20" s="13">
        <v>17</v>
      </c>
      <c r="C20" s="6"/>
      <c r="D20" s="6"/>
      <c r="E20" s="86" t="s">
        <v>38</v>
      </c>
      <c r="F20" s="23">
        <v>4.8104575451270897</v>
      </c>
      <c r="G20" s="23">
        <v>3.2826717332091064</v>
      </c>
      <c r="H20" s="23">
        <v>21.02701760636587</v>
      </c>
      <c r="I20" s="23">
        <v>0.90596005912146527</v>
      </c>
      <c r="J20" s="23">
        <v>1.2944334389029797</v>
      </c>
      <c r="K20" s="23">
        <v>2.0591956090632677</v>
      </c>
      <c r="L20" s="23">
        <v>17.568929150000098</v>
      </c>
      <c r="M20" s="23">
        <v>15.0154193511892</v>
      </c>
      <c r="N20" s="23">
        <v>16.546893282007801</v>
      </c>
      <c r="O20" s="23">
        <v>12.468571817151325</v>
      </c>
      <c r="P20" s="23">
        <v>9.1822291476808751</v>
      </c>
      <c r="Q20" s="23">
        <v>12.8212552231013</v>
      </c>
      <c r="R20" s="23">
        <v>11.2924105509212</v>
      </c>
      <c r="S20" s="23">
        <v>14.560187665308433</v>
      </c>
      <c r="T20" s="23">
        <v>2.9353581679016685</v>
      </c>
      <c r="U20" s="23">
        <v>17.628567879720102</v>
      </c>
      <c r="V20" s="23">
        <v>101.50967533967901</v>
      </c>
      <c r="W20" s="23">
        <v>48.570831066803201</v>
      </c>
      <c r="X20" s="23">
        <v>24.976442672710299</v>
      </c>
      <c r="Y20" s="23">
        <v>87.108293037370402</v>
      </c>
      <c r="Z20" s="23">
        <v>19.245586809698501</v>
      </c>
      <c r="AA20" s="23">
        <v>21.3645438148782</v>
      </c>
      <c r="AB20" s="23">
        <v>53.5332298441921</v>
      </c>
      <c r="AC20" s="23">
        <v>44.650887004011999</v>
      </c>
      <c r="AD20" s="23">
        <v>30.928035321345799</v>
      </c>
      <c r="AE20" s="23">
        <v>75.484294825932395</v>
      </c>
      <c r="AF20" s="23">
        <v>133.524135530471</v>
      </c>
      <c r="AG20" s="23">
        <v>55.855990796893401</v>
      </c>
      <c r="AH20" s="23">
        <v>123.783644353247</v>
      </c>
      <c r="AI20" s="23">
        <v>29.925115895561401</v>
      </c>
      <c r="AJ20" s="91">
        <v>0</v>
      </c>
      <c r="AK20" s="94">
        <v>525.93905341822904</v>
      </c>
      <c r="AL20" s="94">
        <v>71365.737827199904</v>
      </c>
      <c r="AM20" s="99">
        <v>-270.53714515774197</v>
      </c>
      <c r="AN20" s="96">
        <v>72634.999999999956</v>
      </c>
      <c r="AO20" s="115">
        <f t="shared" si="4"/>
        <v>3.9104791797334469E-2</v>
      </c>
      <c r="AP20" s="89"/>
      <c r="AR20" s="86"/>
      <c r="AS20" s="86" t="s">
        <v>3</v>
      </c>
      <c r="AT20" s="15">
        <v>0</v>
      </c>
      <c r="AU20" s="15">
        <f t="shared" si="5"/>
        <v>1</v>
      </c>
      <c r="AV20" s="21">
        <f t="shared" si="0"/>
        <v>525.93905341822904</v>
      </c>
      <c r="AW20" s="21">
        <f t="shared" si="1"/>
        <v>71365.737827199904</v>
      </c>
      <c r="AX20" s="21">
        <f t="shared" si="2"/>
        <v>-270.53714515774197</v>
      </c>
      <c r="AY20" s="21">
        <f t="shared" si="24"/>
        <v>71621.139735460398</v>
      </c>
      <c r="AZ20" s="21">
        <v>72603.922366791987</v>
      </c>
      <c r="BA20" s="109">
        <f t="shared" si="6"/>
        <v>-31.077633207969484</v>
      </c>
      <c r="BB20" s="22">
        <f t="shared" si="7"/>
        <v>-4.2786030437069744E-4</v>
      </c>
      <c r="BD20" s="30">
        <v>874101</v>
      </c>
      <c r="BE20" s="24">
        <f t="shared" si="8"/>
        <v>12.034157086803889</v>
      </c>
      <c r="BF20" s="23">
        <f t="shared" si="9"/>
        <v>874101</v>
      </c>
      <c r="BG20" s="23">
        <f t="shared" si="10"/>
        <v>873727.00688008917</v>
      </c>
      <c r="BH20" s="30">
        <f t="shared" si="11"/>
        <v>-373.99311991082504</v>
      </c>
      <c r="BI20" s="22">
        <f t="shared" si="12"/>
        <v>-4.2786030437080505E-4</v>
      </c>
      <c r="BJ20" s="115">
        <f t="shared" si="13"/>
        <v>4.5831806219926351E-2</v>
      </c>
      <c r="BK20" s="32"/>
      <c r="BL20" s="30">
        <v>1065.825564</v>
      </c>
      <c r="BM20" s="115">
        <f t="shared" si="14"/>
        <v>1.4673718785709377E-2</v>
      </c>
      <c r="BN20" s="23">
        <f t="shared" si="15"/>
        <v>1065.825564</v>
      </c>
      <c r="BO20" s="23">
        <f t="shared" si="16"/>
        <v>1065.3695395497807</v>
      </c>
      <c r="BP20" s="30">
        <f t="shared" si="17"/>
        <v>-0.45602445021927451</v>
      </c>
      <c r="BQ20" s="29">
        <f t="shared" si="18"/>
        <v>-4.2786030437085156E-4</v>
      </c>
      <c r="BR20" s="115">
        <f t="shared" si="19"/>
        <v>8.9315656080517294E-3</v>
      </c>
      <c r="BY20" s="19">
        <f>$BH20*'Cuadro 10'!AB26</f>
        <v>-188.55963446435405</v>
      </c>
      <c r="BZ20" s="19">
        <f>$BH20*'Cuadro 10'!AC26</f>
        <v>-13.180128694183251</v>
      </c>
      <c r="CA20" s="19">
        <f>$BH20*'Cuadro 10'!AD26</f>
        <v>-171.1099113448762</v>
      </c>
      <c r="CB20" s="19">
        <f>$BH20*'Cuadro 10'!AE26</f>
        <v>-1.1434454074115752</v>
      </c>
      <c r="CD20" s="7">
        <v>-322.63019805510777</v>
      </c>
      <c r="CE20" s="7">
        <v>-22.551526168767694</v>
      </c>
      <c r="CF20" s="7">
        <v>-292.77329022837876</v>
      </c>
      <c r="CG20" s="7">
        <v>-1.9564633719532367</v>
      </c>
      <c r="CI20" s="19">
        <f t="shared" si="20"/>
        <v>134.07056359075372</v>
      </c>
      <c r="CJ20" s="19">
        <f t="shared" si="21"/>
        <v>9.3713974745844428</v>
      </c>
      <c r="CK20" s="19">
        <f t="shared" si="22"/>
        <v>121.66337888350256</v>
      </c>
      <c r="CL20" s="19">
        <f t="shared" si="23"/>
        <v>0.81301796454166153</v>
      </c>
    </row>
    <row r="21" spans="1:90" x14ac:dyDescent="0.3">
      <c r="A21" s="86" t="s">
        <v>4</v>
      </c>
      <c r="B21" s="14">
        <v>18</v>
      </c>
      <c r="C21" s="6"/>
      <c r="D21" s="6"/>
      <c r="E21" s="86" t="s">
        <v>39</v>
      </c>
      <c r="F21" s="23">
        <v>0</v>
      </c>
      <c r="G21" s="23">
        <v>0</v>
      </c>
      <c r="H21" s="23">
        <v>0</v>
      </c>
      <c r="I21" s="23">
        <v>0</v>
      </c>
      <c r="J21" s="23">
        <v>0</v>
      </c>
      <c r="K21" s="23">
        <v>0</v>
      </c>
      <c r="L21" s="23">
        <v>0</v>
      </c>
      <c r="M21" s="23">
        <v>0</v>
      </c>
      <c r="N21" s="23">
        <v>0</v>
      </c>
      <c r="O21" s="23">
        <v>0</v>
      </c>
      <c r="P21" s="23">
        <v>0</v>
      </c>
      <c r="Q21" s="23">
        <v>0</v>
      </c>
      <c r="R21" s="23">
        <v>0</v>
      </c>
      <c r="S21" s="23">
        <v>15.705663345199964</v>
      </c>
      <c r="T21" s="23">
        <v>3.1662879794118348</v>
      </c>
      <c r="U21" s="23">
        <v>0</v>
      </c>
      <c r="V21" s="23">
        <v>0</v>
      </c>
      <c r="W21" s="23">
        <v>1.9865211920643899</v>
      </c>
      <c r="X21" s="23">
        <v>0.99326059603219696</v>
      </c>
      <c r="Y21" s="23">
        <v>0</v>
      </c>
      <c r="Z21" s="23">
        <v>210.57124635882599</v>
      </c>
      <c r="AA21" s="23">
        <v>0</v>
      </c>
      <c r="AB21" s="23">
        <v>0</v>
      </c>
      <c r="AC21" s="23">
        <v>0</v>
      </c>
      <c r="AD21" s="23">
        <v>0</v>
      </c>
      <c r="AE21" s="23">
        <v>0</v>
      </c>
      <c r="AF21" s="23">
        <v>0</v>
      </c>
      <c r="AG21" s="23">
        <v>0</v>
      </c>
      <c r="AH21" s="23">
        <v>0</v>
      </c>
      <c r="AI21" s="23">
        <v>0</v>
      </c>
      <c r="AJ21" s="91">
        <v>0</v>
      </c>
      <c r="AK21" s="94">
        <v>0</v>
      </c>
      <c r="AL21" s="94">
        <v>57393.577020528501</v>
      </c>
      <c r="AM21" s="99">
        <v>0</v>
      </c>
      <c r="AN21" s="96">
        <v>57626.000000000036</v>
      </c>
      <c r="AO21" s="115">
        <f t="shared" si="4"/>
        <v>3.1024337194371848E-2</v>
      </c>
      <c r="AP21" s="89"/>
      <c r="AR21" s="86"/>
      <c r="AS21" s="86" t="s">
        <v>4</v>
      </c>
      <c r="AT21" s="15">
        <f>IF(AS21=BD61,BD65*-1,0)</f>
        <v>0</v>
      </c>
      <c r="AU21" s="15">
        <f t="shared" si="5"/>
        <v>1</v>
      </c>
      <c r="AV21" s="21">
        <f t="shared" si="0"/>
        <v>0</v>
      </c>
      <c r="AW21" s="21">
        <f t="shared" si="1"/>
        <v>57393.577020528501</v>
      </c>
      <c r="AX21" s="21">
        <f t="shared" si="2"/>
        <v>0</v>
      </c>
      <c r="AY21" s="21">
        <f t="shared" si="24"/>
        <v>57393.577020528501</v>
      </c>
      <c r="AZ21" s="21">
        <v>57598.493461619459</v>
      </c>
      <c r="BA21" s="109">
        <f t="shared" si="6"/>
        <v>-27.506538380577695</v>
      </c>
      <c r="BB21" s="22">
        <f t="shared" si="7"/>
        <v>-4.7732860827709445E-4</v>
      </c>
      <c r="BD21" s="30">
        <v>176468</v>
      </c>
      <c r="BE21" s="24">
        <f t="shared" si="8"/>
        <v>3.0622982681428503</v>
      </c>
      <c r="BF21" s="23">
        <f t="shared" si="9"/>
        <v>176468</v>
      </c>
      <c r="BG21" s="23">
        <f t="shared" si="10"/>
        <v>176383.76677515457</v>
      </c>
      <c r="BH21" s="30">
        <f t="shared" si="11"/>
        <v>-84.233224845433142</v>
      </c>
      <c r="BI21" s="22">
        <f t="shared" si="12"/>
        <v>-4.7732860827704251E-4</v>
      </c>
      <c r="BJ21" s="115">
        <f t="shared" si="13"/>
        <v>9.2527604704924979E-3</v>
      </c>
      <c r="BK21" s="32"/>
      <c r="BL21" s="30">
        <v>1812.925876</v>
      </c>
      <c r="BM21" s="115">
        <f t="shared" si="14"/>
        <v>3.1460206781661039E-2</v>
      </c>
      <c r="BN21" s="23">
        <f t="shared" si="15"/>
        <v>1812.9258760000002</v>
      </c>
      <c r="BO21" s="23">
        <f t="shared" si="16"/>
        <v>1812.0605146146995</v>
      </c>
      <c r="BP21" s="30">
        <f t="shared" si="17"/>
        <v>-0.86536138530050266</v>
      </c>
      <c r="BQ21" s="29">
        <f t="shared" si="18"/>
        <v>-4.7732860827703389E-4</v>
      </c>
      <c r="BR21" s="115">
        <f t="shared" si="19"/>
        <v>1.5192229339348681E-2</v>
      </c>
      <c r="BY21" s="19">
        <f>$BH21*'Cuadro 10'!AB27</f>
        <v>-62.740659671461259</v>
      </c>
      <c r="BZ21" s="19">
        <f>$BH21*'Cuadro 10'!AC27</f>
        <v>-9.3166734941469542</v>
      </c>
      <c r="CA21" s="19">
        <f>$BH21*'Cuadro 10'!AD27</f>
        <v>-11.370736521434493</v>
      </c>
      <c r="CB21" s="19">
        <f>$BH21*'Cuadro 10'!AE27</f>
        <v>-0.80515515839044205</v>
      </c>
      <c r="CD21" s="7">
        <v>-74.402171156696411</v>
      </c>
      <c r="CE21" s="7">
        <v>-11.048349500186792</v>
      </c>
      <c r="CF21" s="7">
        <v>-13.484198114516959</v>
      </c>
      <c r="CG21" s="7">
        <v>-0.9548081294642764</v>
      </c>
      <c r="CI21" s="19">
        <f t="shared" si="20"/>
        <v>11.661511485235152</v>
      </c>
      <c r="CJ21" s="19">
        <f t="shared" si="21"/>
        <v>1.7316760060398373</v>
      </c>
      <c r="CK21" s="19">
        <f t="shared" si="22"/>
        <v>2.1134615930824658</v>
      </c>
      <c r="CL21" s="19">
        <f t="shared" si="23"/>
        <v>0.14965297107383435</v>
      </c>
    </row>
    <row r="22" spans="1:90" x14ac:dyDescent="0.3">
      <c r="A22" s="86" t="s">
        <v>5</v>
      </c>
      <c r="B22" s="13">
        <v>19</v>
      </c>
      <c r="C22" s="6"/>
      <c r="D22" s="6"/>
      <c r="E22" s="86" t="s">
        <v>40</v>
      </c>
      <c r="F22" s="23">
        <v>59.483449776657899</v>
      </c>
      <c r="G22" s="23">
        <v>31.334822491479233</v>
      </c>
      <c r="H22" s="23">
        <v>200.71390555295363</v>
      </c>
      <c r="I22" s="23">
        <v>8.6478636745043147</v>
      </c>
      <c r="J22" s="23">
        <v>12.356045724806005</v>
      </c>
      <c r="K22" s="23">
        <v>19.65610153231875</v>
      </c>
      <c r="L22" s="23">
        <v>77.786049707937195</v>
      </c>
      <c r="M22" s="23">
        <v>0</v>
      </c>
      <c r="N22" s="23">
        <v>0</v>
      </c>
      <c r="O22" s="23">
        <v>164.42964858663015</v>
      </c>
      <c r="P22" s="23">
        <v>121.09091034132786</v>
      </c>
      <c r="Q22" s="23">
        <v>0</v>
      </c>
      <c r="R22" s="23">
        <v>199.49833925094501</v>
      </c>
      <c r="S22" s="23">
        <v>990.83095002067671</v>
      </c>
      <c r="T22" s="23">
        <v>199.75317550904333</v>
      </c>
      <c r="U22" s="23">
        <v>944.41415645401401</v>
      </c>
      <c r="V22" s="23">
        <v>11842.697285534299</v>
      </c>
      <c r="W22" s="23">
        <v>7116.0508532814101</v>
      </c>
      <c r="X22" s="23">
        <v>4180.3138243042004</v>
      </c>
      <c r="Y22" s="23">
        <v>939.83850647119505</v>
      </c>
      <c r="Z22" s="23">
        <v>334.93757874241197</v>
      </c>
      <c r="AA22" s="23">
        <v>479.52811819951899</v>
      </c>
      <c r="AB22" s="23">
        <v>6.40590997594777</v>
      </c>
      <c r="AC22" s="23">
        <v>221.46145916847999</v>
      </c>
      <c r="AD22" s="23">
        <v>2149.6403619287598</v>
      </c>
      <c r="AE22" s="23">
        <v>395.336158515634</v>
      </c>
      <c r="AF22" s="23">
        <v>3277.0805176955701</v>
      </c>
      <c r="AG22" s="23">
        <v>1566.7025541175101</v>
      </c>
      <c r="AH22" s="23">
        <v>166.553659374642</v>
      </c>
      <c r="AI22" s="23">
        <v>649.742297560417</v>
      </c>
      <c r="AJ22" s="91">
        <v>0</v>
      </c>
      <c r="AK22" s="94">
        <v>1431.26331462605</v>
      </c>
      <c r="AL22" s="94">
        <v>2145.9798419425001</v>
      </c>
      <c r="AM22" s="99">
        <v>16.4723399381514</v>
      </c>
      <c r="AN22" s="96">
        <v>39950</v>
      </c>
      <c r="AO22" s="115">
        <f t="shared" si="4"/>
        <v>2.1508039268995843E-2</v>
      </c>
      <c r="AP22" s="89"/>
      <c r="AR22" s="86"/>
      <c r="AS22" s="86" t="s">
        <v>5</v>
      </c>
      <c r="AT22" s="15">
        <v>0</v>
      </c>
      <c r="AU22" s="15">
        <f>1-AT22</f>
        <v>1</v>
      </c>
      <c r="AV22" s="21">
        <f t="shared" si="0"/>
        <v>1431.26331462605</v>
      </c>
      <c r="AW22" s="21">
        <f t="shared" si="1"/>
        <v>2145.9798419425001</v>
      </c>
      <c r="AX22" s="21">
        <f t="shared" si="2"/>
        <v>16.4723399381514</v>
      </c>
      <c r="AY22" s="21">
        <f t="shared" si="24"/>
        <v>3593.7154965067016</v>
      </c>
      <c r="AZ22" s="21">
        <v>39481.140956980023</v>
      </c>
      <c r="BA22" s="109">
        <f t="shared" si="6"/>
        <v>-468.85904301997653</v>
      </c>
      <c r="BB22" s="22">
        <f t="shared" si="7"/>
        <v>-1.1736146258322311E-2</v>
      </c>
      <c r="BD22" s="30">
        <v>266566</v>
      </c>
      <c r="BE22" s="24">
        <f t="shared" si="8"/>
        <v>6.6724906132665831</v>
      </c>
      <c r="BF22" s="23">
        <f t="shared" si="9"/>
        <v>266566</v>
      </c>
      <c r="BG22" s="23">
        <f t="shared" si="10"/>
        <v>263437.54243650404</v>
      </c>
      <c r="BH22" s="30">
        <f t="shared" si="11"/>
        <v>-3128.4575634959619</v>
      </c>
      <c r="BI22" s="22">
        <f t="shared" si="12"/>
        <v>-1.1736146258322373E-2</v>
      </c>
      <c r="BJ22" s="115">
        <f t="shared" si="13"/>
        <v>1.3976875963785522E-2</v>
      </c>
      <c r="BK22" s="32"/>
      <c r="BL22" s="30">
        <v>687.38566500000002</v>
      </c>
      <c r="BM22" s="115">
        <f t="shared" si="14"/>
        <v>1.7206149311639551E-2</v>
      </c>
      <c r="BN22" s="23">
        <f t="shared" si="15"/>
        <v>687.38566500000013</v>
      </c>
      <c r="BO22" s="23">
        <f t="shared" si="16"/>
        <v>679.31840629968588</v>
      </c>
      <c r="BP22" s="30">
        <f t="shared" si="17"/>
        <v>-8.0672587003141416</v>
      </c>
      <c r="BQ22" s="29">
        <f t="shared" si="18"/>
        <v>-1.1736146258322306E-2</v>
      </c>
      <c r="BR22" s="115">
        <f t="shared" si="19"/>
        <v>5.7602579374628022E-3</v>
      </c>
      <c r="BY22" s="19">
        <f>$BH22*'Cuadro 10'!AB28</f>
        <v>-1387.9614831621955</v>
      </c>
      <c r="BZ22" s="19">
        <f>$BH22*'Cuadro 10'!AC28</f>
        <v>-140.37018727068693</v>
      </c>
      <c r="CA22" s="19">
        <f>$BH22*'Cuadro 10'!AD28</f>
        <v>-1572.0939636574055</v>
      </c>
      <c r="CB22" s="19">
        <f>$BH22*'Cuadro 10'!AE28</f>
        <v>-28.031929405673928</v>
      </c>
      <c r="CD22" s="7">
        <v>-2694.9252851961282</v>
      </c>
      <c r="CE22" s="7">
        <v>-272.54874976907678</v>
      </c>
      <c r="CF22" s="7">
        <v>-3052.4447722512577</v>
      </c>
      <c r="CG22" s="7">
        <v>-54.427991168797853</v>
      </c>
      <c r="CI22" s="19">
        <f t="shared" si="20"/>
        <v>1306.9638020339328</v>
      </c>
      <c r="CJ22" s="19">
        <f t="shared" si="21"/>
        <v>132.17856249838985</v>
      </c>
      <c r="CK22" s="19">
        <f t="shared" si="22"/>
        <v>1480.3508085938522</v>
      </c>
      <c r="CL22" s="19">
        <f t="shared" si="23"/>
        <v>26.396061763123924</v>
      </c>
    </row>
    <row r="23" spans="1:90" x14ac:dyDescent="0.3">
      <c r="A23" s="86" t="s">
        <v>62</v>
      </c>
      <c r="B23" s="14">
        <v>20</v>
      </c>
      <c r="C23" s="6"/>
      <c r="D23" s="6"/>
      <c r="E23" s="86" t="s">
        <v>41</v>
      </c>
      <c r="F23" s="23">
        <v>4216.3643757345199</v>
      </c>
      <c r="G23" s="23">
        <v>245.84735393965778</v>
      </c>
      <c r="H23" s="23">
        <v>1574.765026752784</v>
      </c>
      <c r="I23" s="23">
        <v>67.84957541042084</v>
      </c>
      <c r="J23" s="23">
        <v>96.943301575332313</v>
      </c>
      <c r="K23" s="23">
        <v>154.2182200586544</v>
      </c>
      <c r="L23" s="23">
        <v>7409.2720926067004</v>
      </c>
      <c r="M23" s="23">
        <v>1604.8524815534699</v>
      </c>
      <c r="N23" s="23">
        <v>1894.49821101678</v>
      </c>
      <c r="O23" s="23">
        <v>4004.5433398144087</v>
      </c>
      <c r="P23" s="23">
        <v>2949.0654677398416</v>
      </c>
      <c r="Q23" s="23">
        <v>4713.5900965959199</v>
      </c>
      <c r="R23" s="23">
        <v>755.73072240377201</v>
      </c>
      <c r="S23" s="23">
        <v>389.95380539937452</v>
      </c>
      <c r="T23" s="23">
        <v>78.615338901893494</v>
      </c>
      <c r="U23" s="23">
        <v>433.41793894424598</v>
      </c>
      <c r="V23" s="23">
        <v>3699.8785485817698</v>
      </c>
      <c r="W23" s="23">
        <v>3759.5539335631702</v>
      </c>
      <c r="X23" s="23">
        <v>2408.48355340331</v>
      </c>
      <c r="Y23" s="23">
        <v>3253.1728469509999</v>
      </c>
      <c r="Z23" s="23">
        <v>7116.0300835355902</v>
      </c>
      <c r="AA23" s="23">
        <v>5103.3574559758099</v>
      </c>
      <c r="AB23" s="23">
        <v>1379.14609045924</v>
      </c>
      <c r="AC23" s="23">
        <v>343.101506245542</v>
      </c>
      <c r="AD23" s="23">
        <v>105.760111940207</v>
      </c>
      <c r="AE23" s="23">
        <v>782.31109614961895</v>
      </c>
      <c r="AF23" s="23">
        <v>1387.4587628187201</v>
      </c>
      <c r="AG23" s="23">
        <v>452.52422568568602</v>
      </c>
      <c r="AH23" s="23">
        <v>2068.6395354504598</v>
      </c>
      <c r="AI23" s="23">
        <v>604.380300729233</v>
      </c>
      <c r="AJ23" s="91">
        <v>0</v>
      </c>
      <c r="AK23" s="94">
        <v>85384.609691740596</v>
      </c>
      <c r="AL23" s="94">
        <v>15454.6702711423</v>
      </c>
      <c r="AM23" s="99">
        <v>-1030.60536282004</v>
      </c>
      <c r="AN23" s="96">
        <v>162862</v>
      </c>
      <c r="AO23" s="115">
        <f t="shared" si="4"/>
        <v>8.7680658108315421E-2</v>
      </c>
      <c r="AP23" s="89"/>
      <c r="AR23" s="86"/>
      <c r="AS23" s="86" t="s">
        <v>62</v>
      </c>
      <c r="AT23" s="15">
        <f>IF(AS23=BD61,BD65*-1,0)</f>
        <v>0</v>
      </c>
      <c r="AU23" s="15">
        <f t="shared" si="5"/>
        <v>1</v>
      </c>
      <c r="AV23" s="21">
        <f t="shared" si="0"/>
        <v>85384.609691740596</v>
      </c>
      <c r="AW23" s="21">
        <f t="shared" si="1"/>
        <v>15454.6702711423</v>
      </c>
      <c r="AX23" s="21">
        <f t="shared" si="2"/>
        <v>-1030.60536282004</v>
      </c>
      <c r="AY23" s="21">
        <f t="shared" si="24"/>
        <v>99808.674600062848</v>
      </c>
      <c r="AZ23" s="21">
        <v>160060.0760691372</v>
      </c>
      <c r="BA23" s="109">
        <f t="shared" si="6"/>
        <v>-2801.9239308628021</v>
      </c>
      <c r="BB23" s="22">
        <f t="shared" si="7"/>
        <v>-1.7204282956507999E-2</v>
      </c>
      <c r="BD23" s="30">
        <v>3708568</v>
      </c>
      <c r="BE23" s="24">
        <f t="shared" si="8"/>
        <v>22.771229629993492</v>
      </c>
      <c r="BF23" s="23">
        <f t="shared" si="9"/>
        <v>3708568</v>
      </c>
      <c r="BG23" s="23">
        <f t="shared" si="10"/>
        <v>3644764.7467645491</v>
      </c>
      <c r="BH23" s="30">
        <f t="shared" si="11"/>
        <v>-63803.253235450946</v>
      </c>
      <c r="BI23" s="22">
        <f t="shared" si="12"/>
        <v>-1.7204282956507996E-2</v>
      </c>
      <c r="BJ23" s="115">
        <f t="shared" si="13"/>
        <v>0.19445163651502495</v>
      </c>
      <c r="BK23" s="32"/>
      <c r="BL23" s="30">
        <v>18578.827311000001</v>
      </c>
      <c r="BM23" s="115">
        <f t="shared" si="14"/>
        <v>0.11407711627635668</v>
      </c>
      <c r="BN23" s="23">
        <f t="shared" si="15"/>
        <v>18578.827311000001</v>
      </c>
      <c r="BO23" s="23">
        <f t="shared" si="16"/>
        <v>18259.191908941459</v>
      </c>
      <c r="BP23" s="30">
        <f t="shared" si="17"/>
        <v>-319.63540205854224</v>
      </c>
      <c r="BQ23" s="29">
        <f t="shared" si="18"/>
        <v>-1.7204282956507978E-2</v>
      </c>
      <c r="BR23" s="115">
        <f t="shared" si="19"/>
        <v>0.15568965565631696</v>
      </c>
      <c r="BY23" s="19">
        <f>$BH23*'Cuadro 10'!AB29</f>
        <v>-16772.550263797213</v>
      </c>
      <c r="BZ23" s="19">
        <f>$BH23*'Cuadro 10'!AC29</f>
        <v>-10917.64954266112</v>
      </c>
      <c r="CA23" s="19">
        <f>$BH23*'Cuadro 10'!AD29</f>
        <v>-21109.29412018495</v>
      </c>
      <c r="CB23" s="19">
        <f>$BH23*'Cuadro 10'!AE29</f>
        <v>-15003.759308807663</v>
      </c>
      <c r="CD23" s="7">
        <v>-41499.299534240956</v>
      </c>
      <c r="CE23" s="7">
        <v>-27012.875290569496</v>
      </c>
      <c r="CF23" s="7">
        <v>-52229.440715452678</v>
      </c>
      <c r="CG23" s="7">
        <v>-37122.887807933257</v>
      </c>
      <c r="CI23" s="19">
        <f t="shared" si="20"/>
        <v>24726.749270443743</v>
      </c>
      <c r="CJ23" s="19">
        <f t="shared" si="21"/>
        <v>16095.225747908376</v>
      </c>
      <c r="CK23" s="19">
        <f t="shared" si="22"/>
        <v>31120.146595267728</v>
      </c>
      <c r="CL23" s="19">
        <f t="shared" si="23"/>
        <v>22119.128499125596</v>
      </c>
    </row>
    <row r="24" spans="1:90" x14ac:dyDescent="0.3">
      <c r="A24" s="86" t="s">
        <v>63</v>
      </c>
      <c r="B24" s="13">
        <v>21</v>
      </c>
      <c r="C24" s="6"/>
      <c r="D24" s="6"/>
      <c r="E24" s="86" t="s">
        <v>42</v>
      </c>
      <c r="F24" s="23">
        <v>2401.00721080328</v>
      </c>
      <c r="G24" s="23">
        <v>1392.4051210731566</v>
      </c>
      <c r="H24" s="23">
        <v>8918.9932395028936</v>
      </c>
      <c r="I24" s="23">
        <v>384.27949192936035</v>
      </c>
      <c r="J24" s="23">
        <v>549.05756520919681</v>
      </c>
      <c r="K24" s="23">
        <v>873.44539581728839</v>
      </c>
      <c r="L24" s="23">
        <v>2877.06459962393</v>
      </c>
      <c r="M24" s="23">
        <v>1143.0968862105301</v>
      </c>
      <c r="N24" s="23">
        <v>531.54439588349805</v>
      </c>
      <c r="O24" s="23">
        <v>3069.1389263422047</v>
      </c>
      <c r="P24" s="23">
        <v>2260.205685223375</v>
      </c>
      <c r="Q24" s="23">
        <v>880.06662884955801</v>
      </c>
      <c r="R24" s="23">
        <v>237.23112501364</v>
      </c>
      <c r="S24" s="23">
        <v>2248.8913845890779</v>
      </c>
      <c r="T24" s="23">
        <v>453.38026172600195</v>
      </c>
      <c r="U24" s="23">
        <v>473.36518929584997</v>
      </c>
      <c r="V24" s="23">
        <v>836.54264809920005</v>
      </c>
      <c r="W24" s="23">
        <v>1462.5635098087801</v>
      </c>
      <c r="X24" s="23">
        <v>350.30126146719198</v>
      </c>
      <c r="Y24" s="23">
        <v>14324.8890332144</v>
      </c>
      <c r="Z24" s="23">
        <v>14615.5616916325</v>
      </c>
      <c r="AA24" s="23">
        <v>2018.2464084963301</v>
      </c>
      <c r="AB24" s="23">
        <v>900.89446459749297</v>
      </c>
      <c r="AC24" s="23">
        <v>879.53707119833598</v>
      </c>
      <c r="AD24" s="23">
        <v>339.79014011135098</v>
      </c>
      <c r="AE24" s="23">
        <v>2293.3329785098099</v>
      </c>
      <c r="AF24" s="23">
        <v>1646.7077366746601</v>
      </c>
      <c r="AG24" s="23">
        <v>723.64806547635897</v>
      </c>
      <c r="AH24" s="23">
        <v>392.15007804804998</v>
      </c>
      <c r="AI24" s="23">
        <v>346.33945633620698</v>
      </c>
      <c r="AJ24" s="91">
        <v>0</v>
      </c>
      <c r="AK24" s="94">
        <v>30418.814747182001</v>
      </c>
      <c r="AL24" s="94">
        <v>188.52792233194299</v>
      </c>
      <c r="AM24" s="99">
        <v>3831.97967972267</v>
      </c>
      <c r="AN24" s="96">
        <v>104263.00000000013</v>
      </c>
      <c r="AO24" s="115">
        <f t="shared" si="4"/>
        <v>5.6132483061409673E-2</v>
      </c>
      <c r="AP24" s="89"/>
      <c r="AR24" s="86"/>
      <c r="AS24" s="86" t="s">
        <v>63</v>
      </c>
      <c r="AT24" s="15">
        <v>0</v>
      </c>
      <c r="AU24" s="15">
        <f t="shared" si="5"/>
        <v>1</v>
      </c>
      <c r="AV24" s="21">
        <f t="shared" si="0"/>
        <v>30418.814747182001</v>
      </c>
      <c r="AW24" s="21">
        <f t="shared" si="1"/>
        <v>188.52792233194299</v>
      </c>
      <c r="AX24" s="21">
        <f t="shared" si="2"/>
        <v>3831.97967972267</v>
      </c>
      <c r="AY24" s="21">
        <f t="shared" si="24"/>
        <v>34439.322349236609</v>
      </c>
      <c r="AZ24" s="21">
        <v>92677.541137790919</v>
      </c>
      <c r="BA24" s="109">
        <f t="shared" si="6"/>
        <v>-11585.458862209212</v>
      </c>
      <c r="BB24" s="22">
        <f t="shared" si="7"/>
        <v>-0.11111764348051756</v>
      </c>
      <c r="BD24" s="30">
        <v>1543129</v>
      </c>
      <c r="BE24" s="24">
        <f t="shared" si="8"/>
        <v>14.800351035362478</v>
      </c>
      <c r="BF24" s="23">
        <f t="shared" si="9"/>
        <v>1543129</v>
      </c>
      <c r="BG24" s="23">
        <f t="shared" si="10"/>
        <v>1371660.1419335525</v>
      </c>
      <c r="BH24" s="30">
        <f t="shared" si="11"/>
        <v>-171468.85806644754</v>
      </c>
      <c r="BI24" s="22">
        <f t="shared" si="12"/>
        <v>-0.11111764348051753</v>
      </c>
      <c r="BJ24" s="115">
        <f t="shared" si="13"/>
        <v>8.0911003763122033E-2</v>
      </c>
      <c r="BK24" s="32"/>
      <c r="BL24" s="30">
        <v>7775.234238</v>
      </c>
      <c r="BM24" s="115">
        <f t="shared" si="14"/>
        <v>7.4573283312392602E-2</v>
      </c>
      <c r="BN24" s="23">
        <f t="shared" si="15"/>
        <v>7775.234238</v>
      </c>
      <c r="BO24" s="23">
        <f t="shared" si="16"/>
        <v>6911.2685319644024</v>
      </c>
      <c r="BP24" s="30">
        <f t="shared" si="17"/>
        <v>-863.96570603559758</v>
      </c>
      <c r="BQ24" s="29">
        <f t="shared" si="18"/>
        <v>-0.11111764348051756</v>
      </c>
      <c r="BR24" s="115">
        <f t="shared" si="19"/>
        <v>6.5156079062358749E-2</v>
      </c>
      <c r="BY24" s="19">
        <f>$BH24*'Cuadro 10'!AB30</f>
        <v>-47306.709955924351</v>
      </c>
      <c r="BZ24" s="19">
        <f>$BH24*'Cuadro 10'!AC30</f>
        <v>-8704.0013141822346</v>
      </c>
      <c r="CA24" s="19">
        <f>$BH24*'Cuadro 10'!AD30</f>
        <v>-112806.54274353554</v>
      </c>
      <c r="CB24" s="19">
        <f>$BH24*'Cuadro 10'!AE30</f>
        <v>-2651.6040528054268</v>
      </c>
      <c r="CD24" s="7">
        <v>-57189.200436274594</v>
      </c>
      <c r="CE24" s="7">
        <v>-10522.289041409602</v>
      </c>
      <c r="CF24" s="7">
        <v>-136372.11274032629</v>
      </c>
      <c r="CG24" s="7">
        <v>-3205.530796684307</v>
      </c>
      <c r="CI24" s="19">
        <f t="shared" si="20"/>
        <v>9882.4904803502432</v>
      </c>
      <c r="CJ24" s="19">
        <f t="shared" si="21"/>
        <v>1818.2877272273672</v>
      </c>
      <c r="CK24" s="19">
        <f t="shared" si="22"/>
        <v>23565.569996790757</v>
      </c>
      <c r="CL24" s="19">
        <f t="shared" si="23"/>
        <v>553.92674387888019</v>
      </c>
    </row>
    <row r="25" spans="1:90" x14ac:dyDescent="0.3">
      <c r="A25" s="84" t="s">
        <v>64</v>
      </c>
      <c r="B25" s="14">
        <v>22</v>
      </c>
      <c r="C25" s="6"/>
      <c r="D25" s="6"/>
      <c r="E25" s="84" t="s">
        <v>43</v>
      </c>
      <c r="F25" s="23">
        <v>200.92864436583201</v>
      </c>
      <c r="G25" s="23">
        <v>31.890850016700835</v>
      </c>
      <c r="H25" s="23">
        <v>204.27551679911653</v>
      </c>
      <c r="I25" s="23">
        <v>8.8013175591942936</v>
      </c>
      <c r="J25" s="23">
        <v>12.5753002467602</v>
      </c>
      <c r="K25" s="23">
        <v>20.004893471175009</v>
      </c>
      <c r="L25" s="23">
        <v>409.37810185972199</v>
      </c>
      <c r="M25" s="23">
        <v>77.911381949583202</v>
      </c>
      <c r="N25" s="23">
        <v>46.837844204870699</v>
      </c>
      <c r="O25" s="23">
        <v>141.06256761825486</v>
      </c>
      <c r="P25" s="23">
        <v>103.88269314448011</v>
      </c>
      <c r="Q25" s="23">
        <v>115.11587718017699</v>
      </c>
      <c r="R25" s="23">
        <v>20.541163259262301</v>
      </c>
      <c r="S25" s="23">
        <v>65.3495868221504</v>
      </c>
      <c r="T25" s="23">
        <v>13.174585922710699</v>
      </c>
      <c r="U25" s="23">
        <v>56.570970586840097</v>
      </c>
      <c r="V25" s="23">
        <v>58.580823148673602</v>
      </c>
      <c r="W25" s="23">
        <v>60.929432351787803</v>
      </c>
      <c r="X25" s="23">
        <v>34.844320466221397</v>
      </c>
      <c r="Y25" s="23">
        <v>1007.05818495113</v>
      </c>
      <c r="Z25" s="23">
        <v>610.70138629731196</v>
      </c>
      <c r="AA25" s="23">
        <v>652.30650923234703</v>
      </c>
      <c r="AB25" s="23">
        <v>400.75185082076302</v>
      </c>
      <c r="AC25" s="23">
        <v>643.76511004789404</v>
      </c>
      <c r="AD25" s="23">
        <v>85.702116431811802</v>
      </c>
      <c r="AE25" s="23">
        <v>653.06716105739497</v>
      </c>
      <c r="AF25" s="23">
        <v>962.68168169194303</v>
      </c>
      <c r="AG25" s="23">
        <v>355.30702583533798</v>
      </c>
      <c r="AH25" s="23">
        <v>207.61441893130799</v>
      </c>
      <c r="AI25" s="23">
        <v>1043.3149191284399</v>
      </c>
      <c r="AJ25" s="91">
        <v>0</v>
      </c>
      <c r="AK25" s="94">
        <v>70504.609725372502</v>
      </c>
      <c r="AL25" s="94">
        <v>493.88680516124299</v>
      </c>
      <c r="AM25" s="99">
        <v>2300.5772340670701</v>
      </c>
      <c r="AN25" s="96">
        <v>81604</v>
      </c>
      <c r="AO25" s="113">
        <f t="shared" si="4"/>
        <v>4.3933467747362627E-2</v>
      </c>
      <c r="AP25" s="89"/>
      <c r="AR25" s="84">
        <f>AT25</f>
        <v>-0.23500000000000013</v>
      </c>
      <c r="AS25" s="84" t="s">
        <v>64</v>
      </c>
      <c r="AT25" s="20">
        <f>IF(AS25=BD61,BD65*-1,0)</f>
        <v>-0.23500000000000013</v>
      </c>
      <c r="AU25" s="15">
        <f t="shared" si="5"/>
        <v>1.2350000000000001</v>
      </c>
      <c r="AV25" s="21">
        <f t="shared" si="0"/>
        <v>70504.609725372502</v>
      </c>
      <c r="AW25" s="21">
        <f t="shared" si="1"/>
        <v>493.88680516124299</v>
      </c>
      <c r="AX25" s="21">
        <f t="shared" si="2"/>
        <v>2300.5772340670701</v>
      </c>
      <c r="AY25" s="21">
        <f t="shared" si="24"/>
        <v>90524.356099281998</v>
      </c>
      <c r="AZ25" s="21">
        <v>100674.92595085037</v>
      </c>
      <c r="BA25" s="109">
        <f t="shared" si="6"/>
        <v>19070.925950850375</v>
      </c>
      <c r="BB25" s="22">
        <f t="shared" si="7"/>
        <v>0.23370087190395528</v>
      </c>
      <c r="BD25" s="30">
        <v>1303376</v>
      </c>
      <c r="BE25" s="24">
        <f t="shared" si="8"/>
        <v>15.971962158717711</v>
      </c>
      <c r="BF25" s="23">
        <f t="shared" si="9"/>
        <v>1303376</v>
      </c>
      <c r="BG25" s="23">
        <f t="shared" si="10"/>
        <v>1607976.1076186898</v>
      </c>
      <c r="BH25" s="30">
        <f t="shared" si="11"/>
        <v>304600.10761868977</v>
      </c>
      <c r="BI25" s="22">
        <f t="shared" si="12"/>
        <v>0.23370087190395539</v>
      </c>
      <c r="BJ25" s="113">
        <f t="shared" si="13"/>
        <v>6.8340015929169204E-2</v>
      </c>
      <c r="BK25" s="32"/>
      <c r="BL25" s="30">
        <v>1963.6384639999999</v>
      </c>
      <c r="BM25" s="113">
        <f t="shared" si="14"/>
        <v>2.4063017303073378E-2</v>
      </c>
      <c r="BN25" s="23">
        <f t="shared" si="15"/>
        <v>1963.6384639999999</v>
      </c>
      <c r="BO25" s="23">
        <f t="shared" si="16"/>
        <v>2422.5424851409434</v>
      </c>
      <c r="BP25" s="30">
        <f t="shared" si="17"/>
        <v>458.90402114094354</v>
      </c>
      <c r="BQ25" s="29">
        <f t="shared" si="18"/>
        <v>0.2337008719039553</v>
      </c>
      <c r="BR25" s="113">
        <f t="shared" si="19"/>
        <v>1.645519338632595E-2</v>
      </c>
      <c r="BY25" s="19">
        <f>$BH25*'Cuadro 10'!AB31</f>
        <v>60515.470912326389</v>
      </c>
      <c r="BZ25" s="19">
        <f>$BH25*'Cuadro 10'!AC31</f>
        <v>101168.31721975494</v>
      </c>
      <c r="CA25" s="19">
        <f>$BH25*'Cuadro 10'!AD31</f>
        <v>50191.216651635819</v>
      </c>
      <c r="CB25" s="19">
        <f>$BH25*'Cuadro 10'!AE31</f>
        <v>92725.102834972611</v>
      </c>
      <c r="CD25" s="7">
        <v>-1824.0486472458394</v>
      </c>
      <c r="CE25" s="7">
        <v>-3049.4009116476009</v>
      </c>
      <c r="CF25" s="7">
        <v>-1512.856455660351</v>
      </c>
      <c r="CG25" s="7">
        <v>-2794.9067542893736</v>
      </c>
      <c r="CI25" s="19">
        <f t="shared" si="20"/>
        <v>62339.519559572225</v>
      </c>
      <c r="CJ25" s="19">
        <f t="shared" si="21"/>
        <v>104217.71813140254</v>
      </c>
      <c r="CK25" s="19">
        <f t="shared" si="22"/>
        <v>51704.073107296172</v>
      </c>
      <c r="CL25" s="19">
        <f t="shared" si="23"/>
        <v>95520.009589261987</v>
      </c>
    </row>
    <row r="26" spans="1:90" x14ac:dyDescent="0.3">
      <c r="A26" s="86" t="s">
        <v>65</v>
      </c>
      <c r="B26" s="13">
        <v>23</v>
      </c>
      <c r="C26" s="6"/>
      <c r="D26" s="6"/>
      <c r="E26" s="86" t="s">
        <v>44</v>
      </c>
      <c r="F26" s="23">
        <v>228.640199633235</v>
      </c>
      <c r="G26" s="23">
        <v>80.630461301298666</v>
      </c>
      <c r="H26" s="23">
        <v>516.47507493366868</v>
      </c>
      <c r="I26" s="23">
        <v>22.252598926821296</v>
      </c>
      <c r="J26" s="23">
        <v>31.794457010948779</v>
      </c>
      <c r="K26" s="23">
        <v>50.578889807561389</v>
      </c>
      <c r="L26" s="23">
        <v>545.86598142807202</v>
      </c>
      <c r="M26" s="23">
        <v>258.26560293159702</v>
      </c>
      <c r="N26" s="23">
        <v>258.86205517680497</v>
      </c>
      <c r="O26" s="23">
        <v>301.26197613251469</v>
      </c>
      <c r="P26" s="23">
        <v>221.85832819495425</v>
      </c>
      <c r="Q26" s="23">
        <v>376.19212228958202</v>
      </c>
      <c r="R26" s="23">
        <v>67.520875009329998</v>
      </c>
      <c r="S26" s="23">
        <v>568.99775452722315</v>
      </c>
      <c r="T26" s="23">
        <v>114.7108982838658</v>
      </c>
      <c r="U26" s="23">
        <v>302.57387310776801</v>
      </c>
      <c r="V26" s="23">
        <v>307.80240062350498</v>
      </c>
      <c r="W26" s="23">
        <v>378.09449530237998</v>
      </c>
      <c r="X26" s="23">
        <v>176.490896299079</v>
      </c>
      <c r="Y26" s="23">
        <v>5701.4614268691003</v>
      </c>
      <c r="Z26" s="23">
        <v>793.209815423225</v>
      </c>
      <c r="AA26" s="23">
        <v>872.27482866308401</v>
      </c>
      <c r="AB26" s="23">
        <v>7299.2129669672404</v>
      </c>
      <c r="AC26" s="23">
        <v>1382.5811526907801</v>
      </c>
      <c r="AD26" s="23">
        <v>594.65475591353595</v>
      </c>
      <c r="AE26" s="23">
        <v>3629.6755679202602</v>
      </c>
      <c r="AF26" s="23">
        <v>4602.6587289018598</v>
      </c>
      <c r="AG26" s="23">
        <v>1767.1791564918601</v>
      </c>
      <c r="AH26" s="23">
        <v>1029.4514021605801</v>
      </c>
      <c r="AI26" s="23">
        <v>934.28576420685499</v>
      </c>
      <c r="AJ26" s="91">
        <v>0</v>
      </c>
      <c r="AK26" s="94">
        <v>22814.532955846898</v>
      </c>
      <c r="AL26" s="94">
        <v>1231.2328875258199</v>
      </c>
      <c r="AM26" s="99">
        <v>-1603.28035050126</v>
      </c>
      <c r="AN26" s="96">
        <v>55858.000000000044</v>
      </c>
      <c r="AO26" s="115">
        <f t="shared" si="4"/>
        <v>3.0072492052254589E-2</v>
      </c>
      <c r="AP26" s="89"/>
      <c r="AR26" s="86"/>
      <c r="AS26" s="86" t="s">
        <v>65</v>
      </c>
      <c r="AT26" s="15">
        <v>0</v>
      </c>
      <c r="AU26" s="15">
        <f t="shared" si="5"/>
        <v>1</v>
      </c>
      <c r="AV26" s="21">
        <f t="shared" si="0"/>
        <v>22814.532955846898</v>
      </c>
      <c r="AW26" s="21">
        <f t="shared" si="1"/>
        <v>1231.2328875258199</v>
      </c>
      <c r="AX26" s="21">
        <f t="shared" si="2"/>
        <v>-1603.28035050126</v>
      </c>
      <c r="AY26" s="21">
        <f t="shared" si="24"/>
        <v>22442.485492871459</v>
      </c>
      <c r="AZ26" s="21">
        <v>54983.360918020175</v>
      </c>
      <c r="BA26" s="109">
        <f t="shared" si="6"/>
        <v>-874.63908197986893</v>
      </c>
      <c r="BB26" s="22">
        <f t="shared" si="7"/>
        <v>-1.5658259908694738E-2</v>
      </c>
      <c r="BD26" s="30">
        <v>282191</v>
      </c>
      <c r="BE26" s="24">
        <f t="shared" si="8"/>
        <v>5.0519352644204911</v>
      </c>
      <c r="BF26" s="23">
        <f t="shared" si="9"/>
        <v>282191</v>
      </c>
      <c r="BG26" s="23">
        <f t="shared" si="10"/>
        <v>277772.37997810554</v>
      </c>
      <c r="BH26" s="30">
        <f t="shared" si="11"/>
        <v>-4418.6200218944578</v>
      </c>
      <c r="BI26" s="22">
        <f t="shared" si="12"/>
        <v>-1.5658259908694669E-2</v>
      </c>
      <c r="BJ26" s="115">
        <f t="shared" si="13"/>
        <v>1.4796142813024167E-2</v>
      </c>
      <c r="BK26" s="32"/>
      <c r="BL26" s="30">
        <v>9309.9839339999999</v>
      </c>
      <c r="BM26" s="115">
        <f t="shared" si="14"/>
        <v>0.1666723465573417</v>
      </c>
      <c r="BN26" s="23">
        <f t="shared" si="15"/>
        <v>9309.9839339999999</v>
      </c>
      <c r="BO26" s="23">
        <f t="shared" si="16"/>
        <v>9164.2057858156568</v>
      </c>
      <c r="BP26" s="30">
        <f t="shared" si="17"/>
        <v>-145.77814818434308</v>
      </c>
      <c r="BQ26" s="29">
        <f t="shared" si="18"/>
        <v>-1.5658259908694606E-2</v>
      </c>
      <c r="BR26" s="115">
        <f t="shared" si="19"/>
        <v>7.801720574646355E-2</v>
      </c>
      <c r="BY26" s="19">
        <f>$BH26*'Cuadro 10'!AB32</f>
        <v>-1816.9967121492614</v>
      </c>
      <c r="BZ26" s="19">
        <f>$BH26*'Cuadro 10'!AC32</f>
        <v>-1044.5591355516337</v>
      </c>
      <c r="CA26" s="19">
        <f>$BH26*'Cuadro 10'!AD32</f>
        <v>-826.83857605318622</v>
      </c>
      <c r="CB26" s="19">
        <f>$BH26*'Cuadro 10'!AE32</f>
        <v>-730.22559814037618</v>
      </c>
      <c r="CD26" s="7">
        <v>-3873.8244831770289</v>
      </c>
      <c r="CE26" s="7">
        <v>-2226.9928868719649</v>
      </c>
      <c r="CF26" s="7">
        <v>-1762.8141526801753</v>
      </c>
      <c r="CG26" s="7">
        <v>-1556.8359487963696</v>
      </c>
      <c r="CI26" s="19">
        <f t="shared" si="20"/>
        <v>2056.8277710277675</v>
      </c>
      <c r="CJ26" s="19">
        <f t="shared" si="21"/>
        <v>1182.4337513203311</v>
      </c>
      <c r="CK26" s="19">
        <f t="shared" si="22"/>
        <v>935.9755766269891</v>
      </c>
      <c r="CL26" s="19">
        <f t="shared" si="23"/>
        <v>826.61035065599344</v>
      </c>
    </row>
    <row r="27" spans="1:90" x14ac:dyDescent="0.3">
      <c r="A27" s="86" t="s">
        <v>66</v>
      </c>
      <c r="B27" s="14">
        <v>24</v>
      </c>
      <c r="C27" s="6"/>
      <c r="D27" s="6"/>
      <c r="E27" s="86" t="s">
        <v>45</v>
      </c>
      <c r="F27" s="23">
        <v>965.65012447535503</v>
      </c>
      <c r="G27" s="23">
        <v>125.60439104398377</v>
      </c>
      <c r="H27" s="23">
        <v>804.55371616972866</v>
      </c>
      <c r="I27" s="23">
        <v>34.664617964977182</v>
      </c>
      <c r="J27" s="23">
        <v>49.528718389832903</v>
      </c>
      <c r="K27" s="23">
        <v>78.790702067547059</v>
      </c>
      <c r="L27" s="23">
        <v>1581.36077243359</v>
      </c>
      <c r="M27" s="23">
        <v>514.92022129214604</v>
      </c>
      <c r="N27" s="23">
        <v>416.46449485624498</v>
      </c>
      <c r="O27" s="23">
        <v>873.34060927046198</v>
      </c>
      <c r="P27" s="23">
        <v>643.15414113953807</v>
      </c>
      <c r="Q27" s="23">
        <v>750.49877470603496</v>
      </c>
      <c r="R27" s="23">
        <v>89.263643850703801</v>
      </c>
      <c r="S27" s="23">
        <v>831.54269015413536</v>
      </c>
      <c r="T27" s="23">
        <v>167.64039610001564</v>
      </c>
      <c r="U27" s="23">
        <v>189.384644449501</v>
      </c>
      <c r="V27" s="23">
        <v>1245.9182356569399</v>
      </c>
      <c r="W27" s="23">
        <v>1406.20016085728</v>
      </c>
      <c r="X27" s="23">
        <v>3405.1325408012099</v>
      </c>
      <c r="Y27" s="23">
        <v>4362.5425453464204</v>
      </c>
      <c r="Z27" s="23">
        <v>3265.84224791119</v>
      </c>
      <c r="AA27" s="23">
        <v>443.21276036709901</v>
      </c>
      <c r="AB27" s="23">
        <v>775.21692104061901</v>
      </c>
      <c r="AC27" s="23">
        <v>20036.596170163601</v>
      </c>
      <c r="AD27" s="23">
        <v>2271.4594114812699</v>
      </c>
      <c r="AE27" s="23">
        <v>1521.99167217336</v>
      </c>
      <c r="AF27" s="23">
        <v>4833.4920453104596</v>
      </c>
      <c r="AG27" s="23">
        <v>664.52383943004099</v>
      </c>
      <c r="AH27" s="23">
        <v>987.05471441072302</v>
      </c>
      <c r="AI27" s="23">
        <v>676.94599836831696</v>
      </c>
      <c r="AJ27" s="91">
        <v>0</v>
      </c>
      <c r="AK27" s="94">
        <v>37883.550028388301</v>
      </c>
      <c r="AL27" s="94">
        <v>67.727213387093698</v>
      </c>
      <c r="AM27" s="99">
        <v>-7469.7691634576204</v>
      </c>
      <c r="AN27" s="96">
        <v>84494.000000000087</v>
      </c>
      <c r="AO27" s="115">
        <f t="shared" si="4"/>
        <v>4.5489368460438967E-2</v>
      </c>
      <c r="AP27" s="89"/>
      <c r="AR27" s="86"/>
      <c r="AS27" s="86" t="s">
        <v>66</v>
      </c>
      <c r="AT27" s="15">
        <v>0</v>
      </c>
      <c r="AU27" s="15">
        <f t="shared" si="5"/>
        <v>1</v>
      </c>
      <c r="AV27" s="21">
        <f t="shared" si="0"/>
        <v>37883.550028388301</v>
      </c>
      <c r="AW27" s="21">
        <f t="shared" si="1"/>
        <v>67.727213387093698</v>
      </c>
      <c r="AX27" s="21">
        <f t="shared" si="2"/>
        <v>-7469.7691634576204</v>
      </c>
      <c r="AY27" s="21">
        <f t="shared" si="24"/>
        <v>30481.508078317776</v>
      </c>
      <c r="AZ27" s="21">
        <v>82017.648485456171</v>
      </c>
      <c r="BA27" s="109">
        <f t="shared" si="6"/>
        <v>-2476.351514543916</v>
      </c>
      <c r="BB27" s="22">
        <f t="shared" si="7"/>
        <v>-2.930801612592504E-2</v>
      </c>
      <c r="BD27" s="30">
        <v>230406</v>
      </c>
      <c r="BE27" s="24">
        <f t="shared" si="8"/>
        <v>2.726891850308895</v>
      </c>
      <c r="BF27" s="23">
        <f t="shared" si="9"/>
        <v>230406</v>
      </c>
      <c r="BG27" s="23">
        <f t="shared" si="10"/>
        <v>223653.25723649011</v>
      </c>
      <c r="BH27" s="30">
        <f t="shared" si="11"/>
        <v>-6752.7427635098866</v>
      </c>
      <c r="BI27" s="22">
        <f t="shared" si="12"/>
        <v>-2.9308016125925047E-2</v>
      </c>
      <c r="BJ27" s="115">
        <f t="shared" si="13"/>
        <v>1.2080895850603478E-2</v>
      </c>
      <c r="BK27" s="32"/>
      <c r="BL27" s="30">
        <v>17176.196866000002</v>
      </c>
      <c r="BM27" s="115">
        <f t="shared" si="14"/>
        <v>0.20328303626292973</v>
      </c>
      <c r="BN27" s="23">
        <f t="shared" si="15"/>
        <v>17176.196866000002</v>
      </c>
      <c r="BO27" s="23">
        <f t="shared" si="16"/>
        <v>16672.796611269212</v>
      </c>
      <c r="BP27" s="30">
        <f t="shared" si="17"/>
        <v>-503.40025473079004</v>
      </c>
      <c r="BQ27" s="29">
        <f t="shared" si="18"/>
        <v>-2.9308016125924971E-2</v>
      </c>
      <c r="BR27" s="115">
        <f t="shared" si="19"/>
        <v>0.14393568177305563</v>
      </c>
      <c r="BY27" s="19">
        <f>$BH27*'Cuadro 10'!AB33</f>
        <v>-2771.8312672872576</v>
      </c>
      <c r="BZ27" s="19">
        <f>$BH27*'Cuadro 10'!AC33</f>
        <v>-3300.1971105193047</v>
      </c>
      <c r="CA27" s="19">
        <f>$BH27*'Cuadro 10'!AD33</f>
        <v>-389.8532697458682</v>
      </c>
      <c r="CB27" s="19">
        <f>$BH27*'Cuadro 10'!AE33</f>
        <v>-290.86111595745655</v>
      </c>
      <c r="CD27" s="7">
        <v>-3969.7057902693132</v>
      </c>
      <c r="CE27" s="7">
        <v>-4726.4102015416229</v>
      </c>
      <c r="CF27" s="7">
        <v>-558.33224790057625</v>
      </c>
      <c r="CG27" s="7">
        <v>-416.55964769837112</v>
      </c>
      <c r="CI27" s="19">
        <f t="shared" si="20"/>
        <v>1197.8745229820556</v>
      </c>
      <c r="CJ27" s="19">
        <f t="shared" si="21"/>
        <v>1426.2130910223182</v>
      </c>
      <c r="CK27" s="19">
        <f t="shared" si="22"/>
        <v>168.47897815470805</v>
      </c>
      <c r="CL27" s="19">
        <f t="shared" si="23"/>
        <v>125.69853174091458</v>
      </c>
    </row>
    <row r="28" spans="1:90" x14ac:dyDescent="0.3">
      <c r="A28" s="86" t="s">
        <v>6</v>
      </c>
      <c r="B28" s="13">
        <v>25</v>
      </c>
      <c r="C28" s="6"/>
      <c r="D28" s="6"/>
      <c r="E28" s="86" t="s">
        <v>46</v>
      </c>
      <c r="F28" s="23">
        <v>38.351584049430599</v>
      </c>
      <c r="G28" s="23">
        <v>50.25373585488245</v>
      </c>
      <c r="H28" s="23">
        <v>321.8982202564822</v>
      </c>
      <c r="I28" s="23">
        <v>13.869153301434809</v>
      </c>
      <c r="J28" s="23">
        <v>19.816211125309543</v>
      </c>
      <c r="K28" s="23">
        <v>31.523795439099853</v>
      </c>
      <c r="L28" s="23">
        <v>144.47965154399699</v>
      </c>
      <c r="M28" s="23">
        <v>514.55009530383199</v>
      </c>
      <c r="N28" s="23">
        <v>51.208833151529802</v>
      </c>
      <c r="O28" s="23">
        <v>297.25544249912866</v>
      </c>
      <c r="P28" s="23">
        <v>218.90779701551034</v>
      </c>
      <c r="Q28" s="23">
        <v>301.72442996688801</v>
      </c>
      <c r="R28" s="23">
        <v>50.1224066699167</v>
      </c>
      <c r="S28" s="23">
        <v>128.33873691054282</v>
      </c>
      <c r="T28" s="23">
        <v>25.873303854876177</v>
      </c>
      <c r="U28" s="23">
        <v>452.703771595685</v>
      </c>
      <c r="V28" s="23">
        <v>14.2516092791383</v>
      </c>
      <c r="W28" s="23">
        <v>15.7371081426757</v>
      </c>
      <c r="X28" s="23">
        <v>241.49225004757099</v>
      </c>
      <c r="Y28" s="23">
        <v>6892.8548873373302</v>
      </c>
      <c r="Z28" s="23">
        <v>1122.6647105018601</v>
      </c>
      <c r="AA28" s="23">
        <v>2788.9012340674199</v>
      </c>
      <c r="AB28" s="23">
        <v>1250.0686017706901</v>
      </c>
      <c r="AC28" s="23">
        <v>2148.2699499789101</v>
      </c>
      <c r="AD28" s="23">
        <v>425.09383840685598</v>
      </c>
      <c r="AE28" s="23">
        <v>2753.4679095460001</v>
      </c>
      <c r="AF28" s="23">
        <v>673.42443284124499</v>
      </c>
      <c r="AG28" s="23">
        <v>1462.16536236056</v>
      </c>
      <c r="AH28" s="23">
        <v>324.36062000481502</v>
      </c>
      <c r="AI28" s="23">
        <v>1352.00358902468</v>
      </c>
      <c r="AJ28" s="91">
        <v>0</v>
      </c>
      <c r="AK28" s="94">
        <v>77693.742959044001</v>
      </c>
      <c r="AL28" s="94">
        <v>1035.85179485407</v>
      </c>
      <c r="AM28" s="99">
        <v>3.7719742536096699</v>
      </c>
      <c r="AN28" s="96">
        <v>102858.99999999999</v>
      </c>
      <c r="AO28" s="115">
        <f t="shared" si="4"/>
        <v>5.5376606036787061E-2</v>
      </c>
      <c r="AP28" s="89"/>
      <c r="AR28" s="86"/>
      <c r="AS28" s="86" t="s">
        <v>6</v>
      </c>
      <c r="AT28" s="15">
        <v>0</v>
      </c>
      <c r="AU28" s="15">
        <f t="shared" si="5"/>
        <v>1</v>
      </c>
      <c r="AV28" s="21">
        <f t="shared" si="0"/>
        <v>77693.742959044001</v>
      </c>
      <c r="AW28" s="21">
        <f t="shared" si="1"/>
        <v>1035.85179485407</v>
      </c>
      <c r="AX28" s="21">
        <f t="shared" si="2"/>
        <v>3.7719742536096699</v>
      </c>
      <c r="AY28" s="21">
        <f t="shared" si="24"/>
        <v>78733.366728151683</v>
      </c>
      <c r="AZ28" s="21">
        <v>103295.79120137863</v>
      </c>
      <c r="BA28" s="109">
        <f t="shared" si="6"/>
        <v>436.79120137864084</v>
      </c>
      <c r="BB28" s="22">
        <f t="shared" si="7"/>
        <v>4.2465044515174188E-3</v>
      </c>
      <c r="BD28" s="30">
        <v>246799</v>
      </c>
      <c r="BE28" s="24">
        <f t="shared" si="8"/>
        <v>2.3993913998775027</v>
      </c>
      <c r="BF28" s="23">
        <f t="shared" si="9"/>
        <v>246799.00000000003</v>
      </c>
      <c r="BG28" s="23">
        <f t="shared" si="10"/>
        <v>247847.03305213008</v>
      </c>
      <c r="BH28" s="30">
        <f t="shared" si="11"/>
        <v>1048.0330521300784</v>
      </c>
      <c r="BI28" s="22">
        <f t="shared" si="12"/>
        <v>4.2465044515175437E-3</v>
      </c>
      <c r="BJ28" s="115">
        <f t="shared" si="13"/>
        <v>1.2940431304015901E-2</v>
      </c>
      <c r="BK28" s="32"/>
      <c r="BL28" s="30">
        <v>2299.6882620000001</v>
      </c>
      <c r="BM28" s="115">
        <f t="shared" si="14"/>
        <v>2.2357676644727251E-2</v>
      </c>
      <c r="BN28" s="23">
        <f t="shared" si="15"/>
        <v>2299.6882620000001</v>
      </c>
      <c r="BO28" s="23">
        <f t="shared" si="16"/>
        <v>2309.4538984416854</v>
      </c>
      <c r="BP28" s="30">
        <f t="shared" si="17"/>
        <v>9.7656364416852739</v>
      </c>
      <c r="BQ28" s="29">
        <f t="shared" si="18"/>
        <v>4.2465044515173824E-3</v>
      </c>
      <c r="BR28" s="115">
        <f t="shared" si="19"/>
        <v>1.9271274103272923E-2</v>
      </c>
      <c r="BY28" s="19">
        <f>$BH28*'Cuadro 10'!AB34</f>
        <v>681.63848009732499</v>
      </c>
      <c r="BZ28" s="19">
        <f>$BH28*'Cuadro 10'!AC34</f>
        <v>214.38921275768584</v>
      </c>
      <c r="CA28" s="19">
        <f>$BH28*'Cuadro 10'!AD34</f>
        <v>92.488627088220795</v>
      </c>
      <c r="CB28" s="19">
        <f>$BH28*'Cuadro 10'!AE34</f>
        <v>59.516732186846703</v>
      </c>
      <c r="CD28" s="7">
        <v>-2237.8712491476217</v>
      </c>
      <c r="CE28" s="7">
        <v>-703.85617796887709</v>
      </c>
      <c r="CF28" s="7">
        <v>-303.64723453451859</v>
      </c>
      <c r="CG28" s="7">
        <v>-195.39798249820927</v>
      </c>
      <c r="CI28" s="19">
        <f t="shared" si="20"/>
        <v>2919.5097292449468</v>
      </c>
      <c r="CJ28" s="19">
        <f t="shared" si="21"/>
        <v>918.24539072656296</v>
      </c>
      <c r="CK28" s="19">
        <f t="shared" si="22"/>
        <v>396.13586162273941</v>
      </c>
      <c r="CL28" s="19">
        <f t="shared" si="23"/>
        <v>254.91471468505597</v>
      </c>
    </row>
    <row r="29" spans="1:90" ht="14.3" customHeight="1" x14ac:dyDescent="0.3">
      <c r="A29" s="86" t="s">
        <v>67</v>
      </c>
      <c r="B29" s="14">
        <v>26</v>
      </c>
      <c r="C29" s="6"/>
      <c r="D29" s="6"/>
      <c r="E29" s="86" t="s">
        <v>47</v>
      </c>
      <c r="F29" s="23">
        <v>786.98898875998805</v>
      </c>
      <c r="G29" s="23">
        <v>445.45219676683462</v>
      </c>
      <c r="H29" s="23">
        <v>2853.3255669320188</v>
      </c>
      <c r="I29" s="23">
        <v>122.9370254832487</v>
      </c>
      <c r="J29" s="23">
        <v>175.65211077748984</v>
      </c>
      <c r="K29" s="23">
        <v>279.42885618146647</v>
      </c>
      <c r="L29" s="23">
        <v>2564.14981056649</v>
      </c>
      <c r="M29" s="23">
        <v>1251.4604830340199</v>
      </c>
      <c r="N29" s="23">
        <v>915.18338728667197</v>
      </c>
      <c r="O29" s="23">
        <v>1319.2256806369539</v>
      </c>
      <c r="P29" s="23">
        <v>971.51724148959624</v>
      </c>
      <c r="Q29" s="23">
        <v>940.766737094017</v>
      </c>
      <c r="R29" s="23">
        <v>123.228399706982</v>
      </c>
      <c r="S29" s="23">
        <v>1433.4057810154975</v>
      </c>
      <c r="T29" s="23">
        <v>288.97700111698259</v>
      </c>
      <c r="U29" s="23">
        <v>1802.2017046077999</v>
      </c>
      <c r="V29" s="23">
        <v>1440.6709281011199</v>
      </c>
      <c r="W29" s="23">
        <v>1537.0180985305201</v>
      </c>
      <c r="X29" s="23">
        <v>543.087255292853</v>
      </c>
      <c r="Y29" s="23">
        <v>9603.0988192897494</v>
      </c>
      <c r="Z29" s="23">
        <v>2582.0174532084102</v>
      </c>
      <c r="AA29" s="23">
        <v>2461.2341773800599</v>
      </c>
      <c r="AB29" s="23">
        <v>8589.5133074582609</v>
      </c>
      <c r="AC29" s="23">
        <v>6037.1245429728297</v>
      </c>
      <c r="AD29" s="23">
        <v>3200.0912380007398</v>
      </c>
      <c r="AE29" s="23">
        <v>11177.490873798701</v>
      </c>
      <c r="AF29" s="23">
        <v>18303.5662827788</v>
      </c>
      <c r="AG29" s="23">
        <v>7018.3339942293496</v>
      </c>
      <c r="AH29" s="23">
        <v>3192.2411861507098</v>
      </c>
      <c r="AI29" s="23">
        <v>2434.5673326563601</v>
      </c>
      <c r="AJ29" s="91">
        <v>0</v>
      </c>
      <c r="AK29" s="94">
        <v>4602.1111993040004</v>
      </c>
      <c r="AL29" s="94">
        <v>5037.9515401016797</v>
      </c>
      <c r="AM29" s="99">
        <v>-3470.01920071022</v>
      </c>
      <c r="AN29" s="96">
        <v>100563.99999999999</v>
      </c>
      <c r="AO29" s="115">
        <f t="shared" si="4"/>
        <v>5.4141037823461767E-2</v>
      </c>
      <c r="AP29" s="89"/>
      <c r="AR29" s="86"/>
      <c r="AS29" s="86" t="s">
        <v>67</v>
      </c>
      <c r="AT29" s="15">
        <v>0</v>
      </c>
      <c r="AU29" s="15">
        <f t="shared" si="5"/>
        <v>1</v>
      </c>
      <c r="AV29" s="21">
        <f t="shared" si="0"/>
        <v>4602.1111993040004</v>
      </c>
      <c r="AW29" s="21">
        <f t="shared" si="1"/>
        <v>5037.9515401016797</v>
      </c>
      <c r="AX29" s="21">
        <f t="shared" si="2"/>
        <v>-3470.01920071022</v>
      </c>
      <c r="AY29" s="21">
        <f t="shared" si="24"/>
        <v>6170.0435386954596</v>
      </c>
      <c r="AZ29" s="21">
        <v>96747.414962323412</v>
      </c>
      <c r="BA29" s="109">
        <f t="shared" si="6"/>
        <v>-3816.5850376765738</v>
      </c>
      <c r="BB29" s="22">
        <f t="shared" si="7"/>
        <v>-3.7951802212288444E-2</v>
      </c>
      <c r="BD29" s="30">
        <v>1619050</v>
      </c>
      <c r="BE29" s="24">
        <f t="shared" si="8"/>
        <v>16.099697704944116</v>
      </c>
      <c r="BF29" s="23">
        <f t="shared" si="9"/>
        <v>1619049.9999999998</v>
      </c>
      <c r="BG29" s="23">
        <f t="shared" si="10"/>
        <v>1557604.1346281944</v>
      </c>
      <c r="BH29" s="30">
        <f t="shared" si="11"/>
        <v>-61445.865371805616</v>
      </c>
      <c r="BI29" s="22">
        <f t="shared" si="12"/>
        <v>-3.7951802212288457E-2</v>
      </c>
      <c r="BJ29" s="115">
        <f t="shared" si="13"/>
        <v>8.489177550462905E-2</v>
      </c>
      <c r="BK29" s="32"/>
      <c r="BL29" s="30">
        <v>10659.087244</v>
      </c>
      <c r="BM29" s="115">
        <f t="shared" si="14"/>
        <v>0.10599307151664614</v>
      </c>
      <c r="BN29" s="23">
        <f t="shared" si="15"/>
        <v>10659.087244</v>
      </c>
      <c r="BO29" s="23">
        <f t="shared" si="16"/>
        <v>10254.555673152187</v>
      </c>
      <c r="BP29" s="30">
        <f t="shared" si="17"/>
        <v>-404.53157084781378</v>
      </c>
      <c r="BQ29" s="29">
        <f t="shared" si="18"/>
        <v>-3.7951802212288353E-2</v>
      </c>
      <c r="BR29" s="115">
        <f t="shared" si="19"/>
        <v>8.9322624880982221E-2</v>
      </c>
      <c r="BY29" s="19">
        <f>$BH29*'Cuadro 10'!AB35</f>
        <v>-23555.089630409057</v>
      </c>
      <c r="BZ29" s="19">
        <f>$BH29*'Cuadro 10'!AC35</f>
        <v>-18580.85553915432</v>
      </c>
      <c r="CA29" s="19">
        <f>$BH29*'Cuadro 10'!AD35</f>
        <v>-8603.1247773881787</v>
      </c>
      <c r="CB29" s="19">
        <f>$BH29*'Cuadro 10'!AE35</f>
        <v>-10706.795424854063</v>
      </c>
      <c r="CD29" s="7">
        <v>-39764.273279064117</v>
      </c>
      <c r="CE29" s="7">
        <v>-31367.073061946721</v>
      </c>
      <c r="CF29" s="7">
        <v>-14523.273316706556</v>
      </c>
      <c r="CG29" s="7">
        <v>-18074.56247873071</v>
      </c>
      <c r="CI29" s="19">
        <f t="shared" si="20"/>
        <v>16209.18364865506</v>
      </c>
      <c r="CJ29" s="19">
        <f t="shared" si="21"/>
        <v>12786.217522792402</v>
      </c>
      <c r="CK29" s="19">
        <f t="shared" si="22"/>
        <v>5920.1485393183775</v>
      </c>
      <c r="CL29" s="19">
        <f t="shared" si="23"/>
        <v>7367.767053876647</v>
      </c>
    </row>
    <row r="30" spans="1:90" x14ac:dyDescent="0.3">
      <c r="A30" s="86" t="s">
        <v>9</v>
      </c>
      <c r="B30" s="13">
        <v>27</v>
      </c>
      <c r="C30" s="6"/>
      <c r="D30" s="6"/>
      <c r="E30" s="86" t="s">
        <v>48</v>
      </c>
      <c r="F30" s="23">
        <v>70.212529913742202</v>
      </c>
      <c r="G30" s="23">
        <v>29.31207645349425</v>
      </c>
      <c r="H30" s="23">
        <v>187.75728971968604</v>
      </c>
      <c r="I30" s="23">
        <v>8.0896210998289817</v>
      </c>
      <c r="J30" s="23">
        <v>11.558430147382232</v>
      </c>
      <c r="K30" s="23">
        <v>18.387247958709391</v>
      </c>
      <c r="L30" s="23">
        <v>130.218971489202</v>
      </c>
      <c r="M30" s="23">
        <v>54.430871798316502</v>
      </c>
      <c r="N30" s="23">
        <v>45.152449020302903</v>
      </c>
      <c r="O30" s="23">
        <v>131.69415040200204</v>
      </c>
      <c r="P30" s="23">
        <v>96.983510552261976</v>
      </c>
      <c r="Q30" s="23">
        <v>54.061351529820598</v>
      </c>
      <c r="R30" s="23">
        <v>9.8143082366344796</v>
      </c>
      <c r="S30" s="23">
        <v>77.047194801871896</v>
      </c>
      <c r="T30" s="23">
        <v>15.532843241742297</v>
      </c>
      <c r="U30" s="23">
        <v>56.967395419004902</v>
      </c>
      <c r="V30" s="23">
        <v>56.986655278596302</v>
      </c>
      <c r="W30" s="23">
        <v>69.702480155573795</v>
      </c>
      <c r="X30" s="23">
        <v>28.615542084629201</v>
      </c>
      <c r="Y30" s="23">
        <v>496.89779179470497</v>
      </c>
      <c r="Z30" s="23">
        <v>279.72827144439299</v>
      </c>
      <c r="AA30" s="23">
        <v>115.832266688217</v>
      </c>
      <c r="AB30" s="23">
        <v>303.60648256712898</v>
      </c>
      <c r="AC30" s="23">
        <v>180.09666688780399</v>
      </c>
      <c r="AD30" s="23">
        <v>85.718960499556999</v>
      </c>
      <c r="AE30" s="23">
        <v>345.922055985567</v>
      </c>
      <c r="AF30" s="23">
        <v>514.15342474283898</v>
      </c>
      <c r="AG30" s="23">
        <v>200.96508791245901</v>
      </c>
      <c r="AH30" s="23">
        <v>121.21812135379101</v>
      </c>
      <c r="AI30" s="23">
        <v>81.908171878684399</v>
      </c>
      <c r="AJ30" s="91">
        <v>0</v>
      </c>
      <c r="AK30" s="94">
        <v>109589.280073606</v>
      </c>
      <c r="AL30" s="94">
        <v>163.224029033867</v>
      </c>
      <c r="AM30" s="99">
        <v>-106.076323697376</v>
      </c>
      <c r="AN30" s="96">
        <v>113525.00000000044</v>
      </c>
      <c r="AO30" s="115">
        <f t="shared" si="4"/>
        <v>6.1118902578542245E-2</v>
      </c>
      <c r="AP30" s="89"/>
      <c r="AR30" s="86"/>
      <c r="AS30" s="86" t="s">
        <v>9</v>
      </c>
      <c r="AT30" s="15">
        <v>0</v>
      </c>
      <c r="AU30" s="15">
        <f t="shared" si="5"/>
        <v>1</v>
      </c>
      <c r="AV30" s="21">
        <f t="shared" si="0"/>
        <v>109589.280073606</v>
      </c>
      <c r="AW30" s="21">
        <f t="shared" si="1"/>
        <v>163.224029033867</v>
      </c>
      <c r="AX30" s="21">
        <f t="shared" si="2"/>
        <v>-106.076323697376</v>
      </c>
      <c r="AY30" s="21">
        <f t="shared" si="24"/>
        <v>109646.4277789425</v>
      </c>
      <c r="AZ30" s="21">
        <v>113231.73036278319</v>
      </c>
      <c r="BA30" s="109">
        <f t="shared" si="6"/>
        <v>-293.26963721725042</v>
      </c>
      <c r="BB30" s="22">
        <f t="shared" si="7"/>
        <v>-2.5833044458687393E-3</v>
      </c>
      <c r="BD30" s="30">
        <v>557133</v>
      </c>
      <c r="BE30" s="24">
        <f t="shared" si="8"/>
        <v>4.9075798282316478</v>
      </c>
      <c r="BF30" s="23">
        <f t="shared" si="9"/>
        <v>557133</v>
      </c>
      <c r="BG30" s="23">
        <f t="shared" si="10"/>
        <v>555693.75584415975</v>
      </c>
      <c r="BH30" s="30">
        <f t="shared" si="11"/>
        <v>-1439.2441558402497</v>
      </c>
      <c r="BI30" s="22">
        <f t="shared" si="12"/>
        <v>-2.5833044458688495E-3</v>
      </c>
      <c r="BJ30" s="115">
        <f t="shared" si="13"/>
        <v>2.9212198241079953E-2</v>
      </c>
      <c r="BK30" s="32"/>
      <c r="BL30" s="30">
        <v>3382.8928969999997</v>
      </c>
      <c r="BM30" s="115">
        <f t="shared" si="14"/>
        <v>2.979866018057685E-2</v>
      </c>
      <c r="BN30" s="23">
        <f t="shared" si="15"/>
        <v>3382.8928969999997</v>
      </c>
      <c r="BO30" s="23">
        <f t="shared" si="16"/>
        <v>3374.153854739282</v>
      </c>
      <c r="BP30" s="30">
        <f t="shared" si="17"/>
        <v>-8.7390422607177243</v>
      </c>
      <c r="BQ30" s="29">
        <f t="shared" si="18"/>
        <v>-2.5833044458686938E-3</v>
      </c>
      <c r="BR30" s="115">
        <f t="shared" si="19"/>
        <v>2.8348475468325023E-2</v>
      </c>
      <c r="BY30" s="19">
        <f>$BH30*'Cuadro 10'!AB36</f>
        <v>-711.05309389442459</v>
      </c>
      <c r="BZ30" s="19">
        <f>$BH30*'Cuadro 10'!AC36</f>
        <v>-313.77088325280107</v>
      </c>
      <c r="CA30" s="19">
        <f>$BH30*'Cuadro 10'!AD36</f>
        <v>-210.43283771694831</v>
      </c>
      <c r="CB30" s="19">
        <f>$BH30*'Cuadro 10'!AE36</f>
        <v>-203.98734097607573</v>
      </c>
      <c r="CD30" s="7">
        <v>-1009.2621468481133</v>
      </c>
      <c r="CE30" s="7">
        <v>-445.36347281145521</v>
      </c>
      <c r="CF30" s="7">
        <v>-298.68641228791529</v>
      </c>
      <c r="CG30" s="7">
        <v>-289.53773417364573</v>
      </c>
      <c r="CI30" s="19">
        <f t="shared" si="20"/>
        <v>298.20905295368868</v>
      </c>
      <c r="CJ30" s="19">
        <f t="shared" si="21"/>
        <v>131.59258955865414</v>
      </c>
      <c r="CK30" s="19">
        <f t="shared" si="22"/>
        <v>88.253574570966975</v>
      </c>
      <c r="CL30" s="19">
        <f t="shared" si="23"/>
        <v>85.550393197570003</v>
      </c>
    </row>
    <row r="31" spans="1:90" x14ac:dyDescent="0.3">
      <c r="A31" s="86" t="s">
        <v>68</v>
      </c>
      <c r="B31" s="14">
        <v>28</v>
      </c>
      <c r="C31" s="6"/>
      <c r="D31" s="6"/>
      <c r="E31" s="86" t="s">
        <v>49</v>
      </c>
      <c r="F31" s="23">
        <v>24.662692333267401</v>
      </c>
      <c r="G31" s="23">
        <v>15.497529255758087</v>
      </c>
      <c r="H31" s="23">
        <v>99.268780737156263</v>
      </c>
      <c r="I31" s="23">
        <v>4.2770473753882587</v>
      </c>
      <c r="J31" s="23">
        <v>6.111034461986705</v>
      </c>
      <c r="K31" s="23">
        <v>9.7214850549766378</v>
      </c>
      <c r="L31" s="23">
        <v>60.180710868663198</v>
      </c>
      <c r="M31" s="23">
        <v>38.260524237451001</v>
      </c>
      <c r="N31" s="23">
        <v>19.939064306899901</v>
      </c>
      <c r="O31" s="23">
        <v>36.111100659033603</v>
      </c>
      <c r="P31" s="23">
        <v>26.593294395602399</v>
      </c>
      <c r="Q31" s="23">
        <v>20.605510115569</v>
      </c>
      <c r="R31" s="23">
        <v>3.5934232935511998</v>
      </c>
      <c r="S31" s="23">
        <v>85.497700728411985</v>
      </c>
      <c r="T31" s="23">
        <v>17.236479359941015</v>
      </c>
      <c r="U31" s="23">
        <v>95.283266067912194</v>
      </c>
      <c r="V31" s="23">
        <v>15.998937264678499</v>
      </c>
      <c r="W31" s="23">
        <v>25.613852091324201</v>
      </c>
      <c r="X31" s="23">
        <v>7.0075977636151903</v>
      </c>
      <c r="Y31" s="23">
        <v>261.63532807043202</v>
      </c>
      <c r="Z31" s="23">
        <v>219.003182096209</v>
      </c>
      <c r="AA31" s="23">
        <v>58.324367328372702</v>
      </c>
      <c r="AB31" s="23">
        <v>193.03540742625199</v>
      </c>
      <c r="AC31" s="23">
        <v>298.46369875496998</v>
      </c>
      <c r="AD31" s="23">
        <v>131.35230722543599</v>
      </c>
      <c r="AE31" s="23">
        <v>227.879100378402</v>
      </c>
      <c r="AF31" s="23">
        <v>1296.6707672304201</v>
      </c>
      <c r="AG31" s="23">
        <v>768.49878606569996</v>
      </c>
      <c r="AH31" s="23">
        <v>101.646999267222</v>
      </c>
      <c r="AI31" s="23">
        <v>67.392177893735095</v>
      </c>
      <c r="AJ31" s="91">
        <v>0</v>
      </c>
      <c r="AK31" s="94">
        <v>66349.654936383406</v>
      </c>
      <c r="AL31" s="94">
        <v>100.748516653699</v>
      </c>
      <c r="AM31" s="99">
        <v>-116.765605145474</v>
      </c>
      <c r="AN31" s="96">
        <v>70568.999999999971</v>
      </c>
      <c r="AO31" s="115">
        <f t="shared" si="4"/>
        <v>3.7992511218367137E-2</v>
      </c>
      <c r="AP31" s="89"/>
      <c r="AR31" s="86"/>
      <c r="AS31" s="86" t="s">
        <v>68</v>
      </c>
      <c r="AT31" s="15">
        <v>0</v>
      </c>
      <c r="AU31" s="15">
        <f t="shared" si="5"/>
        <v>1</v>
      </c>
      <c r="AV31" s="21">
        <f t="shared" si="0"/>
        <v>66349.654936383406</v>
      </c>
      <c r="AW31" s="21">
        <f t="shared" si="1"/>
        <v>100.748516653699</v>
      </c>
      <c r="AX31" s="21">
        <f t="shared" si="2"/>
        <v>-116.765605145474</v>
      </c>
      <c r="AY31" s="21">
        <f t="shared" si="24"/>
        <v>66333.63784789163</v>
      </c>
      <c r="AZ31" s="21">
        <v>70409.270950946753</v>
      </c>
      <c r="BA31" s="109">
        <f t="shared" si="6"/>
        <v>-159.72904905321775</v>
      </c>
      <c r="BB31" s="22">
        <f t="shared" si="7"/>
        <v>-2.2634449836785864E-3</v>
      </c>
      <c r="BD31" s="30">
        <v>613956</v>
      </c>
      <c r="BE31" s="24">
        <f t="shared" si="8"/>
        <v>8.7000807720103772</v>
      </c>
      <c r="BF31" s="23">
        <f t="shared" si="9"/>
        <v>613956</v>
      </c>
      <c r="BG31" s="23">
        <f t="shared" si="10"/>
        <v>612566.34437160066</v>
      </c>
      <c r="BH31" s="30">
        <f t="shared" si="11"/>
        <v>-1389.6556283993414</v>
      </c>
      <c r="BI31" s="22">
        <f t="shared" si="12"/>
        <v>-2.2634449836785395E-3</v>
      </c>
      <c r="BJ31" s="115">
        <f t="shared" si="13"/>
        <v>3.2191603052234355E-2</v>
      </c>
      <c r="BK31" s="32"/>
      <c r="BL31" s="30">
        <v>785.71291500000007</v>
      </c>
      <c r="BM31" s="115">
        <f t="shared" si="14"/>
        <v>1.1133966968498922E-2</v>
      </c>
      <c r="BN31" s="23">
        <f t="shared" si="15"/>
        <v>785.71291500000007</v>
      </c>
      <c r="BO31" s="23">
        <f t="shared" si="16"/>
        <v>783.93449704393186</v>
      </c>
      <c r="BP31" s="30">
        <f t="shared" si="17"/>
        <v>-1.7784179560682105</v>
      </c>
      <c r="BQ31" s="29">
        <f t="shared" si="18"/>
        <v>-2.2634449836785621E-3</v>
      </c>
      <c r="BR31" s="115">
        <f t="shared" si="19"/>
        <v>6.5842354381885262E-3</v>
      </c>
      <c r="BY31" s="19">
        <f>$BH31*'Cuadro 10'!AB37</f>
        <v>-445.73454029099764</v>
      </c>
      <c r="BZ31" s="19">
        <f>$BH31*'Cuadro 10'!AC37</f>
        <v>-732.69461426605869</v>
      </c>
      <c r="CA31" s="19">
        <f>$BH31*'Cuadro 10'!AD37</f>
        <v>-93.932254999042925</v>
      </c>
      <c r="CB31" s="19">
        <f>$BH31*'Cuadro 10'!AE37</f>
        <v>-117.29421884324215</v>
      </c>
      <c r="CD31" s="7">
        <v>-646.88463037772431</v>
      </c>
      <c r="CE31" s="7">
        <v>-1063.3434070866895</v>
      </c>
      <c r="CF31" s="7">
        <v>-136.32179372038951</v>
      </c>
      <c r="CG31" s="7">
        <v>-170.22649254939742</v>
      </c>
      <c r="CI31" s="19">
        <f t="shared" si="20"/>
        <v>201.15009008672666</v>
      </c>
      <c r="CJ31" s="19">
        <f t="shared" si="21"/>
        <v>330.64879282063077</v>
      </c>
      <c r="CK31" s="19">
        <f t="shared" si="22"/>
        <v>42.389538721346582</v>
      </c>
      <c r="CL31" s="19">
        <f t="shared" si="23"/>
        <v>52.932273706155271</v>
      </c>
    </row>
    <row r="32" spans="1:90" x14ac:dyDescent="0.3">
      <c r="A32" s="86" t="s">
        <v>10</v>
      </c>
      <c r="B32" s="13">
        <v>29</v>
      </c>
      <c r="C32" s="6"/>
      <c r="D32" s="6"/>
      <c r="E32" s="86" t="s">
        <v>50</v>
      </c>
      <c r="F32" s="23">
        <v>2.0821919348342699</v>
      </c>
      <c r="G32" s="23">
        <v>0.33622501260864374</v>
      </c>
      <c r="H32" s="23">
        <v>2.1536753700654576</v>
      </c>
      <c r="I32" s="23">
        <v>9.2792230554001265E-2</v>
      </c>
      <c r="J32" s="23">
        <v>0.13258130409851762</v>
      </c>
      <c r="K32" s="23">
        <v>0.21091145441585893</v>
      </c>
      <c r="L32" s="23">
        <v>4.1749247377696603</v>
      </c>
      <c r="M32" s="23">
        <v>2.11188849694001</v>
      </c>
      <c r="N32" s="23">
        <v>1.1754132527194501</v>
      </c>
      <c r="O32" s="23">
        <v>2.6654291306222979</v>
      </c>
      <c r="P32" s="23">
        <v>1.9629017190735021</v>
      </c>
      <c r="Q32" s="23">
        <v>2.8725099728879</v>
      </c>
      <c r="R32" s="23">
        <v>0.45308188943029498</v>
      </c>
      <c r="S32" s="23">
        <v>0.83005220665700963</v>
      </c>
      <c r="T32" s="23">
        <v>0.16733991213593633</v>
      </c>
      <c r="U32" s="23">
        <v>1.6379601260351699</v>
      </c>
      <c r="V32" s="23">
        <v>1.7698418538462499</v>
      </c>
      <c r="W32" s="23">
        <v>1.9197383404392701</v>
      </c>
      <c r="X32" s="23">
        <v>1.5817946791630899</v>
      </c>
      <c r="Y32" s="23">
        <v>18.443696166054799</v>
      </c>
      <c r="Z32" s="23">
        <v>6.0575810382545399</v>
      </c>
      <c r="AA32" s="23">
        <v>8.6167427942692196</v>
      </c>
      <c r="AB32" s="23">
        <v>5.7237799349841101</v>
      </c>
      <c r="AC32" s="23">
        <v>6.3281050082167898</v>
      </c>
      <c r="AD32" s="23">
        <v>1.83651281872025</v>
      </c>
      <c r="AE32" s="23">
        <v>9.3611428555822798</v>
      </c>
      <c r="AF32" s="23">
        <v>37.315304595363699</v>
      </c>
      <c r="AG32" s="23">
        <v>49.189869563890397</v>
      </c>
      <c r="AH32" s="23">
        <v>24836.215360140199</v>
      </c>
      <c r="AI32" s="23">
        <v>3.6950097375740398</v>
      </c>
      <c r="AJ32" s="91">
        <v>0</v>
      </c>
      <c r="AK32" s="94">
        <v>60900.768453291203</v>
      </c>
      <c r="AL32" s="94">
        <v>10.0196212890664</v>
      </c>
      <c r="AM32" s="99">
        <v>160.09756714230201</v>
      </c>
      <c r="AN32" s="96">
        <v>86081.999999999985</v>
      </c>
      <c r="AO32" s="115">
        <f t="shared" si="4"/>
        <v>4.6344306291707132E-2</v>
      </c>
      <c r="AP32" s="89"/>
      <c r="AR32" s="86"/>
      <c r="AS32" s="86" t="s">
        <v>10</v>
      </c>
      <c r="AT32" s="15">
        <v>0</v>
      </c>
      <c r="AU32" s="15">
        <f t="shared" si="5"/>
        <v>1</v>
      </c>
      <c r="AV32" s="21">
        <f t="shared" si="0"/>
        <v>60900.768453291203</v>
      </c>
      <c r="AW32" s="21">
        <f t="shared" si="1"/>
        <v>10.0196212890664</v>
      </c>
      <c r="AX32" s="21">
        <f t="shared" si="2"/>
        <v>160.09756714230201</v>
      </c>
      <c r="AY32" s="21">
        <f t="shared" si="24"/>
        <v>61070.885641722569</v>
      </c>
      <c r="AZ32" s="21">
        <v>86079.826218764676</v>
      </c>
      <c r="BA32" s="109">
        <f t="shared" si="6"/>
        <v>-2.1737812353094341</v>
      </c>
      <c r="BB32" s="22">
        <f t="shared" si="7"/>
        <v>-2.5252448076384937E-5</v>
      </c>
      <c r="BD32" s="30">
        <v>716949</v>
      </c>
      <c r="BE32" s="24">
        <f t="shared" si="8"/>
        <v>8.3286749843172796</v>
      </c>
      <c r="BF32" s="23">
        <f t="shared" si="9"/>
        <v>716948.99999999988</v>
      </c>
      <c r="BG32" s="23">
        <f t="shared" si="10"/>
        <v>716930.89528260403</v>
      </c>
      <c r="BH32" s="30">
        <f t="shared" si="11"/>
        <v>-18.104717395966873</v>
      </c>
      <c r="BI32" s="22">
        <f t="shared" si="12"/>
        <v>-2.5252448076455752E-5</v>
      </c>
      <c r="BJ32" s="115">
        <f t="shared" si="13"/>
        <v>3.759184309086705E-2</v>
      </c>
      <c r="BK32" s="32"/>
      <c r="BL32" s="30">
        <v>2527.9792469999998</v>
      </c>
      <c r="BM32" s="115">
        <f t="shared" si="14"/>
        <v>2.936710632884924E-2</v>
      </c>
      <c r="BN32" s="23">
        <f t="shared" si="15"/>
        <v>2527.9792469999998</v>
      </c>
      <c r="BO32" s="23">
        <f t="shared" si="16"/>
        <v>2527.9154093353268</v>
      </c>
      <c r="BP32" s="30">
        <f t="shared" si="17"/>
        <v>-6.3837664672973915E-2</v>
      </c>
      <c r="BQ32" s="29">
        <f t="shared" si="18"/>
        <v>-2.5252448076356348E-5</v>
      </c>
      <c r="BR32" s="115">
        <f t="shared" si="19"/>
        <v>2.1184341287176809E-2</v>
      </c>
      <c r="BY32" s="19">
        <f>$BH32*'Cuadro 10'!AB38</f>
        <v>-3.0328097789439252</v>
      </c>
      <c r="BZ32" s="19">
        <f>$BH32*'Cuadro 10'!AC38</f>
        <v>-9.2430026792371862</v>
      </c>
      <c r="CA32" s="19">
        <f>$BH32*'Cuadro 10'!AD38</f>
        <v>-1.3158708789508768</v>
      </c>
      <c r="CB32" s="19">
        <f>$BH32*'Cuadro 10'!AE38</f>
        <v>-4.5130340588348838</v>
      </c>
      <c r="CD32" s="7">
        <v>-15.66594162014761</v>
      </c>
      <c r="CE32" s="7">
        <v>-47.744616682889884</v>
      </c>
      <c r="CF32" s="7">
        <v>-6.7971148445963605</v>
      </c>
      <c r="CG32" s="7">
        <v>-23.312021936326104</v>
      </c>
      <c r="CI32" s="19">
        <f t="shared" si="20"/>
        <v>12.633131841203685</v>
      </c>
      <c r="CJ32" s="19">
        <f t="shared" si="21"/>
        <v>38.501614003652698</v>
      </c>
      <c r="CK32" s="19">
        <f t="shared" si="22"/>
        <v>5.4812439656454837</v>
      </c>
      <c r="CL32" s="19">
        <f t="shared" si="23"/>
        <v>18.798987877491221</v>
      </c>
    </row>
    <row r="33" spans="1:90" x14ac:dyDescent="0.3">
      <c r="A33" s="86" t="s">
        <v>69</v>
      </c>
      <c r="B33" s="13">
        <v>30</v>
      </c>
      <c r="C33" s="6"/>
      <c r="D33" s="6"/>
      <c r="E33" s="86" t="s">
        <v>51</v>
      </c>
      <c r="F33" s="23">
        <v>79.916365803405796</v>
      </c>
      <c r="G33" s="23">
        <v>42.786360420918257</v>
      </c>
      <c r="H33" s="23">
        <v>274.06625669617483</v>
      </c>
      <c r="I33" s="23">
        <v>11.808288116166088</v>
      </c>
      <c r="J33" s="23">
        <v>16.87165216597781</v>
      </c>
      <c r="K33" s="23">
        <v>26.839566264038908</v>
      </c>
      <c r="L33" s="23">
        <v>162.27377380769701</v>
      </c>
      <c r="M33" s="23">
        <v>2.91859840914488</v>
      </c>
      <c r="N33" s="23">
        <v>40.009533134465102</v>
      </c>
      <c r="O33" s="23">
        <v>127.58204672381012</v>
      </c>
      <c r="P33" s="23">
        <v>93.955234434844868</v>
      </c>
      <c r="Q33" s="23">
        <v>181.57512655264199</v>
      </c>
      <c r="R33" s="23">
        <v>21.6316526517748</v>
      </c>
      <c r="S33" s="23">
        <v>98.14097202047212</v>
      </c>
      <c r="T33" s="23">
        <v>19.785383983235871</v>
      </c>
      <c r="U33" s="23">
        <v>84.247662849459502</v>
      </c>
      <c r="V33" s="23">
        <v>96.806749837923903</v>
      </c>
      <c r="W33" s="23">
        <v>58.435677906775702</v>
      </c>
      <c r="X33" s="23">
        <v>34.588960262400398</v>
      </c>
      <c r="Y33" s="23">
        <v>69.595714606889203</v>
      </c>
      <c r="Z33" s="23">
        <v>409.51506587164198</v>
      </c>
      <c r="AA33" s="23">
        <v>659.29266605269299</v>
      </c>
      <c r="AB33" s="23">
        <v>457.32598269260598</v>
      </c>
      <c r="AC33" s="23">
        <v>1445.8532968024101</v>
      </c>
      <c r="AD33" s="23">
        <v>71.885061450426605</v>
      </c>
      <c r="AE33" s="23">
        <v>148.430675979521</v>
      </c>
      <c r="AF33" s="23">
        <v>1424.0989025031299</v>
      </c>
      <c r="AG33" s="23">
        <v>188.073741530842</v>
      </c>
      <c r="AH33" s="23">
        <v>162.68818239639299</v>
      </c>
      <c r="AI33" s="23">
        <v>3282.8161671442399</v>
      </c>
      <c r="AJ33" s="91">
        <v>0</v>
      </c>
      <c r="AK33" s="94">
        <v>23588.462088803499</v>
      </c>
      <c r="AL33" s="94">
        <v>2186.3132040568198</v>
      </c>
      <c r="AM33" s="99">
        <v>2.4093880676106099</v>
      </c>
      <c r="AN33" s="96">
        <v>35571.000000000044</v>
      </c>
      <c r="AO33" s="115">
        <f t="shared" si="4"/>
        <v>1.9150499745618325E-2</v>
      </c>
      <c r="AP33" s="89"/>
      <c r="AR33" s="86"/>
      <c r="AS33" s="86" t="s">
        <v>69</v>
      </c>
      <c r="AT33" s="15">
        <v>0</v>
      </c>
      <c r="AU33" s="15">
        <f t="shared" ref="AU33:AU34" si="25">1-AT33</f>
        <v>1</v>
      </c>
      <c r="AV33" s="21">
        <f t="shared" si="0"/>
        <v>23588.462088803499</v>
      </c>
      <c r="AW33" s="21">
        <f t="shared" si="1"/>
        <v>2186.3132040568198</v>
      </c>
      <c r="AX33" s="21">
        <f t="shared" si="2"/>
        <v>2.4093880676106099</v>
      </c>
      <c r="AY33" s="21">
        <f>IF(AY$1=1,SUM(AV33:AX33)*$AU33,SUM(AV33:AX33))</f>
        <v>25777.18468092793</v>
      </c>
      <c r="AZ33" s="21">
        <v>35432.06452101795</v>
      </c>
      <c r="BA33" s="109">
        <f t="shared" si="6"/>
        <v>-138.93547898209363</v>
      </c>
      <c r="BB33" s="22">
        <f t="shared" si="7"/>
        <v>-3.9058637368106774E-3</v>
      </c>
      <c r="BD33" s="11">
        <v>948870</v>
      </c>
      <c r="BE33" s="24">
        <f t="shared" si="8"/>
        <v>26.675381631103956</v>
      </c>
      <c r="BF33" s="23">
        <f t="shared" si="9"/>
        <v>948870</v>
      </c>
      <c r="BG33" s="23">
        <f t="shared" si="10"/>
        <v>945163.84307605238</v>
      </c>
      <c r="BH33" s="30">
        <f>BG33-BD33</f>
        <v>-3706.156923947623</v>
      </c>
      <c r="BI33" s="22">
        <f t="shared" si="12"/>
        <v>-3.9058637368107568E-3</v>
      </c>
      <c r="BJ33" s="115">
        <f t="shared" si="13"/>
        <v>4.9752175055172709E-2</v>
      </c>
      <c r="BL33" s="30">
        <v>2337.342517</v>
      </c>
      <c r="BM33" s="115">
        <f>BL33/AN33</f>
        <v>6.570921584999008E-2</v>
      </c>
      <c r="BN33" s="23">
        <f>BM33*AN33</f>
        <v>2337.342517</v>
      </c>
      <c r="BO33" s="23">
        <f>BM33*AZ33</f>
        <v>2328.2131756223439</v>
      </c>
      <c r="BP33" s="30">
        <f t="shared" ref="BP33" si="26">BO33-BL33</f>
        <v>-9.1293413776561465</v>
      </c>
      <c r="BQ33" s="29">
        <f t="shared" ref="BQ33" si="27">BP33/BN33</f>
        <v>-3.9058637368106996E-3</v>
      </c>
      <c r="BR33" s="115">
        <f t="shared" si="19"/>
        <v>1.9586814901236753E-2</v>
      </c>
      <c r="BY33" s="19">
        <f>$BH33*'Cuadro 10'!AB39</f>
        <v>-611.09056675321585</v>
      </c>
      <c r="BZ33" s="19">
        <f>$BH33*'Cuadro 10'!AC39</f>
        <v>-516.1883882310716</v>
      </c>
      <c r="CA33" s="19">
        <f>$BH33*'Cuadro 10'!AD39</f>
        <v>-1367.0461817340477</v>
      </c>
      <c r="CB33" s="19">
        <f>$BH33*'Cuadro 10'!AE39</f>
        <v>-1211.8317872292878</v>
      </c>
      <c r="CD33" s="7">
        <v>-2656.4799987220294</v>
      </c>
      <c r="CE33" s="7">
        <v>-2243.9294656338066</v>
      </c>
      <c r="CF33" s="7">
        <v>-5942.7047915344156</v>
      </c>
      <c r="CG33" s="7">
        <v>-5267.970215436535</v>
      </c>
      <c r="CI33" s="19">
        <f t="shared" si="20"/>
        <v>2045.3894319688136</v>
      </c>
      <c r="CJ33" s="19">
        <f t="shared" si="21"/>
        <v>1727.7410774027348</v>
      </c>
      <c r="CK33" s="19">
        <f t="shared" si="22"/>
        <v>4575.6586098003681</v>
      </c>
      <c r="CL33" s="19">
        <f t="shared" si="23"/>
        <v>4056.1384282072472</v>
      </c>
    </row>
    <row r="34" spans="1:90" x14ac:dyDescent="0.3">
      <c r="A34" s="86" t="s">
        <v>70</v>
      </c>
      <c r="B34" s="14">
        <v>31</v>
      </c>
      <c r="C34" s="6"/>
      <c r="D34" s="6"/>
      <c r="E34" s="86" t="s">
        <v>52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  <c r="K34" s="23">
        <v>0</v>
      </c>
      <c r="L34" s="23">
        <v>0</v>
      </c>
      <c r="M34" s="23">
        <v>0</v>
      </c>
      <c r="N34" s="23">
        <v>0</v>
      </c>
      <c r="O34" s="23">
        <v>0</v>
      </c>
      <c r="P34" s="23">
        <v>0</v>
      </c>
      <c r="Q34" s="23">
        <v>0</v>
      </c>
      <c r="R34" s="23">
        <v>0</v>
      </c>
      <c r="S34" s="23">
        <v>0</v>
      </c>
      <c r="T34" s="23">
        <v>0</v>
      </c>
      <c r="U34" s="23">
        <v>0</v>
      </c>
      <c r="V34" s="23">
        <v>0</v>
      </c>
      <c r="W34" s="23">
        <v>0</v>
      </c>
      <c r="X34" s="23">
        <v>0</v>
      </c>
      <c r="Y34" s="23">
        <v>0</v>
      </c>
      <c r="Z34" s="23">
        <v>0</v>
      </c>
      <c r="AA34" s="23">
        <v>0</v>
      </c>
      <c r="AB34" s="23">
        <v>0</v>
      </c>
      <c r="AC34" s="23">
        <v>0</v>
      </c>
      <c r="AD34" s="23">
        <v>0</v>
      </c>
      <c r="AE34" s="23">
        <v>0</v>
      </c>
      <c r="AF34" s="23">
        <v>0</v>
      </c>
      <c r="AG34" s="23">
        <v>0</v>
      </c>
      <c r="AH34" s="23">
        <v>0</v>
      </c>
      <c r="AI34" s="23">
        <v>0</v>
      </c>
      <c r="AJ34" s="91">
        <v>0</v>
      </c>
      <c r="AK34" s="95">
        <v>6554</v>
      </c>
      <c r="AL34" s="95">
        <v>0</v>
      </c>
      <c r="AM34" s="100">
        <v>1</v>
      </c>
      <c r="AN34" s="105">
        <v>6555</v>
      </c>
      <c r="AO34" s="115">
        <f t="shared" si="4"/>
        <v>3.5290412367526345E-3</v>
      </c>
      <c r="AP34" s="89"/>
      <c r="AR34" s="86"/>
      <c r="AS34" s="86" t="s">
        <v>70</v>
      </c>
      <c r="AT34" s="15">
        <v>0</v>
      </c>
      <c r="AU34" s="15">
        <f t="shared" si="25"/>
        <v>1</v>
      </c>
      <c r="AV34" s="21">
        <f t="shared" si="0"/>
        <v>6554</v>
      </c>
      <c r="AW34" s="21">
        <f t="shared" si="1"/>
        <v>0</v>
      </c>
      <c r="AX34" s="21">
        <f t="shared" si="2"/>
        <v>1</v>
      </c>
      <c r="AY34" s="21">
        <f t="shared" si="24"/>
        <v>6555</v>
      </c>
      <c r="AZ34" s="21">
        <v>6555</v>
      </c>
      <c r="BA34" s="109">
        <f t="shared" si="6"/>
        <v>0</v>
      </c>
      <c r="BB34" s="22">
        <f t="shared" si="7"/>
        <v>0</v>
      </c>
      <c r="BD34" s="106">
        <v>561830</v>
      </c>
      <c r="BE34" s="24">
        <f t="shared" si="8"/>
        <v>85.710144927536234</v>
      </c>
      <c r="BF34" s="23">
        <f t="shared" si="9"/>
        <v>561830</v>
      </c>
      <c r="BG34" s="23">
        <f t="shared" si="10"/>
        <v>561830</v>
      </c>
      <c r="BH34" s="30">
        <f>BG34-BD34</f>
        <v>0</v>
      </c>
      <c r="BI34" s="22">
        <f t="shared" si="12"/>
        <v>0</v>
      </c>
      <c r="BJ34" s="115">
        <f t="shared" si="13"/>
        <v>2.9458476410095885E-2</v>
      </c>
      <c r="BL34" s="30">
        <v>0.32484199999999996</v>
      </c>
      <c r="BM34" s="115">
        <f t="shared" si="14"/>
        <v>4.9556369183829135E-5</v>
      </c>
      <c r="BN34" s="23">
        <f t="shared" si="15"/>
        <v>0.32484199999999996</v>
      </c>
      <c r="BO34" s="23">
        <f t="shared" si="16"/>
        <v>0.32484199999999996</v>
      </c>
      <c r="BP34" s="30">
        <f t="shared" ref="BP34" si="28">BO34-BL34</f>
        <v>0</v>
      </c>
      <c r="BQ34" s="29">
        <f t="shared" ref="BQ34" si="29">BP34/BN34</f>
        <v>0</v>
      </c>
      <c r="BR34" s="115">
        <f t="shared" si="19"/>
        <v>2.7221599230197672E-6</v>
      </c>
      <c r="BY34" s="19">
        <f>$BH34*'Cuadro 10'!AB40</f>
        <v>0</v>
      </c>
      <c r="BZ34" s="19">
        <f>$BH34*'Cuadro 10'!AC40</f>
        <v>0</v>
      </c>
      <c r="CA34" s="19">
        <f>$BH34*'Cuadro 10'!AD40</f>
        <v>0</v>
      </c>
      <c r="CB34" s="19">
        <f>$BH34*'Cuadro 10'!AE40</f>
        <v>0</v>
      </c>
      <c r="CD34" s="7">
        <v>0</v>
      </c>
      <c r="CE34" s="7">
        <v>0</v>
      </c>
      <c r="CF34" s="7">
        <v>0</v>
      </c>
      <c r="CG34" s="7">
        <v>0</v>
      </c>
      <c r="CI34" s="19">
        <f t="shared" si="20"/>
        <v>0</v>
      </c>
      <c r="CJ34" s="19">
        <f t="shared" si="21"/>
        <v>0</v>
      </c>
      <c r="CK34" s="19">
        <f t="shared" si="22"/>
        <v>0</v>
      </c>
      <c r="CL34" s="19">
        <f t="shared" si="23"/>
        <v>0</v>
      </c>
    </row>
    <row r="35" spans="1:90" x14ac:dyDescent="0.3">
      <c r="E35" s="9"/>
      <c r="G35" s="9"/>
      <c r="H35" s="9"/>
      <c r="I35" s="9"/>
      <c r="J35" s="9"/>
      <c r="K35" s="9"/>
      <c r="AI35" s="28"/>
      <c r="AJ35" s="28"/>
      <c r="AK35" s="28"/>
      <c r="AO35" s="121">
        <f>SUM(AO6,AO13,AO18,AO5)</f>
        <v>8.6893017020692298E-2</v>
      </c>
      <c r="AV35" s="28"/>
      <c r="AW35" s="28"/>
      <c r="AX35" s="28"/>
      <c r="AY35" s="28"/>
      <c r="BJ35" s="121">
        <f>SUM(BJ6,BJ13,BJ18,BJ5)</f>
        <v>1.333389918944539E-2</v>
      </c>
      <c r="BM35" s="121">
        <f>SUM(BM6,BM13,BM18,BM5)</f>
        <v>0.25330509584848315</v>
      </c>
      <c r="BR35" s="121">
        <f>SUM(BR6,BR13,BR18,BR5)</f>
        <v>8.4774796561348675E-2</v>
      </c>
    </row>
    <row r="36" spans="1:90" x14ac:dyDescent="0.3">
      <c r="E36" s="9"/>
      <c r="G36" s="9"/>
      <c r="H36" s="9"/>
      <c r="I36" s="9"/>
      <c r="J36" s="9"/>
      <c r="K36" s="9"/>
      <c r="AI36" s="28"/>
      <c r="AJ36" s="28"/>
      <c r="AK36" s="28"/>
      <c r="AV36" s="28"/>
      <c r="AW36" s="28"/>
      <c r="AX36" s="28"/>
      <c r="AY36" s="28"/>
    </row>
    <row r="37" spans="1:90" x14ac:dyDescent="0.3">
      <c r="G37" s="9"/>
      <c r="H37" s="9"/>
      <c r="I37" s="9"/>
      <c r="J37" s="9"/>
      <c r="K37" s="9"/>
      <c r="AK37" s="28"/>
      <c r="AM37" s="34"/>
      <c r="AN37" s="103">
        <f>SUM(AN4:AN34)</f>
        <v>1857445.0000000007</v>
      </c>
      <c r="AO37" s="103"/>
      <c r="AP37" s="34"/>
      <c r="AZ37" s="28">
        <f>SUM(_xlfn.ANCHORARRAY(AZ4))</f>
        <v>1752160.4330428431</v>
      </c>
      <c r="BA37" s="28">
        <f>-AN37+AZ37</f>
        <v>-105284.56695715757</v>
      </c>
      <c r="BB37" s="35">
        <f>BA37/AN37</f>
        <v>-5.6682468098467269E-2</v>
      </c>
      <c r="BF37" s="36">
        <f>SUM(BF4:BF34)</f>
        <v>19071930</v>
      </c>
      <c r="BG37" s="36">
        <f>SUM(BG4:BG34)</f>
        <v>19073367.471036773</v>
      </c>
      <c r="BH37" s="36">
        <f>SUM(BH4:BH34)</f>
        <v>1437.4710367731168</v>
      </c>
      <c r="BI37" s="29">
        <f>BH37/BF37</f>
        <v>7.5371031498810918E-5</v>
      </c>
      <c r="BK37" s="32"/>
      <c r="BL37" s="37">
        <f>SUM(BL4:BL34)</f>
        <v>119332.44525899999</v>
      </c>
      <c r="BO37" s="37">
        <f>SUM(BO4:BO34)</f>
        <v>110400.02054025157</v>
      </c>
      <c r="BP37" s="36">
        <f>SUM(BP4:BP34)</f>
        <v>-8932.4247187484307</v>
      </c>
      <c r="BQ37" s="29">
        <f>BP37/BO37</f>
        <v>-8.0909629138082376E-2</v>
      </c>
      <c r="BY37" s="7">
        <f>SUM(BY4:BY34)</f>
        <v>-64524.98383618251</v>
      </c>
      <c r="BZ37" s="7">
        <f t="shared" ref="BZ37:CB37" si="30">SUM(BZ4:BZ34)</f>
        <v>35636.087520057707</v>
      </c>
      <c r="CA37" s="7">
        <f t="shared" si="30"/>
        <v>-39840.286104199666</v>
      </c>
      <c r="CB37" s="7">
        <f t="shared" si="30"/>
        <v>70166.653457097666</v>
      </c>
      <c r="CD37" s="7">
        <v>-297031.52358986344</v>
      </c>
      <c r="CE37" s="7">
        <v>-126629.19686513062</v>
      </c>
      <c r="CF37" s="7">
        <v>-275632.88104342646</v>
      </c>
      <c r="CG37" s="7">
        <v>-86172.888468805017</v>
      </c>
      <c r="CI37" s="7">
        <f>SUM(CI4:CI34)</f>
        <v>232506.53975368096</v>
      </c>
      <c r="CJ37" s="7">
        <f t="shared" ref="CJ37:CL37" si="31">SUM(CJ4:CJ34)</f>
        <v>162265.28438518831</v>
      </c>
      <c r="CK37" s="7">
        <f t="shared" si="31"/>
        <v>235792.59493922678</v>
      </c>
      <c r="CL37" s="7">
        <f t="shared" si="31"/>
        <v>156339.54192590271</v>
      </c>
    </row>
    <row r="38" spans="1:90" x14ac:dyDescent="0.3">
      <c r="A38" s="123" t="s">
        <v>211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28"/>
      <c r="AJ38" s="28"/>
      <c r="AK38" s="28"/>
      <c r="AM38" s="18"/>
      <c r="AN38" s="18" t="s">
        <v>156</v>
      </c>
      <c r="AO38" s="18"/>
      <c r="AP38" s="18"/>
      <c r="AZ38" s="7" t="s">
        <v>157</v>
      </c>
      <c r="BA38" s="7" t="s">
        <v>158</v>
      </c>
      <c r="BB38" s="38" t="s">
        <v>159</v>
      </c>
      <c r="BF38" s="7" t="s">
        <v>162</v>
      </c>
      <c r="BG38" s="7" t="s">
        <v>161</v>
      </c>
      <c r="BH38" s="7" t="s">
        <v>160</v>
      </c>
      <c r="BI38" s="38" t="s">
        <v>159</v>
      </c>
      <c r="BJ38" s="38"/>
      <c r="BK38" s="38"/>
      <c r="BL38" s="7" t="s">
        <v>168</v>
      </c>
      <c r="BO38" s="7" t="s">
        <v>169</v>
      </c>
      <c r="BP38" s="7" t="s">
        <v>170</v>
      </c>
      <c r="BQ38" s="38" t="s">
        <v>159</v>
      </c>
    </row>
    <row r="39" spans="1:90" x14ac:dyDescent="0.3">
      <c r="C39" s="8" t="s">
        <v>16</v>
      </c>
      <c r="D39" s="8"/>
      <c r="E39" s="6" t="s">
        <v>14</v>
      </c>
      <c r="F39" s="101">
        <v>107470.00000000001</v>
      </c>
      <c r="G39" s="101">
        <v>17633.999999999953</v>
      </c>
      <c r="H39" s="101">
        <v>62149.000000000022</v>
      </c>
      <c r="I39" s="101">
        <v>5505.9999999999945</v>
      </c>
      <c r="J39" s="101">
        <v>4676.0000000000018</v>
      </c>
      <c r="K39" s="101">
        <v>14668.000000000029</v>
      </c>
      <c r="L39" s="101">
        <v>123015.00000000001</v>
      </c>
      <c r="M39" s="101">
        <v>27115.000000000007</v>
      </c>
      <c r="N39" s="101">
        <v>22005</v>
      </c>
      <c r="O39" s="101">
        <v>70953.999999999927</v>
      </c>
      <c r="P39" s="101">
        <v>82295.999999999942</v>
      </c>
      <c r="Q39" s="101">
        <v>52093.000000000029</v>
      </c>
      <c r="R39" s="101">
        <v>11500.999999999985</v>
      </c>
      <c r="S39" s="101">
        <v>51342.999999999942</v>
      </c>
      <c r="T39" s="101">
        <v>10661.999999999996</v>
      </c>
      <c r="U39" s="101">
        <v>19340.999999999967</v>
      </c>
      <c r="V39" s="101">
        <v>72634.999999999956</v>
      </c>
      <c r="W39" s="101">
        <v>57626.000000000036</v>
      </c>
      <c r="X39" s="101">
        <v>39950</v>
      </c>
      <c r="Y39" s="101">
        <v>162862</v>
      </c>
      <c r="Z39" s="101">
        <v>104263.00000000013</v>
      </c>
      <c r="AA39" s="101">
        <v>81604</v>
      </c>
      <c r="AB39" s="101">
        <v>55858.000000000044</v>
      </c>
      <c r="AC39" s="101">
        <v>84494.000000000087</v>
      </c>
      <c r="AD39" s="101">
        <v>102858.99999999999</v>
      </c>
      <c r="AE39" s="101">
        <v>100563.99999999999</v>
      </c>
      <c r="AF39" s="101">
        <v>113525.00000000044</v>
      </c>
      <c r="AG39" s="101">
        <v>70568.999999999971</v>
      </c>
      <c r="AH39" s="101">
        <v>86081.999999999985</v>
      </c>
      <c r="AI39" s="6">
        <v>35571.000000000044</v>
      </c>
      <c r="AJ39" s="6">
        <v>6555</v>
      </c>
      <c r="AK39" s="28"/>
      <c r="BG39" s="39"/>
    </row>
    <row r="40" spans="1:90" x14ac:dyDescent="0.3">
      <c r="F40" s="84">
        <f>1-AR4</f>
        <v>1</v>
      </c>
      <c r="G40" s="85">
        <f>1-AR5</f>
        <v>0.6</v>
      </c>
      <c r="H40" s="85">
        <f>1-AR6</f>
        <v>0.6</v>
      </c>
      <c r="I40" s="14">
        <v>1</v>
      </c>
      <c r="J40" s="14">
        <v>1</v>
      </c>
      <c r="K40" s="14">
        <v>1</v>
      </c>
      <c r="L40" s="84">
        <f>1-AR10</f>
        <v>1</v>
      </c>
      <c r="M40" s="86">
        <v>1</v>
      </c>
      <c r="N40" s="86">
        <v>1</v>
      </c>
      <c r="O40" s="85">
        <f>1-AR13</f>
        <v>0.6</v>
      </c>
      <c r="P40" s="86">
        <v>1</v>
      </c>
      <c r="Q40" s="86">
        <v>1</v>
      </c>
      <c r="R40" s="86">
        <v>1</v>
      </c>
      <c r="S40" s="124">
        <f>1-AR17</f>
        <v>1</v>
      </c>
      <c r="T40" s="85">
        <f>1-AR18</f>
        <v>0.6</v>
      </c>
      <c r="U40" s="86">
        <v>1</v>
      </c>
      <c r="V40" s="86">
        <v>1</v>
      </c>
      <c r="W40" s="86">
        <v>1</v>
      </c>
      <c r="X40" s="86">
        <v>1</v>
      </c>
      <c r="Y40" s="86">
        <v>1</v>
      </c>
      <c r="Z40" s="86">
        <v>1</v>
      </c>
      <c r="AA40" s="84">
        <f>1-AR25</f>
        <v>1.2350000000000001</v>
      </c>
      <c r="AB40" s="86">
        <v>1</v>
      </c>
      <c r="AC40" s="86">
        <v>1</v>
      </c>
      <c r="AD40" s="86">
        <v>1</v>
      </c>
      <c r="AE40" s="86">
        <v>1</v>
      </c>
      <c r="AF40" s="86">
        <v>1</v>
      </c>
      <c r="AG40" s="86">
        <v>1</v>
      </c>
      <c r="AH40" s="86">
        <v>1</v>
      </c>
      <c r="AI40" s="86">
        <v>1</v>
      </c>
      <c r="AJ40" s="86">
        <v>1</v>
      </c>
      <c r="AK40" s="28"/>
      <c r="BA40" s="7" t="s">
        <v>179</v>
      </c>
      <c r="BD40" s="33"/>
    </row>
    <row r="41" spans="1:90" x14ac:dyDescent="0.3">
      <c r="D41" s="6"/>
      <c r="E41" s="6"/>
      <c r="F41" s="84" t="s">
        <v>25</v>
      </c>
      <c r="G41" s="85" t="s">
        <v>26</v>
      </c>
      <c r="H41" s="85" t="s">
        <v>27</v>
      </c>
      <c r="I41" s="14" t="s">
        <v>28</v>
      </c>
      <c r="J41" s="14" t="s">
        <v>29</v>
      </c>
      <c r="K41" s="14" t="s">
        <v>30</v>
      </c>
      <c r="L41" s="84" t="s">
        <v>31</v>
      </c>
      <c r="M41" s="86" t="s">
        <v>32</v>
      </c>
      <c r="N41" s="86" t="s">
        <v>33</v>
      </c>
      <c r="O41" s="85" t="s">
        <v>193</v>
      </c>
      <c r="P41" s="86" t="s">
        <v>194</v>
      </c>
      <c r="Q41" s="86" t="s">
        <v>35</v>
      </c>
      <c r="R41" s="86" t="s">
        <v>36</v>
      </c>
      <c r="S41" s="86" t="s">
        <v>195</v>
      </c>
      <c r="T41" s="85" t="s">
        <v>196</v>
      </c>
      <c r="U41" s="86" t="s">
        <v>37</v>
      </c>
      <c r="V41" s="86" t="s">
        <v>38</v>
      </c>
      <c r="W41" s="86" t="s">
        <v>39</v>
      </c>
      <c r="X41" s="86" t="s">
        <v>40</v>
      </c>
      <c r="Y41" s="86" t="s">
        <v>41</v>
      </c>
      <c r="Z41" s="86" t="s">
        <v>42</v>
      </c>
      <c r="AA41" s="84" t="s">
        <v>43</v>
      </c>
      <c r="AB41" s="86" t="s">
        <v>44</v>
      </c>
      <c r="AC41" s="86" t="s">
        <v>45</v>
      </c>
      <c r="AD41" s="86" t="s">
        <v>46</v>
      </c>
      <c r="AE41" s="86" t="s">
        <v>47</v>
      </c>
      <c r="AF41" s="86" t="s">
        <v>48</v>
      </c>
      <c r="AG41" s="86" t="s">
        <v>49</v>
      </c>
      <c r="AH41" s="86" t="s">
        <v>50</v>
      </c>
      <c r="AI41" s="86" t="s">
        <v>51</v>
      </c>
      <c r="AJ41" s="86" t="s">
        <v>52</v>
      </c>
      <c r="AS41" s="122">
        <v>0.4</v>
      </c>
      <c r="AX41" s="40"/>
    </row>
    <row r="42" spans="1:90" x14ac:dyDescent="0.3">
      <c r="D42" s="84">
        <f>F40</f>
        <v>1</v>
      </c>
      <c r="E42" s="84" t="s">
        <v>25</v>
      </c>
      <c r="F42" s="88">
        <f>(F4/F$39*$D42*F$40)</f>
        <v>8.9755495166575036E-2</v>
      </c>
      <c r="G42" s="88">
        <f t="shared" ref="G42:AJ42" si="32">(G4/G$39*$D42*G$40)</f>
        <v>9.4053681779708687E-5</v>
      </c>
      <c r="H42" s="88">
        <f t="shared" si="32"/>
        <v>1.7093961249716632E-4</v>
      </c>
      <c r="I42" s="88">
        <f t="shared" si="32"/>
        <v>1.3855454479540073E-4</v>
      </c>
      <c r="J42" s="88">
        <f t="shared" si="32"/>
        <v>2.331058391524111E-4</v>
      </c>
      <c r="K42" s="88">
        <f t="shared" si="32"/>
        <v>1.1821555722500315E-4</v>
      </c>
      <c r="L42" s="88">
        <f t="shared" si="32"/>
        <v>0.36813496442904681</v>
      </c>
      <c r="M42" s="88">
        <f t="shared" si="32"/>
        <v>1.5671782444371968E-2</v>
      </c>
      <c r="N42" s="88">
        <f t="shared" si="32"/>
        <v>2.484843555649539E-2</v>
      </c>
      <c r="O42" s="88">
        <f t="shared" si="32"/>
        <v>3.2007775605448485E-3</v>
      </c>
      <c r="P42" s="88">
        <f t="shared" si="32"/>
        <v>3.3871452101494112E-3</v>
      </c>
      <c r="Q42" s="88">
        <f t="shared" si="32"/>
        <v>5.8079200166895708E-4</v>
      </c>
      <c r="R42" s="88">
        <f t="shared" si="32"/>
        <v>3.542298369596492E-3</v>
      </c>
      <c r="S42" s="88">
        <f t="shared" si="32"/>
        <v>1.5870186419712884E-4</v>
      </c>
      <c r="T42" s="88">
        <f t="shared" si="32"/>
        <v>9.2442135543476772E-5</v>
      </c>
      <c r="U42" s="88">
        <f t="shared" si="32"/>
        <v>4.4428316008400726E-4</v>
      </c>
      <c r="V42" s="88">
        <f t="shared" si="32"/>
        <v>3.4700145428479129E-3</v>
      </c>
      <c r="W42" s="88">
        <f t="shared" si="32"/>
        <v>5.8359724498493705E-3</v>
      </c>
      <c r="X42" s="88">
        <f t="shared" si="32"/>
        <v>6.9473376539643805E-3</v>
      </c>
      <c r="Y42" s="88">
        <f t="shared" si="32"/>
        <v>2.4432272607392575E-4</v>
      </c>
      <c r="Z42" s="88">
        <f t="shared" si="32"/>
        <v>4.391293858622881E-4</v>
      </c>
      <c r="AA42" s="88">
        <f t="shared" si="32"/>
        <v>9.4405137183782656E-2</v>
      </c>
      <c r="AB42" s="88">
        <f t="shared" si="32"/>
        <v>7.9550264385652486E-5</v>
      </c>
      <c r="AC42" s="88">
        <f t="shared" si="32"/>
        <v>8.843281261373319E-5</v>
      </c>
      <c r="AD42" s="88">
        <f t="shared" si="32"/>
        <v>1.0310264184345853E-4</v>
      </c>
      <c r="AE42" s="88">
        <f t="shared" si="32"/>
        <v>7.4262150804012088E-5</v>
      </c>
      <c r="AF42" s="88">
        <f t="shared" si="32"/>
        <v>3.5932923391353484E-4</v>
      </c>
      <c r="AG42" s="88">
        <f t="shared" si="32"/>
        <v>9.4630411936048723E-4</v>
      </c>
      <c r="AH42" s="88">
        <f t="shared" si="32"/>
        <v>1.2541213618815319E-3</v>
      </c>
      <c r="AI42" s="88">
        <f t="shared" si="32"/>
        <v>9.337966765598706E-4</v>
      </c>
      <c r="AJ42" s="88">
        <f t="shared" si="32"/>
        <v>0</v>
      </c>
    </row>
    <row r="43" spans="1:90" ht="14.3" customHeight="1" x14ac:dyDescent="0.3">
      <c r="D43" s="85">
        <f>G40</f>
        <v>0.6</v>
      </c>
      <c r="E43" s="85" t="s">
        <v>26</v>
      </c>
      <c r="F43" s="88">
        <f t="shared" ref="F43:AJ43" si="33">(F5/F$39*$D43*F$40)</f>
        <v>1.9667773702992551E-4</v>
      </c>
      <c r="G43" s="88">
        <f t="shared" si="33"/>
        <v>4.955001802861265E-3</v>
      </c>
      <c r="H43" s="88">
        <f t="shared" si="33"/>
        <v>9.005560144766174E-3</v>
      </c>
      <c r="I43" s="88">
        <f t="shared" si="33"/>
        <v>7.2994273723790285E-3</v>
      </c>
      <c r="J43" s="88">
        <f t="shared" si="33"/>
        <v>1.2280644748846771E-2</v>
      </c>
      <c r="K43" s="88">
        <f t="shared" si="33"/>
        <v>6.2279146131471496E-3</v>
      </c>
      <c r="L43" s="88">
        <f t="shared" si="33"/>
        <v>1.3081395225389271E-4</v>
      </c>
      <c r="M43" s="88">
        <f t="shared" si="33"/>
        <v>8.4241108148431801E-5</v>
      </c>
      <c r="N43" s="88">
        <f t="shared" si="33"/>
        <v>1.8452197446996917E-4</v>
      </c>
      <c r="O43" s="88">
        <f t="shared" si="33"/>
        <v>9.1498310478087957E-3</v>
      </c>
      <c r="P43" s="88">
        <f t="shared" si="33"/>
        <v>9.6825867530720838E-3</v>
      </c>
      <c r="Q43" s="88">
        <f t="shared" si="33"/>
        <v>9.7497379770234236E-3</v>
      </c>
      <c r="R43" s="88">
        <f t="shared" si="33"/>
        <v>3.2562346676848512E-4</v>
      </c>
      <c r="S43" s="88">
        <f t="shared" si="33"/>
        <v>5.5946698248647208E-3</v>
      </c>
      <c r="T43" s="88">
        <f t="shared" si="33"/>
        <v>3.2588352310010268E-3</v>
      </c>
      <c r="U43" s="88">
        <f t="shared" si="33"/>
        <v>7.6621501330749602E-5</v>
      </c>
      <c r="V43" s="88">
        <f t="shared" si="33"/>
        <v>1.0724563340556365E-3</v>
      </c>
      <c r="W43" s="88">
        <f t="shared" si="33"/>
        <v>5.8520331740766172E-3</v>
      </c>
      <c r="X43" s="88">
        <f t="shared" si="33"/>
        <v>6.3613222074373078E-4</v>
      </c>
      <c r="Y43" s="88">
        <f t="shared" si="33"/>
        <v>6.115588018406461E-5</v>
      </c>
      <c r="Z43" s="88">
        <f t="shared" si="33"/>
        <v>7.950369077412017E-5</v>
      </c>
      <c r="AA43" s="88">
        <f t="shared" si="33"/>
        <v>1.0000400741259285E-4</v>
      </c>
      <c r="AB43" s="88">
        <f t="shared" si="33"/>
        <v>9.8930215542577781E-5</v>
      </c>
      <c r="AC43" s="88">
        <f t="shared" si="33"/>
        <v>4.4175774971685982E-5</v>
      </c>
      <c r="AD43" s="88">
        <f t="shared" si="33"/>
        <v>1.8382728612713537E-5</v>
      </c>
      <c r="AE43" s="88">
        <f t="shared" si="33"/>
        <v>7.0660077237951892E-5</v>
      </c>
      <c r="AF43" s="88">
        <f t="shared" si="33"/>
        <v>1.00850116752928E-4</v>
      </c>
      <c r="AG43" s="88">
        <f t="shared" si="33"/>
        <v>6.0993847572169286E-5</v>
      </c>
      <c r="AH43" s="88">
        <f t="shared" si="33"/>
        <v>3.5701937956307122E-5</v>
      </c>
      <c r="AI43" s="88">
        <f t="shared" si="33"/>
        <v>4.9662762502809292E-5</v>
      </c>
      <c r="AJ43" s="88">
        <f t="shared" si="33"/>
        <v>0</v>
      </c>
      <c r="AP43" s="7">
        <v>0.42699999999999999</v>
      </c>
      <c r="BF43" s="7" t="s">
        <v>179</v>
      </c>
      <c r="BI43" s="7" t="s">
        <v>247</v>
      </c>
    </row>
    <row r="44" spans="1:90" x14ac:dyDescent="0.3">
      <c r="D44" s="85">
        <f>H40</f>
        <v>0.6</v>
      </c>
      <c r="E44" s="85" t="s">
        <v>27</v>
      </c>
      <c r="F44" s="88">
        <f t="shared" ref="F44:AJ44" si="34">(F6/F$39*$D44*F$40)</f>
        <v>6.9316800945179078E-4</v>
      </c>
      <c r="G44" s="88">
        <f t="shared" si="34"/>
        <v>1.7463332598731181E-2</v>
      </c>
      <c r="H44" s="88">
        <f t="shared" si="34"/>
        <v>3.173905849138451E-2</v>
      </c>
      <c r="I44" s="88">
        <f t="shared" si="34"/>
        <v>2.5725990232844824E-2</v>
      </c>
      <c r="J44" s="88">
        <f t="shared" si="34"/>
        <v>4.3281716598394027E-2</v>
      </c>
      <c r="K44" s="88">
        <f t="shared" si="34"/>
        <v>2.1949567046188237E-2</v>
      </c>
      <c r="L44" s="88">
        <f t="shared" si="34"/>
        <v>4.6103869335529097E-4</v>
      </c>
      <c r="M44" s="88">
        <f t="shared" si="34"/>
        <v>2.9689807362577424E-4</v>
      </c>
      <c r="N44" s="88">
        <f t="shared" si="34"/>
        <v>6.5032642573064237E-4</v>
      </c>
      <c r="O44" s="88">
        <f t="shared" si="34"/>
        <v>3.2247524656361042E-2</v>
      </c>
      <c r="P44" s="88">
        <f t="shared" si="34"/>
        <v>3.4125160718877098E-2</v>
      </c>
      <c r="Q44" s="88">
        <f t="shared" si="34"/>
        <v>3.4361827465919849E-2</v>
      </c>
      <c r="R44" s="88">
        <f t="shared" si="34"/>
        <v>1.1476223679366363E-3</v>
      </c>
      <c r="S44" s="88">
        <f t="shared" si="34"/>
        <v>1.9717768795821627E-2</v>
      </c>
      <c r="T44" s="88">
        <f t="shared" si="34"/>
        <v>1.1485389064958794E-2</v>
      </c>
      <c r="U44" s="88">
        <f t="shared" si="34"/>
        <v>2.7004364785101343E-4</v>
      </c>
      <c r="V44" s="88">
        <f t="shared" si="34"/>
        <v>3.7797487073394547E-3</v>
      </c>
      <c r="W44" s="88">
        <f t="shared" si="34"/>
        <v>2.0624816249046659E-2</v>
      </c>
      <c r="X44" s="88">
        <f t="shared" si="34"/>
        <v>2.2419746731882867E-3</v>
      </c>
      <c r="Y44" s="88">
        <f t="shared" si="34"/>
        <v>2.1553684913005799E-4</v>
      </c>
      <c r="Z44" s="88">
        <f t="shared" si="34"/>
        <v>2.8020159226045199E-4</v>
      </c>
      <c r="AA44" s="88">
        <f t="shared" si="34"/>
        <v>3.5245259479898215E-4</v>
      </c>
      <c r="AB44" s="88">
        <f t="shared" si="34"/>
        <v>3.4866813914912587E-4</v>
      </c>
      <c r="AC44" s="88">
        <f t="shared" si="34"/>
        <v>1.5569242592238403E-4</v>
      </c>
      <c r="AD44" s="88">
        <f t="shared" si="34"/>
        <v>6.4787807675600379E-5</v>
      </c>
      <c r="AE44" s="88">
        <f t="shared" si="34"/>
        <v>2.4903329592046523E-4</v>
      </c>
      <c r="AF44" s="88">
        <f t="shared" si="34"/>
        <v>3.5543460962219247E-4</v>
      </c>
      <c r="AG44" s="88">
        <f t="shared" si="34"/>
        <v>2.149657838699535E-4</v>
      </c>
      <c r="AH44" s="88">
        <f t="shared" si="34"/>
        <v>1.2582736429888502E-4</v>
      </c>
      <c r="AI44" s="88">
        <f t="shared" si="34"/>
        <v>1.7503068088845999E-4</v>
      </c>
      <c r="AJ44" s="88">
        <f t="shared" si="34"/>
        <v>0</v>
      </c>
      <c r="AP44" s="7">
        <v>0.437</v>
      </c>
      <c r="BF44" s="7" t="s">
        <v>241</v>
      </c>
      <c r="BG44" s="189">
        <v>-572664.4046332899</v>
      </c>
      <c r="BI44" s="37">
        <f>CI37+CK37</f>
        <v>468299.13469290774</v>
      </c>
      <c r="BJ44" s="7">
        <f t="shared" ref="BJ44:BJ49" si="35">BI44/$BH$59</f>
        <v>0.59511599623340572</v>
      </c>
      <c r="BK44" s="189">
        <f>BJ44*$BH$59</f>
        <v>468299.13469290774</v>
      </c>
    </row>
    <row r="45" spans="1:90" x14ac:dyDescent="0.3">
      <c r="D45" s="14">
        <v>1</v>
      </c>
      <c r="E45" s="14" t="s">
        <v>28</v>
      </c>
      <c r="F45" s="88">
        <f t="shared" ref="F45:AJ45" si="36">(F7/F$39*$D45*F$40)</f>
        <v>1.023503478211383E-4</v>
      </c>
      <c r="G45" s="88">
        <f t="shared" si="36"/>
        <v>2.5785641305200338E-3</v>
      </c>
      <c r="H45" s="88">
        <f t="shared" si="36"/>
        <v>4.6864593169523485E-3</v>
      </c>
      <c r="I45" s="88">
        <f t="shared" si="36"/>
        <v>3.798594298166326E-3</v>
      </c>
      <c r="J45" s="88">
        <f t="shared" si="36"/>
        <v>6.3908009136847783E-3</v>
      </c>
      <c r="K45" s="88">
        <f t="shared" si="36"/>
        <v>3.2409831254005764E-3</v>
      </c>
      <c r="L45" s="88">
        <f t="shared" si="36"/>
        <v>6.8075084222707504E-5</v>
      </c>
      <c r="M45" s="88">
        <f t="shared" si="36"/>
        <v>4.3838752926663097E-5</v>
      </c>
      <c r="N45" s="88">
        <f t="shared" si="36"/>
        <v>9.602453512453705E-5</v>
      </c>
      <c r="O45" s="88">
        <f t="shared" si="36"/>
        <v>4.761537347286994E-3</v>
      </c>
      <c r="P45" s="88">
        <f t="shared" si="36"/>
        <v>5.0387813941264016E-3</v>
      </c>
      <c r="Q45" s="88">
        <f t="shared" si="36"/>
        <v>5.0737266361849326E-3</v>
      </c>
      <c r="R45" s="88">
        <f t="shared" si="36"/>
        <v>1.6945321613807436E-4</v>
      </c>
      <c r="S45" s="88">
        <f t="shared" si="36"/>
        <v>2.9114449411841896E-3</v>
      </c>
      <c r="T45" s="88">
        <f t="shared" si="36"/>
        <v>1.6958854846595289E-3</v>
      </c>
      <c r="U45" s="88">
        <f t="shared" si="36"/>
        <v>3.9873538460465387E-5</v>
      </c>
      <c r="V45" s="88">
        <f t="shared" si="36"/>
        <v>5.5810220552250807E-4</v>
      </c>
      <c r="W45" s="88">
        <f t="shared" si="36"/>
        <v>3.045375851240587E-3</v>
      </c>
      <c r="X45" s="88">
        <f t="shared" si="36"/>
        <v>3.3104079310942758E-4</v>
      </c>
      <c r="Y45" s="88">
        <f t="shared" si="36"/>
        <v>3.1825287918553204E-5</v>
      </c>
      <c r="Z45" s="88">
        <f t="shared" si="36"/>
        <v>4.1373418906875583E-5</v>
      </c>
      <c r="AA45" s="88">
        <f t="shared" si="36"/>
        <v>5.204170587253196E-5</v>
      </c>
      <c r="AB45" s="88">
        <f t="shared" si="36"/>
        <v>5.1482908659165461E-5</v>
      </c>
      <c r="AC45" s="88">
        <f t="shared" si="36"/>
        <v>2.2988905617377737E-5</v>
      </c>
      <c r="AD45" s="88">
        <f t="shared" si="36"/>
        <v>9.5663021947753302E-6</v>
      </c>
      <c r="AE45" s="88">
        <f t="shared" si="36"/>
        <v>3.6771235990337194E-5</v>
      </c>
      <c r="AF45" s="88">
        <f t="shared" si="36"/>
        <v>5.2482017961667089E-5</v>
      </c>
      <c r="AG45" s="88">
        <f t="shared" si="36"/>
        <v>3.1740966762349683E-5</v>
      </c>
      <c r="AH45" s="88">
        <f t="shared" si="36"/>
        <v>1.8579152998698285E-5</v>
      </c>
      <c r="AI45" s="88">
        <f t="shared" si="36"/>
        <v>2.5844313101628329E-5</v>
      </c>
      <c r="AJ45" s="88">
        <f t="shared" si="36"/>
        <v>0</v>
      </c>
      <c r="AP45" s="7">
        <v>0.44600000000000001</v>
      </c>
      <c r="BF45" s="7" t="s">
        <v>242</v>
      </c>
      <c r="BG45" s="189">
        <v>-297031.52358986344</v>
      </c>
      <c r="BI45" s="37">
        <f>CI37</f>
        <v>232506.53975368096</v>
      </c>
      <c r="BJ45" s="7">
        <f t="shared" si="35"/>
        <v>0.29547003354390211</v>
      </c>
      <c r="BK45" s="189">
        <f t="shared" ref="BK45:BK49" si="37">BJ45*$BH$59</f>
        <v>232506.53975368096</v>
      </c>
    </row>
    <row r="46" spans="1:90" x14ac:dyDescent="0.3">
      <c r="D46" s="14">
        <v>1</v>
      </c>
      <c r="E46" s="14" t="s">
        <v>29</v>
      </c>
      <c r="F46" s="88">
        <f t="shared" ref="F46:AJ46" si="38">(F8/F$39*$D46*F$40)</f>
        <v>8.6921581258925408E-5</v>
      </c>
      <c r="G46" s="88">
        <f t="shared" si="38"/>
        <v>2.1898594032531229E-3</v>
      </c>
      <c r="H46" s="88">
        <f t="shared" si="38"/>
        <v>3.980000683993682E-3</v>
      </c>
      <c r="I46" s="88">
        <f t="shared" si="38"/>
        <v>3.2259765597940004E-3</v>
      </c>
      <c r="J46" s="88">
        <f t="shared" si="38"/>
        <v>5.4274219165256201E-3</v>
      </c>
      <c r="K46" s="88">
        <f t="shared" si="38"/>
        <v>2.7524222837582851E-3</v>
      </c>
      <c r="L46" s="88">
        <f t="shared" si="38"/>
        <v>5.7813130008242043E-5</v>
      </c>
      <c r="M46" s="88">
        <f t="shared" si="38"/>
        <v>3.7230295801866489E-5</v>
      </c>
      <c r="N46" s="88">
        <f t="shared" si="38"/>
        <v>8.1549350933951306E-5</v>
      </c>
      <c r="O46" s="88">
        <f t="shared" si="38"/>
        <v>4.0437611035078133E-3</v>
      </c>
      <c r="P46" s="88">
        <f t="shared" si="38"/>
        <v>4.2792120957019768E-3</v>
      </c>
      <c r="Q46" s="88">
        <f t="shared" si="38"/>
        <v>4.3088895297495053E-3</v>
      </c>
      <c r="R46" s="88">
        <f t="shared" si="38"/>
        <v>1.4390905170026097E-4</v>
      </c>
      <c r="S46" s="88">
        <f t="shared" si="38"/>
        <v>2.4725602152156361E-3</v>
      </c>
      <c r="T46" s="88">
        <f t="shared" si="38"/>
        <v>1.4402398340479421E-3</v>
      </c>
      <c r="U46" s="88">
        <f t="shared" si="38"/>
        <v>3.386281617165572E-5</v>
      </c>
      <c r="V46" s="88">
        <f t="shared" si="38"/>
        <v>4.7397128823524351E-4</v>
      </c>
      <c r="W46" s="88">
        <f t="shared" si="38"/>
        <v>2.5863017581549226E-3</v>
      </c>
      <c r="X46" s="88">
        <f t="shared" si="38"/>
        <v>2.8113816719572933E-4</v>
      </c>
      <c r="Y46" s="88">
        <f t="shared" si="38"/>
        <v>2.7027796278088443E-5</v>
      </c>
      <c r="Z46" s="88">
        <f t="shared" si="38"/>
        <v>3.5136597676816286E-5</v>
      </c>
      <c r="AA46" s="88">
        <f t="shared" si="38"/>
        <v>4.4196697540857203E-5</v>
      </c>
      <c r="AB46" s="88">
        <f t="shared" si="38"/>
        <v>4.3722136013486748E-5</v>
      </c>
      <c r="AC46" s="88">
        <f t="shared" si="38"/>
        <v>1.9523451265321188E-5</v>
      </c>
      <c r="AD46" s="88">
        <f t="shared" si="38"/>
        <v>8.1242333931655479E-6</v>
      </c>
      <c r="AE46" s="88">
        <f t="shared" si="38"/>
        <v>3.1228169177409549E-5</v>
      </c>
      <c r="AF46" s="88">
        <f t="shared" si="38"/>
        <v>4.4570634941655583E-5</v>
      </c>
      <c r="AG46" s="88">
        <f t="shared" si="38"/>
        <v>2.6956186084407436E-5</v>
      </c>
      <c r="AH46" s="88">
        <f t="shared" si="38"/>
        <v>1.5778445227372558E-5</v>
      </c>
      <c r="AI46" s="88">
        <f t="shared" si="38"/>
        <v>2.1948421369998956E-5</v>
      </c>
      <c r="AJ46" s="88">
        <f t="shared" si="38"/>
        <v>0</v>
      </c>
      <c r="BD46" s="7">
        <v>0.625</v>
      </c>
      <c r="BF46" s="7" t="s">
        <v>243</v>
      </c>
      <c r="BG46" s="189">
        <v>-275632.88104342646</v>
      </c>
      <c r="BI46" s="37">
        <f>CK37</f>
        <v>235792.59493922678</v>
      </c>
      <c r="BJ46" s="7">
        <f t="shared" si="35"/>
        <v>0.29964596268950355</v>
      </c>
      <c r="BK46" s="189">
        <f t="shared" si="37"/>
        <v>235792.59493922678</v>
      </c>
    </row>
    <row r="47" spans="1:90" x14ac:dyDescent="0.3">
      <c r="D47" s="14">
        <v>1</v>
      </c>
      <c r="E47" s="14" t="s">
        <v>30</v>
      </c>
      <c r="F47" s="88">
        <f t="shared" ref="F47:AJ47" si="39">(F9/F$39*$D47*F$40)</f>
        <v>2.726616240175193E-4</v>
      </c>
      <c r="G47" s="88">
        <f t="shared" si="39"/>
        <v>6.8693023368085662E-3</v>
      </c>
      <c r="H47" s="88">
        <f t="shared" si="39"/>
        <v>1.2484741238840767E-2</v>
      </c>
      <c r="I47" s="88">
        <f t="shared" si="39"/>
        <v>1.0119466248729357E-2</v>
      </c>
      <c r="J47" s="88">
        <f t="shared" si="39"/>
        <v>1.7025112205217692E-2</v>
      </c>
      <c r="K47" s="88">
        <f t="shared" si="39"/>
        <v>8.633988464107482E-3</v>
      </c>
      <c r="L47" s="88">
        <f t="shared" si="39"/>
        <v>1.8135222219009745E-4</v>
      </c>
      <c r="M47" s="88">
        <f t="shared" si="39"/>
        <v>1.1678656518857541E-4</v>
      </c>
      <c r="N47" s="88">
        <f t="shared" si="39"/>
        <v>2.5580964061146276E-4</v>
      </c>
      <c r="O47" s="88">
        <f t="shared" si="39"/>
        <v>1.2684749329823074E-2</v>
      </c>
      <c r="P47" s="88">
        <f t="shared" si="39"/>
        <v>1.3423328276252504E-2</v>
      </c>
      <c r="Q47" s="88">
        <f t="shared" si="39"/>
        <v>1.3516422502644537E-2</v>
      </c>
      <c r="R47" s="88">
        <f t="shared" si="39"/>
        <v>4.5142386020945922E-4</v>
      </c>
      <c r="S47" s="88">
        <f t="shared" si="39"/>
        <v>7.756097783743158E-3</v>
      </c>
      <c r="T47" s="88">
        <f t="shared" si="39"/>
        <v>4.5178438592419273E-3</v>
      </c>
      <c r="U47" s="88">
        <f t="shared" si="39"/>
        <v>1.0622322232802543E-4</v>
      </c>
      <c r="V47" s="88">
        <f t="shared" si="39"/>
        <v>1.486785897312781E-3</v>
      </c>
      <c r="W47" s="88">
        <f t="shared" si="39"/>
        <v>8.1128901173260198E-3</v>
      </c>
      <c r="X47" s="88">
        <f t="shared" si="39"/>
        <v>8.8189363482184854E-4</v>
      </c>
      <c r="Y47" s="88">
        <f t="shared" si="39"/>
        <v>8.4782659496792547E-5</v>
      </c>
      <c r="Z47" s="88">
        <f t="shared" si="39"/>
        <v>1.1021890819579603E-4</v>
      </c>
      <c r="AA47" s="88">
        <f t="shared" si="39"/>
        <v>1.3863925567350182E-4</v>
      </c>
      <c r="AB47" s="88">
        <f t="shared" si="39"/>
        <v>1.3715061827327302E-4</v>
      </c>
      <c r="AC47" s="88">
        <f t="shared" si="39"/>
        <v>6.1242511368633806E-5</v>
      </c>
      <c r="AD47" s="88">
        <f t="shared" si="39"/>
        <v>2.5484656845798217E-5</v>
      </c>
      <c r="AE47" s="88">
        <f t="shared" si="39"/>
        <v>9.79586795325586E-5</v>
      </c>
      <c r="AF47" s="88">
        <f t="shared" si="39"/>
        <v>1.3981224835846989E-4</v>
      </c>
      <c r="AG47" s="88">
        <f t="shared" si="39"/>
        <v>8.4558027691635781E-5</v>
      </c>
      <c r="AH47" s="88">
        <f t="shared" si="39"/>
        <v>4.9494917578079779E-5</v>
      </c>
      <c r="AI47" s="88">
        <f t="shared" si="39"/>
        <v>6.8849325204265431E-5</v>
      </c>
      <c r="AJ47" s="88">
        <f t="shared" si="39"/>
        <v>0</v>
      </c>
      <c r="BF47" s="7" t="s">
        <v>221</v>
      </c>
      <c r="BG47" s="189">
        <v>-212802.08533393563</v>
      </c>
      <c r="BI47" s="37">
        <f>CJ37+CL37</f>
        <v>318604.82631109102</v>
      </c>
      <c r="BJ47" s="7">
        <f t="shared" si="35"/>
        <v>0.40488400376659434</v>
      </c>
      <c r="BK47" s="189">
        <f t="shared" si="37"/>
        <v>318604.82631109102</v>
      </c>
    </row>
    <row r="48" spans="1:90" x14ac:dyDescent="0.3">
      <c r="D48" s="84">
        <f>L40</f>
        <v>1</v>
      </c>
      <c r="E48" s="84" t="s">
        <v>31</v>
      </c>
      <c r="F48" s="88">
        <f t="shared" ref="F48:AJ48" si="40">(F10/F$39*$D48*F$40)</f>
        <v>9.2672973697207034E-2</v>
      </c>
      <c r="G48" s="88">
        <f t="shared" si="40"/>
        <v>5.6689941729908368E-4</v>
      </c>
      <c r="H48" s="88">
        <f t="shared" si="40"/>
        <v>1.0303218851649607E-3</v>
      </c>
      <c r="I48" s="88">
        <f t="shared" si="40"/>
        <v>8.3512404004154812E-4</v>
      </c>
      <c r="J48" s="88">
        <f t="shared" si="40"/>
        <v>1.4050227687421115E-3</v>
      </c>
      <c r="K48" s="88">
        <f t="shared" si="40"/>
        <v>7.1253277105627361E-4</v>
      </c>
      <c r="L48" s="88">
        <f t="shared" si="40"/>
        <v>0.13707427876928097</v>
      </c>
      <c r="M48" s="88">
        <f t="shared" si="40"/>
        <v>1.7181474447742833E-3</v>
      </c>
      <c r="N48" s="88">
        <f t="shared" si="40"/>
        <v>9.3086286056932518E-3</v>
      </c>
      <c r="O48" s="88">
        <f t="shared" si="40"/>
        <v>7.9410531529859763E-3</v>
      </c>
      <c r="P48" s="88">
        <f t="shared" si="40"/>
        <v>8.4034268679700867E-3</v>
      </c>
      <c r="Q48" s="88">
        <f t="shared" si="40"/>
        <v>1.5996011876720413E-3</v>
      </c>
      <c r="R48" s="88">
        <f t="shared" si="40"/>
        <v>2.7473609849238186E-3</v>
      </c>
      <c r="S48" s="88">
        <f t="shared" si="40"/>
        <v>2.4048752759260549E-3</v>
      </c>
      <c r="T48" s="88">
        <f t="shared" si="40"/>
        <v>1.4008140820965509E-3</v>
      </c>
      <c r="U48" s="88">
        <f t="shared" si="40"/>
        <v>2.1690823889397846E-3</v>
      </c>
      <c r="V48" s="88">
        <f t="shared" si="40"/>
        <v>1.7045730735558351E-3</v>
      </c>
      <c r="W48" s="88">
        <f t="shared" si="40"/>
        <v>2.0538813616501222E-3</v>
      </c>
      <c r="X48" s="88">
        <f t="shared" si="40"/>
        <v>1.7606319362524806E-3</v>
      </c>
      <c r="Y48" s="88">
        <f t="shared" si="40"/>
        <v>2.0889689368792166E-3</v>
      </c>
      <c r="Z48" s="88">
        <f t="shared" si="40"/>
        <v>1.976693762598858E-3</v>
      </c>
      <c r="AA48" s="88">
        <f t="shared" si="40"/>
        <v>0.21066827735346946</v>
      </c>
      <c r="AB48" s="88">
        <f t="shared" si="40"/>
        <v>2.4755363286461003E-3</v>
      </c>
      <c r="AC48" s="88">
        <f t="shared" si="40"/>
        <v>1.1041915135083628E-3</v>
      </c>
      <c r="AD48" s="88">
        <f t="shared" si="40"/>
        <v>4.4871657503949979E-4</v>
      </c>
      <c r="AE48" s="88">
        <f t="shared" si="40"/>
        <v>1.7501175726009409E-3</v>
      </c>
      <c r="AF48" s="88">
        <f t="shared" si="40"/>
        <v>3.3126277817734644E-3</v>
      </c>
      <c r="AG48" s="88">
        <f t="shared" si="40"/>
        <v>3.9339536428237062E-3</v>
      </c>
      <c r="AH48" s="88">
        <f t="shared" si="40"/>
        <v>1.1555474129349053E-3</v>
      </c>
      <c r="AI48" s="88">
        <f t="shared" si="40"/>
        <v>1.3151636340936307E-3</v>
      </c>
      <c r="AJ48" s="88">
        <f t="shared" si="40"/>
        <v>0</v>
      </c>
      <c r="BF48" s="7" t="s">
        <v>242</v>
      </c>
      <c r="BG48" s="189">
        <v>-126629.19686513062</v>
      </c>
      <c r="BI48" s="37">
        <f>CJ37</f>
        <v>162265.28438518831</v>
      </c>
      <c r="BJ48" s="7">
        <f t="shared" si="35"/>
        <v>0.20620722785301082</v>
      </c>
      <c r="BK48" s="189">
        <f t="shared" si="37"/>
        <v>162265.28438518831</v>
      </c>
    </row>
    <row r="49" spans="4:72" x14ac:dyDescent="0.3">
      <c r="D49" s="86">
        <v>1</v>
      </c>
      <c r="E49" s="86" t="s">
        <v>32</v>
      </c>
      <c r="F49" s="88">
        <f t="shared" ref="F49:AJ49" si="41">(F11/F$39*$D49*F$40)</f>
        <v>2.4132466469543867E-3</v>
      </c>
      <c r="G49" s="88">
        <f t="shared" si="41"/>
        <v>5.2070625407882201E-4</v>
      </c>
      <c r="H49" s="88">
        <f t="shared" si="41"/>
        <v>9.4636726189583254E-4</v>
      </c>
      <c r="I49" s="88">
        <f t="shared" si="41"/>
        <v>7.6707489426080502E-4</v>
      </c>
      <c r="J49" s="88">
        <f t="shared" si="41"/>
        <v>1.2905360642153942E-3</v>
      </c>
      <c r="K49" s="88">
        <f t="shared" si="41"/>
        <v>6.5447283733822026E-4</v>
      </c>
      <c r="L49" s="88">
        <f t="shared" si="41"/>
        <v>8.0717454031348766E-4</v>
      </c>
      <c r="M49" s="88">
        <f t="shared" si="41"/>
        <v>0.22988440422179524</v>
      </c>
      <c r="N49" s="88">
        <f t="shared" si="41"/>
        <v>1.8977990859775414E-2</v>
      </c>
      <c r="O49" s="88">
        <f t="shared" si="41"/>
        <v>1.3784547861452532E-3</v>
      </c>
      <c r="P49" s="88">
        <f t="shared" si="41"/>
        <v>1.4587163393836855E-3</v>
      </c>
      <c r="Q49" s="88">
        <f t="shared" si="41"/>
        <v>3.023867754456643E-3</v>
      </c>
      <c r="R49" s="88">
        <f t="shared" si="41"/>
        <v>2.6339385011317221E-2</v>
      </c>
      <c r="S49" s="88">
        <f t="shared" si="41"/>
        <v>7.2132331824400358E-4</v>
      </c>
      <c r="T49" s="88">
        <f t="shared" si="41"/>
        <v>4.2016310453011653E-4</v>
      </c>
      <c r="U49" s="88">
        <f t="shared" si="41"/>
        <v>5.3277614857357002E-3</v>
      </c>
      <c r="V49" s="88">
        <f t="shared" si="41"/>
        <v>4.7628039345011522E-3</v>
      </c>
      <c r="W49" s="88">
        <f t="shared" si="41"/>
        <v>3.4891748404178471E-3</v>
      </c>
      <c r="X49" s="88">
        <f t="shared" si="41"/>
        <v>7.3322731898225529E-3</v>
      </c>
      <c r="Y49" s="88">
        <f t="shared" si="41"/>
        <v>3.5520322134589837E-3</v>
      </c>
      <c r="Z49" s="88">
        <f t="shared" si="41"/>
        <v>1.5479752787295761E-3</v>
      </c>
      <c r="AA49" s="88">
        <f t="shared" si="41"/>
        <v>3.7641101729932146E-3</v>
      </c>
      <c r="AB49" s="88">
        <f t="shared" si="41"/>
        <v>1.8786941875073742E-3</v>
      </c>
      <c r="AC49" s="88">
        <f t="shared" si="41"/>
        <v>9.5675041404435959E-4</v>
      </c>
      <c r="AD49" s="88">
        <f t="shared" si="41"/>
        <v>1.3302341003065655E-4</v>
      </c>
      <c r="AE49" s="88">
        <f t="shared" si="41"/>
        <v>1.9917288736718509E-3</v>
      </c>
      <c r="AF49" s="88">
        <f t="shared" si="41"/>
        <v>9.5715184553320926E-4</v>
      </c>
      <c r="AG49" s="88">
        <f t="shared" si="41"/>
        <v>2.1244862647223296E-3</v>
      </c>
      <c r="AH49" s="88">
        <f t="shared" si="41"/>
        <v>1.8296795927098815E-3</v>
      </c>
      <c r="AI49" s="88">
        <f t="shared" si="41"/>
        <v>5.6289010697575482E-3</v>
      </c>
      <c r="AJ49" s="88">
        <f t="shared" si="41"/>
        <v>0</v>
      </c>
      <c r="BF49" s="7" t="s">
        <v>243</v>
      </c>
      <c r="BG49" s="189">
        <v>-86172.888468805017</v>
      </c>
      <c r="BI49" s="37">
        <f>CL37</f>
        <v>156339.54192590271</v>
      </c>
      <c r="BJ49" s="7">
        <f t="shared" si="35"/>
        <v>0.19867677591358351</v>
      </c>
      <c r="BK49" s="189">
        <f t="shared" si="37"/>
        <v>156339.54192590271</v>
      </c>
      <c r="BN49" s="41"/>
    </row>
    <row r="50" spans="4:72" x14ac:dyDescent="0.3">
      <c r="D50" s="86">
        <v>1</v>
      </c>
      <c r="E50" s="86" t="s">
        <v>33</v>
      </c>
      <c r="F50" s="88">
        <f t="shared" ref="F50:AJ50" si="42">(F12/F$39*$D50*F$40)</f>
        <v>8.6907181806488952E-3</v>
      </c>
      <c r="G50" s="88">
        <f t="shared" si="42"/>
        <v>1.7958018586529737E-4</v>
      </c>
      <c r="H50" s="88">
        <f t="shared" si="42"/>
        <v>3.2638134736588003E-4</v>
      </c>
      <c r="I50" s="88">
        <f t="shared" si="42"/>
        <v>2.64547335479298E-4</v>
      </c>
      <c r="J50" s="88">
        <f t="shared" si="42"/>
        <v>4.4507763150966096E-4</v>
      </c>
      <c r="K50" s="88">
        <f t="shared" si="42"/>
        <v>2.2571335153427009E-4</v>
      </c>
      <c r="L50" s="88">
        <f t="shared" si="42"/>
        <v>9.6696055269059056E-3</v>
      </c>
      <c r="M50" s="88">
        <f t="shared" si="42"/>
        <v>1.0796947392006819E-2</v>
      </c>
      <c r="N50" s="88">
        <f t="shared" si="42"/>
        <v>0.26680489185895845</v>
      </c>
      <c r="O50" s="88">
        <f t="shared" si="42"/>
        <v>5.6136957098615386E-3</v>
      </c>
      <c r="P50" s="88">
        <f t="shared" si="42"/>
        <v>5.9405573099734887E-3</v>
      </c>
      <c r="Q50" s="88">
        <f t="shared" si="42"/>
        <v>5.2277135714398643E-3</v>
      </c>
      <c r="R50" s="88">
        <f t="shared" si="42"/>
        <v>7.276864599006827E-2</v>
      </c>
      <c r="S50" s="88">
        <f t="shared" si="42"/>
        <v>1.4087412346954751E-3</v>
      </c>
      <c r="T50" s="88">
        <f t="shared" si="42"/>
        <v>8.205766757827408E-4</v>
      </c>
      <c r="U50" s="88">
        <f t="shared" si="42"/>
        <v>2.3513308336184828E-3</v>
      </c>
      <c r="V50" s="88">
        <f t="shared" si="42"/>
        <v>1.5007052117975504E-2</v>
      </c>
      <c r="W50" s="88">
        <f t="shared" si="42"/>
        <v>8.7615347600949346E-3</v>
      </c>
      <c r="X50" s="88">
        <f t="shared" si="42"/>
        <v>8.794196646410889E-3</v>
      </c>
      <c r="Y50" s="88">
        <f t="shared" si="42"/>
        <v>5.1749797071523624E-3</v>
      </c>
      <c r="Z50" s="88">
        <f t="shared" si="42"/>
        <v>1.4493630467468405E-3</v>
      </c>
      <c r="AA50" s="88">
        <f t="shared" si="42"/>
        <v>3.7865644610232353E-3</v>
      </c>
      <c r="AB50" s="88">
        <f t="shared" si="42"/>
        <v>1.0645939378137251E-2</v>
      </c>
      <c r="AC50" s="88">
        <f t="shared" si="42"/>
        <v>1.0764498376554775E-3</v>
      </c>
      <c r="AD50" s="88">
        <f t="shared" si="42"/>
        <v>7.3206079107115767E-4</v>
      </c>
      <c r="AE50" s="88">
        <f t="shared" si="42"/>
        <v>3.0008123802673426E-3</v>
      </c>
      <c r="AF50" s="88">
        <f t="shared" si="42"/>
        <v>1.8303658555289162E-2</v>
      </c>
      <c r="AG50" s="88">
        <f t="shared" si="42"/>
        <v>1.7919957194124057E-3</v>
      </c>
      <c r="AH50" s="88">
        <f t="shared" si="42"/>
        <v>3.7273141887591839E-3</v>
      </c>
      <c r="AI50" s="88">
        <f t="shared" si="42"/>
        <v>4.5080111139583316E-3</v>
      </c>
      <c r="AJ50" s="88">
        <f t="shared" si="42"/>
        <v>0</v>
      </c>
    </row>
    <row r="51" spans="4:72" ht="17" thickBot="1" x14ac:dyDescent="0.35">
      <c r="D51" s="85">
        <f>O40</f>
        <v>0.6</v>
      </c>
      <c r="E51" s="85" t="s">
        <v>193</v>
      </c>
      <c r="F51" s="88">
        <f t="shared" ref="F51:AJ51" si="43">(F13/F$39*$D51*F$40)</f>
        <v>1.7114013116054701E-2</v>
      </c>
      <c r="G51" s="88">
        <f t="shared" si="43"/>
        <v>8.4333968752139457E-3</v>
      </c>
      <c r="H51" s="88">
        <f t="shared" si="43"/>
        <v>1.5327433935657999E-2</v>
      </c>
      <c r="I51" s="88">
        <f t="shared" si="43"/>
        <v>1.2423601532803729E-2</v>
      </c>
      <c r="J51" s="88">
        <f t="shared" si="43"/>
        <v>2.0901617228621765E-2</v>
      </c>
      <c r="K51" s="88">
        <f t="shared" si="43"/>
        <v>1.059989031836181E-2</v>
      </c>
      <c r="L51" s="88">
        <f t="shared" si="43"/>
        <v>1.3580346673851258E-2</v>
      </c>
      <c r="M51" s="88">
        <f t="shared" si="43"/>
        <v>1.8691222295516455E-2</v>
      </c>
      <c r="N51" s="88">
        <f t="shared" si="43"/>
        <v>2.2618413769808502E-2</v>
      </c>
      <c r="O51" s="88">
        <f t="shared" si="43"/>
        <v>7.8391889701897602E-2</v>
      </c>
      <c r="P51" s="88">
        <f t="shared" si="43"/>
        <v>8.2956315675102629E-2</v>
      </c>
      <c r="Q51" s="88">
        <f t="shared" si="43"/>
        <v>1.1658622717618415E-2</v>
      </c>
      <c r="R51" s="88">
        <f t="shared" si="43"/>
        <v>1.6708041941490184E-2</v>
      </c>
      <c r="S51" s="88">
        <f t="shared" si="43"/>
        <v>5.1152188264654815E-3</v>
      </c>
      <c r="T51" s="88">
        <f t="shared" si="43"/>
        <v>2.979560161330613E-3</v>
      </c>
      <c r="U51" s="88">
        <f t="shared" si="43"/>
        <v>1.4769203629296165E-2</v>
      </c>
      <c r="V51" s="88">
        <f t="shared" si="43"/>
        <v>4.1724371936051566E-2</v>
      </c>
      <c r="W51" s="88">
        <f t="shared" si="43"/>
        <v>4.4246928418650903E-2</v>
      </c>
      <c r="X51" s="88">
        <f t="shared" si="43"/>
        <v>4.1771521137447573E-2</v>
      </c>
      <c r="Y51" s="88">
        <f t="shared" si="43"/>
        <v>5.5317470663356202E-3</v>
      </c>
      <c r="Z51" s="88">
        <f t="shared" si="43"/>
        <v>4.1421768298733751E-2</v>
      </c>
      <c r="AA51" s="88">
        <f t="shared" si="43"/>
        <v>3.3752993270799569E-3</v>
      </c>
      <c r="AB51" s="88">
        <f t="shared" si="43"/>
        <v>1.1211304471244795E-3</v>
      </c>
      <c r="AC51" s="88">
        <f t="shared" si="43"/>
        <v>4.0826477644758443E-4</v>
      </c>
      <c r="AD51" s="88">
        <f t="shared" si="43"/>
        <v>7.4928049654239052E-5</v>
      </c>
      <c r="AE51" s="88">
        <f t="shared" si="43"/>
        <v>2.0991748699854471E-3</v>
      </c>
      <c r="AF51" s="88">
        <f t="shared" si="43"/>
        <v>3.7024439070047887E-3</v>
      </c>
      <c r="AG51" s="88">
        <f t="shared" si="43"/>
        <v>3.070589742046818E-4</v>
      </c>
      <c r="AH51" s="88">
        <f t="shared" si="43"/>
        <v>1.663625654698327E-2</v>
      </c>
      <c r="AI51" s="88">
        <f t="shared" si="43"/>
        <v>6.2516742382796638E-3</v>
      </c>
      <c r="AJ51" s="88">
        <f t="shared" si="43"/>
        <v>0</v>
      </c>
      <c r="BF51" s="7" t="s">
        <v>184</v>
      </c>
      <c r="BG51" s="42"/>
      <c r="BH51" s="43" t="s">
        <v>183</v>
      </c>
      <c r="BI51" s="7" t="s">
        <v>182</v>
      </c>
      <c r="BL51" s="7" t="s">
        <v>179</v>
      </c>
      <c r="BN51" s="112" t="s">
        <v>210</v>
      </c>
      <c r="BP51" s="112" t="s">
        <v>205</v>
      </c>
      <c r="BR51" s="112">
        <v>0.25</v>
      </c>
      <c r="BS51" s="112">
        <v>0.5</v>
      </c>
      <c r="BT51" s="7" t="s">
        <v>209</v>
      </c>
    </row>
    <row r="52" spans="4:72" x14ac:dyDescent="0.3">
      <c r="D52" s="86">
        <v>1</v>
      </c>
      <c r="E52" s="86" t="s">
        <v>194</v>
      </c>
      <c r="F52" s="88">
        <f t="shared" ref="F52:AJ52" si="44">(F14/F$39*$D52*F$40)</f>
        <v>3.308281476728675E-2</v>
      </c>
      <c r="G52" s="88">
        <f t="shared" si="44"/>
        <v>1.6302459556957256E-2</v>
      </c>
      <c r="H52" s="88">
        <f t="shared" si="44"/>
        <v>2.9629208199887982E-2</v>
      </c>
      <c r="I52" s="88">
        <f t="shared" si="44"/>
        <v>2.4015857967688365E-2</v>
      </c>
      <c r="J52" s="88">
        <f t="shared" si="44"/>
        <v>4.0404569426357395E-2</v>
      </c>
      <c r="K52" s="88">
        <f t="shared" si="44"/>
        <v>2.049047208144018E-2</v>
      </c>
      <c r="L52" s="88">
        <f t="shared" si="44"/>
        <v>2.6251942804992521E-2</v>
      </c>
      <c r="M52" s="88">
        <f t="shared" si="44"/>
        <v>3.6131691660132456E-2</v>
      </c>
      <c r="N52" s="88">
        <f t="shared" si="44"/>
        <v>4.3723280331861986E-2</v>
      </c>
      <c r="O52" s="88">
        <f t="shared" si="44"/>
        <v>0.15153806115951576</v>
      </c>
      <c r="P52" s="88">
        <f t="shared" si="44"/>
        <v>0.16036147726692057</v>
      </c>
      <c r="Q52" s="88">
        <f t="shared" si="44"/>
        <v>2.2537090113996992E-2</v>
      </c>
      <c r="R52" s="88">
        <f t="shared" si="44"/>
        <v>3.2298038626360673E-2</v>
      </c>
      <c r="S52" s="88">
        <f t="shared" si="44"/>
        <v>9.8881446322688759E-3</v>
      </c>
      <c r="T52" s="88">
        <f t="shared" si="44"/>
        <v>5.7597383054952093E-3</v>
      </c>
      <c r="U52" s="88">
        <f t="shared" si="44"/>
        <v>2.8550102457849631E-2</v>
      </c>
      <c r="V52" s="88">
        <f t="shared" si="44"/>
        <v>8.0656691021631408E-2</v>
      </c>
      <c r="W52" s="88">
        <f t="shared" si="44"/>
        <v>8.5533003099221461E-2</v>
      </c>
      <c r="X52" s="88">
        <f t="shared" si="44"/>
        <v>8.0747834360463289E-2</v>
      </c>
      <c r="Y52" s="88">
        <f t="shared" si="44"/>
        <v>1.0693328460954901E-2</v>
      </c>
      <c r="Z52" s="88">
        <f t="shared" si="44"/>
        <v>8.0071732951691565E-2</v>
      </c>
      <c r="AA52" s="88">
        <f t="shared" si="44"/>
        <v>6.5247351199690939E-3</v>
      </c>
      <c r="AB52" s="88">
        <f t="shared" si="44"/>
        <v>2.1672386634663822E-3</v>
      </c>
      <c r="AC52" s="88">
        <f t="shared" si="44"/>
        <v>7.8920986466655453E-4</v>
      </c>
      <c r="AD52" s="88">
        <f t="shared" si="44"/>
        <v>1.4484216944182757E-4</v>
      </c>
      <c r="AE52" s="88">
        <f t="shared" si="44"/>
        <v>4.057880107776927E-3</v>
      </c>
      <c r="AF52" s="88">
        <f t="shared" si="44"/>
        <v>7.1571328788338504E-3</v>
      </c>
      <c r="AG52" s="88">
        <f t="shared" si="44"/>
        <v>5.9357060774465394E-4</v>
      </c>
      <c r="AH52" s="88">
        <f t="shared" si="44"/>
        <v>3.2159271471435387E-2</v>
      </c>
      <c r="AI52" s="88">
        <f t="shared" si="44"/>
        <v>1.2085007730676762E-2</v>
      </c>
      <c r="AJ52" s="88">
        <f t="shared" si="44"/>
        <v>0</v>
      </c>
      <c r="BF52" s="206" t="s">
        <v>154</v>
      </c>
      <c r="BG52" s="44" t="s">
        <v>152</v>
      </c>
      <c r="BH52" s="45">
        <f>VLOOKUP(BD61,$AS$3:$BB$32,10,0)</f>
        <v>0.23370087190395528</v>
      </c>
      <c r="BI52" s="45"/>
      <c r="BJ52" s="73"/>
      <c r="BL52" s="206" t="s">
        <v>154</v>
      </c>
      <c r="BM52" s="44" t="s">
        <v>152</v>
      </c>
      <c r="BN52" s="46">
        <v>-0.5</v>
      </c>
      <c r="BP52" s="46">
        <v>-0.5</v>
      </c>
      <c r="BR52" s="46">
        <v>-0.25</v>
      </c>
      <c r="BS52" s="46">
        <v>-0.5</v>
      </c>
      <c r="BT52" s="46">
        <v>-0.41199999999999998</v>
      </c>
    </row>
    <row r="53" spans="4:72" x14ac:dyDescent="0.3">
      <c r="D53" s="86">
        <v>1</v>
      </c>
      <c r="E53" s="86" t="s">
        <v>35</v>
      </c>
      <c r="F53" s="88">
        <f t="shared" ref="F53:AJ53" si="45">(F15/F$39*$D53*F$40)</f>
        <v>7.228007847386116E-3</v>
      </c>
      <c r="G53" s="88">
        <f t="shared" si="45"/>
        <v>1.7577602180469678E-3</v>
      </c>
      <c r="H53" s="88">
        <f t="shared" si="45"/>
        <v>3.1946739867094436E-3</v>
      </c>
      <c r="I53" s="88">
        <f t="shared" si="45"/>
        <v>2.5894325693851246E-3</v>
      </c>
      <c r="J53" s="88">
        <f t="shared" si="45"/>
        <v>4.3564926210572065E-3</v>
      </c>
      <c r="K53" s="88">
        <f t="shared" si="45"/>
        <v>2.2093191857290519E-3</v>
      </c>
      <c r="L53" s="88">
        <f t="shared" si="45"/>
        <v>7.0588279615571995E-3</v>
      </c>
      <c r="M53" s="88">
        <f t="shared" si="45"/>
        <v>6.4615070409919954E-3</v>
      </c>
      <c r="N53" s="88">
        <f t="shared" si="45"/>
        <v>1.2531593367543786E-2</v>
      </c>
      <c r="O53" s="88">
        <f t="shared" si="45"/>
        <v>4.3403293056398567E-3</v>
      </c>
      <c r="P53" s="88">
        <f t="shared" si="45"/>
        <v>4.5930482015646987E-3</v>
      </c>
      <c r="Q53" s="88">
        <f t="shared" si="45"/>
        <v>0.30148909991057321</v>
      </c>
      <c r="R53" s="88">
        <f t="shared" si="45"/>
        <v>0.13332921461424069</v>
      </c>
      <c r="S53" s="88">
        <f t="shared" si="45"/>
        <v>1.3451994509055223E-2</v>
      </c>
      <c r="T53" s="88">
        <f t="shared" si="45"/>
        <v>7.8356426751960331E-3</v>
      </c>
      <c r="U53" s="88">
        <f t="shared" si="45"/>
        <v>1.1670287216840618E-2</v>
      </c>
      <c r="V53" s="88">
        <f t="shared" si="45"/>
        <v>9.3993590912651262E-2</v>
      </c>
      <c r="W53" s="88">
        <f t="shared" si="45"/>
        <v>0.10834482049227269</v>
      </c>
      <c r="X53" s="88">
        <f t="shared" si="45"/>
        <v>0.11912949707838974</v>
      </c>
      <c r="Y53" s="88">
        <f t="shared" si="45"/>
        <v>3.6255796731906584E-2</v>
      </c>
      <c r="Z53" s="88">
        <f t="shared" si="45"/>
        <v>1.1669708935258226E-2</v>
      </c>
      <c r="AA53" s="88">
        <f t="shared" si="45"/>
        <v>3.3331886270761501E-3</v>
      </c>
      <c r="AB53" s="88">
        <f t="shared" si="45"/>
        <v>2.4037154218823607E-2</v>
      </c>
      <c r="AC53" s="88">
        <f t="shared" si="45"/>
        <v>4.3603427487249819E-3</v>
      </c>
      <c r="AD53" s="88">
        <f t="shared" si="45"/>
        <v>1.2449454157435421E-4</v>
      </c>
      <c r="AE53" s="88">
        <f t="shared" si="45"/>
        <v>2.484655938907363E-3</v>
      </c>
      <c r="AF53" s="88">
        <f t="shared" si="45"/>
        <v>3.5358553709655184E-3</v>
      </c>
      <c r="AG53" s="88">
        <f t="shared" si="45"/>
        <v>3.2441163606349403E-3</v>
      </c>
      <c r="AH53" s="88">
        <f t="shared" si="45"/>
        <v>2.2330987891413887E-3</v>
      </c>
      <c r="AI53" s="88">
        <f t="shared" si="45"/>
        <v>2.232774733011934E-2</v>
      </c>
      <c r="AJ53" s="88">
        <f t="shared" si="45"/>
        <v>0</v>
      </c>
      <c r="BF53" s="207"/>
      <c r="BG53" s="44" t="s">
        <v>171</v>
      </c>
      <c r="BH53" s="47">
        <f>-BP53</f>
        <v>8.6739021379210177E-2</v>
      </c>
      <c r="BI53" s="47">
        <f>BB37</f>
        <v>-5.6682468098467269E-2</v>
      </c>
      <c r="BJ53" s="116"/>
      <c r="BL53" s="207"/>
      <c r="BM53" s="44" t="s">
        <v>171</v>
      </c>
      <c r="BN53" s="48">
        <f>BB37</f>
        <v>-5.6682468098467269E-2</v>
      </c>
      <c r="BP53" s="48">
        <v>-8.6739021379210177E-2</v>
      </c>
      <c r="BR53" s="48">
        <v>-4.233487709640138E-2</v>
      </c>
      <c r="BS53" s="48">
        <v>-8.0375716608231784E-2</v>
      </c>
      <c r="BT53" s="48">
        <v>-6.7986864159284108E-2</v>
      </c>
    </row>
    <row r="54" spans="4:72" x14ac:dyDescent="0.3">
      <c r="D54" s="86">
        <v>1</v>
      </c>
      <c r="E54" s="86" t="s">
        <v>36</v>
      </c>
      <c r="F54" s="88">
        <f t="shared" ref="F54:AJ54" si="46">(F16/F$39*$D54*F$40)</f>
        <v>2.8610149453464775E-4</v>
      </c>
      <c r="G54" s="88">
        <f t="shared" si="46"/>
        <v>3.54111499263715E-4</v>
      </c>
      <c r="H54" s="88">
        <f t="shared" si="46"/>
        <v>6.4358652760352925E-4</v>
      </c>
      <c r="I54" s="88">
        <f t="shared" si="46"/>
        <v>5.2165695865279799E-4</v>
      </c>
      <c r="J54" s="88">
        <f t="shared" si="46"/>
        <v>8.7764196602875793E-4</v>
      </c>
      <c r="K54" s="88">
        <f t="shared" si="46"/>
        <v>4.4508080293218931E-4</v>
      </c>
      <c r="L54" s="88">
        <f t="shared" si="46"/>
        <v>5.5055184378478709E-4</v>
      </c>
      <c r="M54" s="88">
        <f t="shared" si="46"/>
        <v>4.7975899461671018E-3</v>
      </c>
      <c r="N54" s="88">
        <f t="shared" si="46"/>
        <v>9.3971011680918422E-3</v>
      </c>
      <c r="O54" s="88">
        <f t="shared" si="46"/>
        <v>1.4368557585149469E-3</v>
      </c>
      <c r="P54" s="88">
        <f t="shared" si="46"/>
        <v>1.5205177517243808E-3</v>
      </c>
      <c r="Q54" s="88">
        <f t="shared" si="46"/>
        <v>3.761735086247997E-3</v>
      </c>
      <c r="R54" s="88">
        <f t="shared" si="46"/>
        <v>1.4649791987778212E-2</v>
      </c>
      <c r="S54" s="88">
        <f t="shared" si="46"/>
        <v>3.9458338122492218E-4</v>
      </c>
      <c r="T54" s="88">
        <f t="shared" si="46"/>
        <v>2.2984059194849419E-4</v>
      </c>
      <c r="U54" s="88">
        <f t="shared" si="46"/>
        <v>1.3275476032019516E-3</v>
      </c>
      <c r="V54" s="88">
        <f t="shared" si="46"/>
        <v>8.2517549289818047E-3</v>
      </c>
      <c r="W54" s="88">
        <f t="shared" si="46"/>
        <v>1.9043002910975068E-3</v>
      </c>
      <c r="X54" s="88">
        <f t="shared" si="46"/>
        <v>1.0350994716068036E-3</v>
      </c>
      <c r="Y54" s="88">
        <f t="shared" si="46"/>
        <v>1.6727073339946887E-3</v>
      </c>
      <c r="Z54" s="88">
        <f t="shared" si="46"/>
        <v>6.9583915800717328E-4</v>
      </c>
      <c r="AA54" s="88">
        <f t="shared" si="46"/>
        <v>1.7491193654366367E-4</v>
      </c>
      <c r="AB54" s="88">
        <f t="shared" si="46"/>
        <v>2.7542933717833771E-4</v>
      </c>
      <c r="AC54" s="88">
        <f t="shared" si="46"/>
        <v>8.0193441349617526E-4</v>
      </c>
      <c r="AD54" s="88">
        <f t="shared" si="46"/>
        <v>5.8380968674223753E-6</v>
      </c>
      <c r="AE54" s="88">
        <f t="shared" si="46"/>
        <v>3.9990001588173008E-4</v>
      </c>
      <c r="AF54" s="88">
        <f t="shared" si="46"/>
        <v>9.8903340639801426E-4</v>
      </c>
      <c r="AG54" s="88">
        <f t="shared" si="46"/>
        <v>8.309817978108153E-4</v>
      </c>
      <c r="AH54" s="88">
        <f t="shared" si="46"/>
        <v>2.0052391062127046E-2</v>
      </c>
      <c r="AI54" s="88">
        <f t="shared" si="46"/>
        <v>4.8533382266673633E-3</v>
      </c>
      <c r="AJ54" s="88">
        <f t="shared" si="46"/>
        <v>0</v>
      </c>
      <c r="BF54" s="207"/>
      <c r="BG54" s="44" t="s">
        <v>151</v>
      </c>
      <c r="BH54" s="49">
        <f>BI54-BP54</f>
        <v>4.1259797042249982E-2</v>
      </c>
      <c r="BI54" s="49">
        <f>BI37</f>
        <v>7.5371031498810918E-5</v>
      </c>
      <c r="BJ54" s="73"/>
      <c r="BL54" s="207"/>
      <c r="BM54" s="44" t="s">
        <v>151</v>
      </c>
      <c r="BN54" s="46">
        <f>BI37</f>
        <v>7.5371031498810918E-5</v>
      </c>
      <c r="BP54" s="46">
        <v>-4.1184426010751174E-2</v>
      </c>
      <c r="BR54" s="46">
        <v>-2.2621526004995559E-2</v>
      </c>
      <c r="BS54" s="46">
        <v>-3.8975882186286545E-2</v>
      </c>
      <c r="BT54" s="46">
        <v>-3.3425242540186896E-2</v>
      </c>
    </row>
    <row r="55" spans="4:72" x14ac:dyDescent="0.3">
      <c r="D55" s="86">
        <f>S40</f>
        <v>1</v>
      </c>
      <c r="E55" s="86" t="s">
        <v>195</v>
      </c>
      <c r="F55" s="88">
        <f t="shared" ref="F55:AJ55" si="47">(F17/F$39*$D55*F$40)</f>
        <v>3.7872512612916512E-3</v>
      </c>
      <c r="G55" s="88">
        <f t="shared" si="47"/>
        <v>5.8695368368785706E-3</v>
      </c>
      <c r="H55" s="88">
        <f t="shared" si="47"/>
        <v>1.0667698844409596E-2</v>
      </c>
      <c r="I55" s="88">
        <f t="shared" si="47"/>
        <v>8.6466684685277129E-3</v>
      </c>
      <c r="J55" s="88">
        <f t="shared" si="47"/>
        <v>1.4547259436384456E-2</v>
      </c>
      <c r="K55" s="88">
        <f t="shared" si="47"/>
        <v>7.3773886858513127E-3</v>
      </c>
      <c r="L55" s="88">
        <f t="shared" si="47"/>
        <v>9.9627560957862831E-3</v>
      </c>
      <c r="M55" s="88">
        <f t="shared" si="47"/>
        <v>1.4460052211903912E-2</v>
      </c>
      <c r="N55" s="88">
        <f t="shared" si="47"/>
        <v>5.055823426815767E-2</v>
      </c>
      <c r="O55" s="88">
        <f t="shared" si="47"/>
        <v>1.3883173070627296E-2</v>
      </c>
      <c r="P55" s="88">
        <f t="shared" si="47"/>
        <v>1.4691531129031621E-2</v>
      </c>
      <c r="Q55" s="88">
        <f t="shared" si="47"/>
        <v>1.8214489024662949E-2</v>
      </c>
      <c r="R55" s="88">
        <f t="shared" si="47"/>
        <v>1.6676776334338304E-2</v>
      </c>
      <c r="S55" s="88">
        <f t="shared" si="47"/>
        <v>0.29176443295869992</v>
      </c>
      <c r="T55" s="88">
        <f t="shared" si="47"/>
        <v>0.16994965619831537</v>
      </c>
      <c r="U55" s="88">
        <f t="shared" si="47"/>
        <v>5.0660398473403208E-2</v>
      </c>
      <c r="V55" s="88">
        <f t="shared" si="47"/>
        <v>9.9295444001277493E-5</v>
      </c>
      <c r="W55" s="88">
        <f t="shared" si="47"/>
        <v>9.9870405379491297E-4</v>
      </c>
      <c r="X55" s="88">
        <f t="shared" si="47"/>
        <v>3.6573484783271418E-5</v>
      </c>
      <c r="Y55" s="88">
        <f t="shared" si="47"/>
        <v>1.323054365824162E-2</v>
      </c>
      <c r="Z55" s="88">
        <f t="shared" si="47"/>
        <v>7.2551620006761717E-3</v>
      </c>
      <c r="AA55" s="88">
        <f t="shared" si="47"/>
        <v>3.9503899625704109E-3</v>
      </c>
      <c r="AB55" s="88">
        <f t="shared" si="47"/>
        <v>4.3637833710726678E-3</v>
      </c>
      <c r="AC55" s="88">
        <f t="shared" si="47"/>
        <v>5.0970004582131618E-3</v>
      </c>
      <c r="AD55" s="88">
        <f t="shared" si="47"/>
        <v>7.8539000971734657E-4</v>
      </c>
      <c r="AE55" s="88">
        <f t="shared" si="47"/>
        <v>2.4788016914337211E-3</v>
      </c>
      <c r="AF55" s="88">
        <f t="shared" si="47"/>
        <v>1.0525774548136175E-2</v>
      </c>
      <c r="AG55" s="88">
        <f t="shared" si="47"/>
        <v>6.6044524373607928E-3</v>
      </c>
      <c r="AH55" s="88">
        <f t="shared" si="47"/>
        <v>2.2611445542452349E-3</v>
      </c>
      <c r="AI55" s="88">
        <f t="shared" si="47"/>
        <v>9.898062095778936E-3</v>
      </c>
      <c r="AJ55" s="88">
        <f t="shared" si="47"/>
        <v>0</v>
      </c>
      <c r="BD55" s="33"/>
      <c r="BF55" s="207"/>
      <c r="BG55" s="44" t="s">
        <v>153</v>
      </c>
      <c r="BH55" s="50">
        <f>BI55-BP55</f>
        <v>2.7879065516762849E-2</v>
      </c>
      <c r="BI55" s="50">
        <f>BQ37</f>
        <v>-8.0909629138082376E-2</v>
      </c>
      <c r="BJ55" s="73"/>
      <c r="BL55" s="207"/>
      <c r="BM55" s="44" t="s">
        <v>153</v>
      </c>
      <c r="BN55" s="46">
        <f>BQ37</f>
        <v>-8.0909629138082376E-2</v>
      </c>
      <c r="BP55" s="46">
        <v>-0.10878869465484522</v>
      </c>
      <c r="BR55" s="46">
        <v>-5.2660613850020681E-2</v>
      </c>
      <c r="BS55" s="46">
        <v>-0.10208193096944028</v>
      </c>
      <c r="BT55" s="46">
        <v>-8.5322200273841645E-2</v>
      </c>
    </row>
    <row r="56" spans="4:72" ht="32.6" x14ac:dyDescent="0.3">
      <c r="D56" s="85">
        <f>T40</f>
        <v>0.6</v>
      </c>
      <c r="E56" s="85" t="s">
        <v>196</v>
      </c>
      <c r="F56" s="88">
        <f t="shared" ref="F56:AJ56" si="48">(F18/F$39*$D56*F$40)</f>
        <v>4.7188134251475305E-4</v>
      </c>
      <c r="G56" s="88">
        <f t="shared" si="48"/>
        <v>7.3132853656544448E-4</v>
      </c>
      <c r="H56" s="88">
        <f t="shared" si="48"/>
        <v>1.3291666448679879E-3</v>
      </c>
      <c r="I56" s="88">
        <f t="shared" si="48"/>
        <v>1.0773516842970906E-3</v>
      </c>
      <c r="J56" s="88">
        <f t="shared" si="48"/>
        <v>1.8125494822359171E-3</v>
      </c>
      <c r="K56" s="88">
        <f t="shared" si="48"/>
        <v>9.1920283000853189E-4</v>
      </c>
      <c r="L56" s="88">
        <f t="shared" si="48"/>
        <v>1.2413326703925374E-3</v>
      </c>
      <c r="M56" s="88">
        <f t="shared" si="48"/>
        <v>1.8016836961219985E-3</v>
      </c>
      <c r="N56" s="88">
        <f t="shared" si="48"/>
        <v>6.2994202960531811E-3</v>
      </c>
      <c r="O56" s="88">
        <f t="shared" si="48"/>
        <v>1.7298061034107276E-3</v>
      </c>
      <c r="P56" s="88">
        <f t="shared" si="48"/>
        <v>1.8305253479274906E-3</v>
      </c>
      <c r="Q56" s="88">
        <f t="shared" si="48"/>
        <v>2.2694764464206204E-3</v>
      </c>
      <c r="R56" s="88">
        <f t="shared" si="48"/>
        <v>2.0778815722889018E-3</v>
      </c>
      <c r="S56" s="88">
        <f t="shared" si="48"/>
        <v>3.6353065277124362E-2</v>
      </c>
      <c r="T56" s="88">
        <f t="shared" si="48"/>
        <v>2.1175271032698974E-2</v>
      </c>
      <c r="U56" s="88">
        <f t="shared" si="48"/>
        <v>6.3121496818272253E-3</v>
      </c>
      <c r="V56" s="88">
        <f t="shared" si="48"/>
        <v>1.2371945822506921E-5</v>
      </c>
      <c r="W56" s="88">
        <f t="shared" si="48"/>
        <v>1.2443584467087667E-4</v>
      </c>
      <c r="X56" s="88">
        <f t="shared" si="48"/>
        <v>4.5569580440477587E-6</v>
      </c>
      <c r="Y56" s="88">
        <f t="shared" si="48"/>
        <v>1.6484902302261913E-3</v>
      </c>
      <c r="Z56" s="88">
        <f t="shared" si="48"/>
        <v>9.0397371308115302E-4</v>
      </c>
      <c r="AA56" s="88">
        <f t="shared" si="48"/>
        <v>4.9220798684446654E-4</v>
      </c>
      <c r="AB56" s="88">
        <f t="shared" si="48"/>
        <v>5.4371569603307336E-4</v>
      </c>
      <c r="AC56" s="88">
        <f t="shared" si="48"/>
        <v>6.3507257720197999E-4</v>
      </c>
      <c r="AD56" s="88">
        <f t="shared" si="48"/>
        <v>9.7857487294544785E-5</v>
      </c>
      <c r="AE56" s="88">
        <f t="shared" si="48"/>
        <v>3.0885203787156594E-4</v>
      </c>
      <c r="AF56" s="88">
        <f t="shared" si="48"/>
        <v>1.3114832584643825E-3</v>
      </c>
      <c r="AG56" s="88">
        <f t="shared" si="48"/>
        <v>8.2289704793807328E-4</v>
      </c>
      <c r="AH56" s="88">
        <f t="shared" si="48"/>
        <v>2.8173254275008525E-4</v>
      </c>
      <c r="AI56" s="88">
        <f t="shared" si="48"/>
        <v>1.2332719716245067E-3</v>
      </c>
      <c r="AJ56" s="88">
        <f t="shared" si="48"/>
        <v>0</v>
      </c>
      <c r="BF56" s="208" t="s">
        <v>155</v>
      </c>
      <c r="BG56" s="51" t="s">
        <v>172</v>
      </c>
      <c r="BH56" s="52">
        <f>BH54/BH53</f>
        <v>0.4756774561920436</v>
      </c>
      <c r="BI56" s="52"/>
      <c r="BJ56" s="56"/>
      <c r="BL56" s="208" t="s">
        <v>155</v>
      </c>
      <c r="BM56" s="51" t="s">
        <v>172</v>
      </c>
      <c r="BN56" s="53">
        <f>BN54/BN53</f>
        <v>-1.329706239465056E-3</v>
      </c>
      <c r="BP56" s="53">
        <v>0.47480851588927842</v>
      </c>
      <c r="BR56" s="53">
        <v>0.5343472700649099</v>
      </c>
      <c r="BS56" s="53">
        <v>0.48492111586716202</v>
      </c>
      <c r="BT56" s="53">
        <v>0.49164265705616361</v>
      </c>
    </row>
    <row r="57" spans="4:72" ht="48.9" x14ac:dyDescent="0.3">
      <c r="D57" s="86">
        <v>1</v>
      </c>
      <c r="E57" s="86" t="s">
        <v>37</v>
      </c>
      <c r="F57" s="88">
        <f t="shared" ref="F57:AJ57" si="49">(F19/F$39*$D57*F$40)</f>
        <v>2.4755393161916906E-3</v>
      </c>
      <c r="G57" s="88">
        <f t="shared" si="49"/>
        <v>1.1679582281733476E-3</v>
      </c>
      <c r="H57" s="88">
        <f t="shared" si="49"/>
        <v>2.1227273952384709E-3</v>
      </c>
      <c r="I57" s="88">
        <f t="shared" si="49"/>
        <v>1.720569759551014E-3</v>
      </c>
      <c r="J57" s="88">
        <f t="shared" si="49"/>
        <v>2.8947073386344445E-3</v>
      </c>
      <c r="K57" s="88">
        <f t="shared" si="49"/>
        <v>1.4680002967074419E-3</v>
      </c>
      <c r="L57" s="88">
        <f t="shared" si="49"/>
        <v>1.8626659970374343E-3</v>
      </c>
      <c r="M57" s="88">
        <f t="shared" si="49"/>
        <v>3.718216896518052E-3</v>
      </c>
      <c r="N57" s="88">
        <f t="shared" si="49"/>
        <v>6.561100128843627E-3</v>
      </c>
      <c r="O57" s="88">
        <f t="shared" si="49"/>
        <v>6.812243598593832E-4</v>
      </c>
      <c r="P57" s="88">
        <f t="shared" si="49"/>
        <v>7.2088915392859519E-4</v>
      </c>
      <c r="Q57" s="88">
        <f t="shared" si="49"/>
        <v>2.4674964709790553E-2</v>
      </c>
      <c r="R57" s="88">
        <f t="shared" si="49"/>
        <v>1.4436477915120269E-3</v>
      </c>
      <c r="S57" s="88">
        <f t="shared" si="49"/>
        <v>1.2904774845290303E-3</v>
      </c>
      <c r="T57" s="88">
        <f t="shared" si="49"/>
        <v>7.5168930840319517E-4</v>
      </c>
      <c r="U57" s="88">
        <f t="shared" si="49"/>
        <v>2.1297878908647209E-2</v>
      </c>
      <c r="V57" s="88">
        <f t="shared" si="49"/>
        <v>7.3664711365121951E-4</v>
      </c>
      <c r="W57" s="88">
        <f t="shared" si="49"/>
        <v>1.3148257138731257E-3</v>
      </c>
      <c r="X57" s="88">
        <f t="shared" si="49"/>
        <v>2.2851652387266655E-4</v>
      </c>
      <c r="Y57" s="88">
        <f t="shared" si="49"/>
        <v>3.1267026017772104E-3</v>
      </c>
      <c r="Z57" s="88">
        <f t="shared" si="49"/>
        <v>8.2769744187330982E-4</v>
      </c>
      <c r="AA57" s="88">
        <f t="shared" si="49"/>
        <v>3.5913449727140068E-3</v>
      </c>
      <c r="AB57" s="88">
        <f t="shared" si="49"/>
        <v>2.4837876554094649E-3</v>
      </c>
      <c r="AC57" s="88">
        <f t="shared" si="49"/>
        <v>4.0622724167902651E-3</v>
      </c>
      <c r="AD57" s="88">
        <f t="shared" si="49"/>
        <v>4.8549285797882158E-4</v>
      </c>
      <c r="AE57" s="88">
        <f t="shared" si="49"/>
        <v>2.3408138589902554E-3</v>
      </c>
      <c r="AF57" s="88">
        <f t="shared" si="49"/>
        <v>1.0620436279907469E-2</v>
      </c>
      <c r="AG57" s="88">
        <f t="shared" si="49"/>
        <v>5.2183839745544094E-3</v>
      </c>
      <c r="AH57" s="88">
        <f t="shared" si="49"/>
        <v>4.6074829363180235E-3</v>
      </c>
      <c r="AI57" s="88">
        <f t="shared" si="49"/>
        <v>4.6968765639092466E-3</v>
      </c>
      <c r="AJ57" s="88">
        <f t="shared" si="49"/>
        <v>0</v>
      </c>
      <c r="BD57" s="9"/>
      <c r="BF57" s="209"/>
      <c r="BG57" s="54" t="s">
        <v>173</v>
      </c>
      <c r="BH57" s="55">
        <f>BH55/BH53</f>
        <v>0.32141318951339903</v>
      </c>
      <c r="BI57" s="55"/>
      <c r="BJ57" s="56"/>
      <c r="BL57" s="209"/>
      <c r="BM57" s="54" t="s">
        <v>173</v>
      </c>
      <c r="BN57" s="56">
        <f>BN55/BN53</f>
        <v>1.4274189507332025</v>
      </c>
      <c r="BP57" s="56">
        <v>1.2542070791787832</v>
      </c>
      <c r="BR57" s="56">
        <v>1.2439061469366359</v>
      </c>
      <c r="BS57" s="56">
        <v>1.2700593571937799</v>
      </c>
      <c r="BT57" s="56">
        <v>1.2549806691178338</v>
      </c>
    </row>
    <row r="58" spans="4:72" ht="14.3" customHeight="1" x14ac:dyDescent="0.3">
      <c r="D58" s="86">
        <v>1</v>
      </c>
      <c r="E58" s="86" t="s">
        <v>38</v>
      </c>
      <c r="F58" s="88">
        <f t="shared" ref="F58:AJ58" si="50">(F20/F$39*$D58*F$40)</f>
        <v>4.4760933703611137E-5</v>
      </c>
      <c r="G58" s="88">
        <f t="shared" si="50"/>
        <v>1.1169349211327375E-4</v>
      </c>
      <c r="H58" s="88">
        <f t="shared" si="50"/>
        <v>2.0299941372861217E-4</v>
      </c>
      <c r="I58" s="88">
        <f t="shared" si="50"/>
        <v>1.6454051200898406E-4</v>
      </c>
      <c r="J58" s="88">
        <f t="shared" si="50"/>
        <v>2.7682494416231377E-4</v>
      </c>
      <c r="K58" s="88">
        <f t="shared" si="50"/>
        <v>1.4038693816902534E-4</v>
      </c>
      <c r="L58" s="88">
        <f t="shared" si="50"/>
        <v>1.4281940535707105E-4</v>
      </c>
      <c r="M58" s="88">
        <f t="shared" si="50"/>
        <v>5.5376800115025616E-4</v>
      </c>
      <c r="N58" s="88">
        <f t="shared" si="50"/>
        <v>7.5196061267929107E-4</v>
      </c>
      <c r="O58" s="88">
        <f t="shared" si="50"/>
        <v>1.054365235263805E-4</v>
      </c>
      <c r="P58" s="88">
        <f t="shared" si="50"/>
        <v>1.1157564338097698E-4</v>
      </c>
      <c r="Q58" s="88">
        <f t="shared" si="50"/>
        <v>2.461224199623998E-4</v>
      </c>
      <c r="R58" s="88">
        <f t="shared" si="50"/>
        <v>9.8186336413539819E-4</v>
      </c>
      <c r="S58" s="88">
        <f t="shared" si="50"/>
        <v>2.8358661677947239E-4</v>
      </c>
      <c r="T58" s="88">
        <f t="shared" si="50"/>
        <v>1.6518616589204668E-4</v>
      </c>
      <c r="U58" s="88">
        <f t="shared" si="50"/>
        <v>9.1146103509229779E-4</v>
      </c>
      <c r="V58" s="88">
        <f t="shared" si="50"/>
        <v>1.3975311535716812E-3</v>
      </c>
      <c r="W58" s="88">
        <f t="shared" si="50"/>
        <v>8.4286313585539812E-4</v>
      </c>
      <c r="X58" s="88">
        <f t="shared" si="50"/>
        <v>6.2519255751465077E-4</v>
      </c>
      <c r="Y58" s="88">
        <f t="shared" si="50"/>
        <v>5.3485953161185788E-4</v>
      </c>
      <c r="Z58" s="88">
        <f t="shared" si="50"/>
        <v>1.8458692738266189E-4</v>
      </c>
      <c r="AA58" s="88">
        <f t="shared" si="50"/>
        <v>3.2333233188783125E-4</v>
      </c>
      <c r="AB58" s="88">
        <f t="shared" si="50"/>
        <v>9.5838071259608392E-4</v>
      </c>
      <c r="AC58" s="88">
        <f t="shared" si="50"/>
        <v>5.2845038705721058E-4</v>
      </c>
      <c r="AD58" s="88">
        <f t="shared" si="50"/>
        <v>3.0068380327774726E-4</v>
      </c>
      <c r="AE58" s="88">
        <f t="shared" si="50"/>
        <v>7.5060951061943048E-4</v>
      </c>
      <c r="AF58" s="88">
        <f t="shared" si="50"/>
        <v>1.176165034401854E-3</v>
      </c>
      <c r="AG58" s="88">
        <f t="shared" si="50"/>
        <v>7.9150888912827763E-4</v>
      </c>
      <c r="AH58" s="88">
        <f t="shared" si="50"/>
        <v>1.4379736106647967E-3</v>
      </c>
      <c r="AI58" s="88">
        <f t="shared" si="50"/>
        <v>8.412784542341054E-4</v>
      </c>
      <c r="AJ58" s="88">
        <f t="shared" si="50"/>
        <v>0</v>
      </c>
      <c r="BF58" s="208" t="s">
        <v>174</v>
      </c>
      <c r="BG58" s="57" t="s">
        <v>175</v>
      </c>
      <c r="BH58" s="58">
        <f>-BP58</f>
        <v>161112.96156570711</v>
      </c>
      <c r="BI58" s="58">
        <f>BA37</f>
        <v>-105284.56695715757</v>
      </c>
      <c r="BJ58" s="117"/>
      <c r="BL58" s="208" t="s">
        <v>174</v>
      </c>
      <c r="BM58" s="57" t="s">
        <v>175</v>
      </c>
      <c r="BN58" s="59">
        <f>BA37</f>
        <v>-105284.56695715757</v>
      </c>
      <c r="BP58" s="59">
        <v>-161112.96156570711</v>
      </c>
      <c r="BR58" s="59">
        <v>-78634.705788325286</v>
      </c>
      <c r="BS58" s="59">
        <v>-149293.47293537715</v>
      </c>
      <c r="BT58" s="59">
        <v>-126281.86089834152</v>
      </c>
    </row>
    <row r="59" spans="4:72" x14ac:dyDescent="0.3">
      <c r="D59" s="86">
        <f>1-AR21</f>
        <v>1</v>
      </c>
      <c r="E59" s="86" t="s">
        <v>39</v>
      </c>
      <c r="F59" s="88">
        <f t="shared" ref="F59:AJ59" si="51">(F21/F$39*$D59*F$40)</f>
        <v>0</v>
      </c>
      <c r="G59" s="88">
        <f t="shared" si="51"/>
        <v>0</v>
      </c>
      <c r="H59" s="88">
        <f t="shared" si="51"/>
        <v>0</v>
      </c>
      <c r="I59" s="88">
        <f t="shared" si="51"/>
        <v>0</v>
      </c>
      <c r="J59" s="88">
        <f t="shared" si="51"/>
        <v>0</v>
      </c>
      <c r="K59" s="88">
        <f t="shared" si="51"/>
        <v>0</v>
      </c>
      <c r="L59" s="88">
        <f t="shared" si="51"/>
        <v>0</v>
      </c>
      <c r="M59" s="88">
        <f t="shared" si="51"/>
        <v>0</v>
      </c>
      <c r="N59" s="88">
        <f t="shared" si="51"/>
        <v>0</v>
      </c>
      <c r="O59" s="88">
        <f t="shared" si="51"/>
        <v>0</v>
      </c>
      <c r="P59" s="88">
        <f t="shared" si="51"/>
        <v>0</v>
      </c>
      <c r="Q59" s="88">
        <f t="shared" si="51"/>
        <v>0</v>
      </c>
      <c r="R59" s="88">
        <f t="shared" si="51"/>
        <v>0</v>
      </c>
      <c r="S59" s="88">
        <f t="shared" si="51"/>
        <v>3.0589687679333076E-4</v>
      </c>
      <c r="T59" s="88">
        <f t="shared" si="51"/>
        <v>1.7818165331524117E-4</v>
      </c>
      <c r="U59" s="88">
        <f t="shared" si="51"/>
        <v>0</v>
      </c>
      <c r="V59" s="88">
        <f t="shared" si="51"/>
        <v>0</v>
      </c>
      <c r="W59" s="88">
        <f t="shared" si="51"/>
        <v>3.4472654566764802E-5</v>
      </c>
      <c r="X59" s="88">
        <f t="shared" si="51"/>
        <v>2.4862593142232714E-5</v>
      </c>
      <c r="Y59" s="88">
        <f t="shared" si="51"/>
        <v>0</v>
      </c>
      <c r="Z59" s="88">
        <f t="shared" si="51"/>
        <v>2.0196162239608079E-3</v>
      </c>
      <c r="AA59" s="88">
        <f t="shared" si="51"/>
        <v>0</v>
      </c>
      <c r="AB59" s="88">
        <f t="shared" si="51"/>
        <v>0</v>
      </c>
      <c r="AC59" s="88">
        <f t="shared" si="51"/>
        <v>0</v>
      </c>
      <c r="AD59" s="88">
        <f t="shared" si="51"/>
        <v>0</v>
      </c>
      <c r="AE59" s="88">
        <f t="shared" si="51"/>
        <v>0</v>
      </c>
      <c r="AF59" s="88">
        <f t="shared" si="51"/>
        <v>0</v>
      </c>
      <c r="AG59" s="88">
        <f t="shared" si="51"/>
        <v>0</v>
      </c>
      <c r="AH59" s="88">
        <f t="shared" si="51"/>
        <v>0</v>
      </c>
      <c r="AI59" s="88">
        <f t="shared" si="51"/>
        <v>0</v>
      </c>
      <c r="AJ59" s="88">
        <f t="shared" si="51"/>
        <v>0</v>
      </c>
      <c r="BF59" s="207"/>
      <c r="BG59" s="44" t="s">
        <v>176</v>
      </c>
      <c r="BH59" s="60">
        <f>BI59-BP59</f>
        <v>786903.96100399876</v>
      </c>
      <c r="BI59" s="60">
        <f>BH37</f>
        <v>1437.4710367731168</v>
      </c>
      <c r="BJ59" s="61"/>
      <c r="BL59" s="207"/>
      <c r="BM59" s="44" t="s">
        <v>176</v>
      </c>
      <c r="BN59" s="61">
        <f>BH37</f>
        <v>1437.4710367731168</v>
      </c>
      <c r="BP59" s="61">
        <v>-785466.48996722559</v>
      </c>
      <c r="BR59" s="61">
        <v>-397261.82112470816</v>
      </c>
      <c r="BS59" s="61">
        <v>-743345.2967451039</v>
      </c>
      <c r="BT59" s="61">
        <v>-637483.88595946669</v>
      </c>
    </row>
    <row r="60" spans="4:72" x14ac:dyDescent="0.3">
      <c r="D60" s="86">
        <v>1</v>
      </c>
      <c r="E60" s="86" t="s">
        <v>40</v>
      </c>
      <c r="F60" s="88">
        <f t="shared" ref="F60:AJ60" si="52">(F22/F$39*$D60*F$40)</f>
        <v>5.5348887853966591E-4</v>
      </c>
      <c r="G60" s="88">
        <f t="shared" si="52"/>
        <v>1.0661729326804804E-3</v>
      </c>
      <c r="H60" s="88">
        <f t="shared" si="52"/>
        <v>1.9377358176603345E-3</v>
      </c>
      <c r="I60" s="88">
        <f t="shared" si="52"/>
        <v>1.5706254403385985E-3</v>
      </c>
      <c r="J60" s="88">
        <f t="shared" si="52"/>
        <v>2.642439205476048E-3</v>
      </c>
      <c r="K60" s="88">
        <f t="shared" si="52"/>
        <v>1.340066916574769E-3</v>
      </c>
      <c r="L60" s="88">
        <f t="shared" si="52"/>
        <v>6.3232979480500094E-4</v>
      </c>
      <c r="M60" s="88">
        <f t="shared" si="52"/>
        <v>0</v>
      </c>
      <c r="N60" s="88">
        <f t="shared" si="52"/>
        <v>0</v>
      </c>
      <c r="O60" s="88">
        <f t="shared" si="52"/>
        <v>1.3904471791862079E-3</v>
      </c>
      <c r="P60" s="88">
        <f t="shared" si="52"/>
        <v>1.47140699841217E-3</v>
      </c>
      <c r="Q60" s="88">
        <f t="shared" si="52"/>
        <v>0</v>
      </c>
      <c r="R60" s="88">
        <f t="shared" si="52"/>
        <v>1.7346173311098622E-2</v>
      </c>
      <c r="S60" s="88">
        <f t="shared" si="52"/>
        <v>1.9298267534438536E-2</v>
      </c>
      <c r="T60" s="88">
        <f t="shared" si="52"/>
        <v>1.1241034074791411E-2</v>
      </c>
      <c r="U60" s="88">
        <f t="shared" si="52"/>
        <v>4.8829644612688877E-2</v>
      </c>
      <c r="V60" s="88">
        <f t="shared" si="52"/>
        <v>0.16304394968726243</v>
      </c>
      <c r="W60" s="88">
        <f t="shared" si="52"/>
        <v>0.12348680896264543</v>
      </c>
      <c r="X60" s="88">
        <f t="shared" si="52"/>
        <v>0.10463864391249562</v>
      </c>
      <c r="Y60" s="88">
        <f t="shared" si="52"/>
        <v>5.7707660870626358E-3</v>
      </c>
      <c r="Z60" s="88">
        <f t="shared" si="52"/>
        <v>3.2124299007549326E-3</v>
      </c>
      <c r="AA60" s="88">
        <f t="shared" si="52"/>
        <v>7.2572082983236846E-3</v>
      </c>
      <c r="AB60" s="88">
        <f t="shared" si="52"/>
        <v>1.1468205048422365E-4</v>
      </c>
      <c r="AC60" s="88">
        <f t="shared" si="52"/>
        <v>2.6210317793982979E-3</v>
      </c>
      <c r="AD60" s="88">
        <f t="shared" si="52"/>
        <v>2.0898903955208201E-2</v>
      </c>
      <c r="AE60" s="88">
        <f t="shared" si="52"/>
        <v>3.9311896753871567E-3</v>
      </c>
      <c r="AF60" s="88">
        <f t="shared" si="52"/>
        <v>2.886659782158606E-2</v>
      </c>
      <c r="AG60" s="88">
        <f t="shared" si="52"/>
        <v>2.2201002623212895E-2</v>
      </c>
      <c r="AH60" s="88">
        <f t="shared" si="52"/>
        <v>1.9348256241100582E-3</v>
      </c>
      <c r="AI60" s="88">
        <f t="shared" si="52"/>
        <v>1.8266067795687953E-2</v>
      </c>
      <c r="AJ60" s="88">
        <f t="shared" si="52"/>
        <v>0</v>
      </c>
      <c r="BD60" s="62" t="s">
        <v>180</v>
      </c>
      <c r="BF60" s="210"/>
      <c r="BG60" s="63" t="s">
        <v>177</v>
      </c>
      <c r="BH60" s="64">
        <f>BI60-BP60</f>
        <v>2775.8665113840671</v>
      </c>
      <c r="BI60" s="64">
        <f>BP37</f>
        <v>-8932.4247187484307</v>
      </c>
      <c r="BJ60" s="61"/>
      <c r="BL60" s="210"/>
      <c r="BM60" s="63" t="s">
        <v>177</v>
      </c>
      <c r="BN60" s="65">
        <f>BP37</f>
        <v>-8932.4247187484307</v>
      </c>
      <c r="BP60" s="65">
        <v>-11708.291230132498</v>
      </c>
      <c r="BR60" s="65">
        <v>-5852.804541558191</v>
      </c>
      <c r="BS60" s="65">
        <v>-11053.340134728636</v>
      </c>
      <c r="BT60" s="65">
        <v>-9381.2757087127284</v>
      </c>
    </row>
    <row r="61" spans="4:72" x14ac:dyDescent="0.3">
      <c r="D61" s="86">
        <f>Y40</f>
        <v>1</v>
      </c>
      <c r="E61" s="86" t="s">
        <v>41</v>
      </c>
      <c r="F61" s="88">
        <f t="shared" ref="F61:AJ61" si="53">(F23/F$39*$D61*F$40)</f>
        <v>3.9232942921136313E-2</v>
      </c>
      <c r="G61" s="88">
        <f t="shared" si="53"/>
        <v>8.3650001340475812E-3</v>
      </c>
      <c r="H61" s="88">
        <f t="shared" si="53"/>
        <v>1.5203125006865275E-2</v>
      </c>
      <c r="I61" s="88">
        <f t="shared" si="53"/>
        <v>1.2322843336436779E-2</v>
      </c>
      <c r="J61" s="88">
        <f t="shared" si="53"/>
        <v>2.0732100422440607E-2</v>
      </c>
      <c r="K61" s="88">
        <f t="shared" si="53"/>
        <v>1.0513922829196488E-2</v>
      </c>
      <c r="L61" s="88">
        <f t="shared" si="53"/>
        <v>6.0230639292823636E-2</v>
      </c>
      <c r="M61" s="88">
        <f t="shared" si="53"/>
        <v>5.9186888495425763E-2</v>
      </c>
      <c r="N61" s="88">
        <f t="shared" si="53"/>
        <v>8.6093988230710294E-2</v>
      </c>
      <c r="O61" s="88">
        <f t="shared" si="53"/>
        <v>3.3863150828545928E-2</v>
      </c>
      <c r="P61" s="88">
        <f t="shared" si="53"/>
        <v>3.5834857924320063E-2</v>
      </c>
      <c r="Q61" s="88">
        <f t="shared" si="53"/>
        <v>9.0484135999000195E-2</v>
      </c>
      <c r="R61" s="88">
        <f t="shared" si="53"/>
        <v>6.5710001078495173E-2</v>
      </c>
      <c r="S61" s="88">
        <f t="shared" si="53"/>
        <v>7.5950724616671199E-3</v>
      </c>
      <c r="T61" s="88">
        <f t="shared" si="53"/>
        <v>4.4240483343778005E-3</v>
      </c>
      <c r="U61" s="88">
        <f t="shared" si="53"/>
        <v>2.2409282815999521E-2</v>
      </c>
      <c r="V61" s="88">
        <f t="shared" si="53"/>
        <v>5.0937957576674769E-2</v>
      </c>
      <c r="W61" s="88">
        <f t="shared" si="53"/>
        <v>6.5240584693769615E-2</v>
      </c>
      <c r="X61" s="88">
        <f t="shared" si="53"/>
        <v>6.0287448145264329E-2</v>
      </c>
      <c r="Y61" s="88">
        <f t="shared" si="53"/>
        <v>1.9975026998016725E-2</v>
      </c>
      <c r="Z61" s="88">
        <f t="shared" si="53"/>
        <v>6.8250770489392987E-2</v>
      </c>
      <c r="AA61" s="88">
        <f t="shared" si="53"/>
        <v>7.7234528431573524E-2</v>
      </c>
      <c r="AB61" s="88">
        <f t="shared" si="53"/>
        <v>2.4690216091862203E-2</v>
      </c>
      <c r="AC61" s="88">
        <f t="shared" si="53"/>
        <v>4.0606611859486073E-3</v>
      </c>
      <c r="AD61" s="88">
        <f t="shared" si="53"/>
        <v>1.0282047457218816E-3</v>
      </c>
      <c r="AE61" s="88">
        <f t="shared" si="53"/>
        <v>7.7792360700610465E-3</v>
      </c>
      <c r="AF61" s="88">
        <f t="shared" si="53"/>
        <v>1.2221614294813606E-2</v>
      </c>
      <c r="AG61" s="88">
        <f t="shared" si="53"/>
        <v>6.4125072721122047E-3</v>
      </c>
      <c r="AH61" s="88">
        <f t="shared" si="53"/>
        <v>2.4031034774406497E-2</v>
      </c>
      <c r="AI61" s="88">
        <f t="shared" si="53"/>
        <v>1.6990815572495356E-2</v>
      </c>
      <c r="AJ61" s="88">
        <f t="shared" si="53"/>
        <v>0</v>
      </c>
      <c r="BD61" s="15" t="s">
        <v>64</v>
      </c>
      <c r="BF61" s="44"/>
      <c r="BG61" s="44"/>
      <c r="BH61" s="44"/>
      <c r="BI61" s="44"/>
      <c r="BJ61" s="44"/>
      <c r="BK61" s="44"/>
      <c r="BL61" s="44"/>
      <c r="BM61" s="44"/>
      <c r="BN61" s="44"/>
    </row>
    <row r="62" spans="4:72" x14ac:dyDescent="0.3">
      <c r="D62" s="86">
        <v>1</v>
      </c>
      <c r="E62" s="86" t="s">
        <v>42</v>
      </c>
      <c r="F62" s="88">
        <f t="shared" ref="F62:AJ62" si="54">(F24/F$39*$D62*F$40)</f>
        <v>2.2341185547625195E-2</v>
      </c>
      <c r="G62" s="88">
        <f t="shared" si="54"/>
        <v>4.7376832972887382E-2</v>
      </c>
      <c r="H62" s="88">
        <f t="shared" si="54"/>
        <v>8.610590586657442E-2</v>
      </c>
      <c r="I62" s="88">
        <f t="shared" si="54"/>
        <v>6.9792860866211531E-2</v>
      </c>
      <c r="J62" s="88">
        <f t="shared" si="54"/>
        <v>0.11742035184114555</v>
      </c>
      <c r="K62" s="88">
        <f t="shared" si="54"/>
        <v>5.9547681743747388E-2</v>
      </c>
      <c r="L62" s="88">
        <f t="shared" si="54"/>
        <v>2.3387916917643619E-2</v>
      </c>
      <c r="M62" s="88">
        <f t="shared" si="54"/>
        <v>4.2157362574609246E-2</v>
      </c>
      <c r="N62" s="88">
        <f t="shared" si="54"/>
        <v>2.4155618990388459E-2</v>
      </c>
      <c r="O62" s="88">
        <f t="shared" si="54"/>
        <v>2.5953200042355958E-2</v>
      </c>
      <c r="P62" s="88">
        <f t="shared" si="54"/>
        <v>2.7464344381541952E-2</v>
      </c>
      <c r="Q62" s="88">
        <f t="shared" si="54"/>
        <v>1.6894143720836918E-2</v>
      </c>
      <c r="R62" s="88">
        <f t="shared" si="54"/>
        <v>2.0626999827288089E-2</v>
      </c>
      <c r="S62" s="88">
        <f t="shared" si="54"/>
        <v>4.3801324125763597E-2</v>
      </c>
      <c r="T62" s="88">
        <f t="shared" si="54"/>
        <v>2.5513802010467195E-2</v>
      </c>
      <c r="U62" s="88">
        <f t="shared" si="54"/>
        <v>2.4474700858065808E-2</v>
      </c>
      <c r="V62" s="88">
        <f t="shared" si="54"/>
        <v>1.151707369861913E-2</v>
      </c>
      <c r="W62" s="88">
        <f t="shared" si="54"/>
        <v>2.5380271228417364E-2</v>
      </c>
      <c r="X62" s="88">
        <f t="shared" si="54"/>
        <v>8.7684921518696359E-3</v>
      </c>
      <c r="Y62" s="88">
        <f t="shared" si="54"/>
        <v>8.7957221655232037E-2</v>
      </c>
      <c r="Z62" s="88">
        <f t="shared" si="54"/>
        <v>0.1401797540031697</v>
      </c>
      <c r="AA62" s="88">
        <f t="shared" si="54"/>
        <v>3.0544266390041763E-2</v>
      </c>
      <c r="AB62" s="88">
        <f t="shared" si="54"/>
        <v>1.6128297908938598E-2</v>
      </c>
      <c r="AC62" s="88">
        <f t="shared" si="54"/>
        <v>1.0409461869462152E-2</v>
      </c>
      <c r="AD62" s="88">
        <f t="shared" si="54"/>
        <v>3.3034556053563716E-3</v>
      </c>
      <c r="AE62" s="88">
        <f t="shared" si="54"/>
        <v>2.2804711213851976E-2</v>
      </c>
      <c r="AF62" s="88">
        <f t="shared" si="54"/>
        <v>1.4505243221093625E-2</v>
      </c>
      <c r="AG62" s="88">
        <f t="shared" si="54"/>
        <v>1.0254475272093402E-2</v>
      </c>
      <c r="AH62" s="88">
        <f t="shared" si="54"/>
        <v>4.5555409731192356E-3</v>
      </c>
      <c r="AI62" s="88">
        <f t="shared" si="54"/>
        <v>9.7365678877795545E-3</v>
      </c>
      <c r="AJ62" s="88">
        <f t="shared" si="54"/>
        <v>0</v>
      </c>
    </row>
    <row r="63" spans="4:72" ht="17" thickBot="1" x14ac:dyDescent="0.35">
      <c r="D63" s="84">
        <f>AA40</f>
        <v>1.2350000000000001</v>
      </c>
      <c r="E63" s="84" t="s">
        <v>43</v>
      </c>
      <c r="F63" s="88">
        <f t="shared" ref="F63:AJ63" si="55">(F25/F$39*$D63*F$40)</f>
        <v>2.3089873991979392E-3</v>
      </c>
      <c r="G63" s="88">
        <f t="shared" si="55"/>
        <v>1.34008845765994E-3</v>
      </c>
      <c r="H63" s="88">
        <f t="shared" si="55"/>
        <v>2.4355686808821592E-3</v>
      </c>
      <c r="I63" s="88">
        <f t="shared" si="55"/>
        <v>1.9741422422094013E-3</v>
      </c>
      <c r="J63" s="88">
        <f t="shared" si="55"/>
        <v>3.321320745241412E-3</v>
      </c>
      <c r="K63" s="88">
        <f t="shared" si="55"/>
        <v>1.6843498388942656E-3</v>
      </c>
      <c r="L63" s="88">
        <f t="shared" si="55"/>
        <v>4.1099211949498574E-3</v>
      </c>
      <c r="M63" s="88">
        <f t="shared" si="55"/>
        <v>3.5486098730494278E-3</v>
      </c>
      <c r="N63" s="88">
        <f t="shared" si="55"/>
        <v>2.6287088204051496E-3</v>
      </c>
      <c r="O63" s="88">
        <f t="shared" si="55"/>
        <v>1.473170823422597E-3</v>
      </c>
      <c r="P63" s="88">
        <f t="shared" si="55"/>
        <v>1.5589472882452736E-3</v>
      </c>
      <c r="Q63" s="88">
        <f t="shared" si="55"/>
        <v>2.7291211548100226E-3</v>
      </c>
      <c r="R63" s="88">
        <f t="shared" si="55"/>
        <v>2.2057505108415772E-3</v>
      </c>
      <c r="S63" s="88">
        <f t="shared" si="55"/>
        <v>1.5719132057993462E-3</v>
      </c>
      <c r="T63" s="88">
        <f t="shared" si="55"/>
        <v>9.1562260070611825E-4</v>
      </c>
      <c r="U63" s="88">
        <f t="shared" si="55"/>
        <v>3.6122821299181865E-3</v>
      </c>
      <c r="V63" s="88">
        <f t="shared" si="55"/>
        <v>9.960393279908027E-4</v>
      </c>
      <c r="W63" s="88">
        <f t="shared" si="55"/>
        <v>1.3057968443837486E-3</v>
      </c>
      <c r="X63" s="88">
        <f t="shared" si="55"/>
        <v>1.0771648504576577E-3</v>
      </c>
      <c r="Y63" s="88">
        <f t="shared" si="55"/>
        <v>7.6366301434014419E-3</v>
      </c>
      <c r="Z63" s="88">
        <f t="shared" si="55"/>
        <v>7.2337858308045939E-3</v>
      </c>
      <c r="AA63" s="88">
        <f t="shared" si="55"/>
        <v>1.2191978279789061E-2</v>
      </c>
      <c r="AB63" s="88">
        <f t="shared" si="55"/>
        <v>8.860477205836978E-3</v>
      </c>
      <c r="AC63" s="88">
        <f t="shared" si="55"/>
        <v>9.4095428185332498E-3</v>
      </c>
      <c r="AD63" s="88">
        <f t="shared" si="55"/>
        <v>1.0290019715658094E-3</v>
      </c>
      <c r="AE63" s="88">
        <f t="shared" si="55"/>
        <v>8.0201458166529078E-3</v>
      </c>
      <c r="AF63" s="88">
        <f t="shared" si="55"/>
        <v>1.0472687750623608E-2</v>
      </c>
      <c r="AG63" s="88">
        <f t="shared" si="55"/>
        <v>6.2180869348671891E-3</v>
      </c>
      <c r="AH63" s="88">
        <f t="shared" si="55"/>
        <v>2.9785995606533937E-3</v>
      </c>
      <c r="AI63" s="88">
        <f t="shared" si="55"/>
        <v>3.6223157210188685E-2</v>
      </c>
      <c r="AJ63" s="88">
        <f t="shared" si="55"/>
        <v>0</v>
      </c>
      <c r="BF63" s="7" t="s">
        <v>178</v>
      </c>
      <c r="BG63" s="42"/>
      <c r="BH63" s="43"/>
      <c r="BL63" s="7" t="s">
        <v>179</v>
      </c>
    </row>
    <row r="64" spans="4:72" x14ac:dyDescent="0.3">
      <c r="D64" s="86">
        <v>1</v>
      </c>
      <c r="E64" s="86" t="s">
        <v>44</v>
      </c>
      <c r="F64" s="88">
        <f t="shared" ref="F64:AJ64" si="56">(F26/F$39*$D64*F$40)</f>
        <v>2.1274792931351536E-3</v>
      </c>
      <c r="G64" s="88">
        <f t="shared" si="56"/>
        <v>2.7434658489724015E-3</v>
      </c>
      <c r="H64" s="88">
        <f t="shared" si="56"/>
        <v>4.9861630108320497E-3</v>
      </c>
      <c r="I64" s="88">
        <f t="shared" si="56"/>
        <v>4.0415181487143698E-3</v>
      </c>
      <c r="J64" s="88">
        <f t="shared" si="56"/>
        <v>6.7994989330514895E-3</v>
      </c>
      <c r="K64" s="88">
        <f t="shared" si="56"/>
        <v>3.4482471916799351E-3</v>
      </c>
      <c r="L64" s="88">
        <f t="shared" si="56"/>
        <v>4.437393662789676E-3</v>
      </c>
      <c r="M64" s="88">
        <f t="shared" si="56"/>
        <v>9.5248240063284875E-3</v>
      </c>
      <c r="N64" s="88">
        <f t="shared" si="56"/>
        <v>1.1763783466339694E-2</v>
      </c>
      <c r="O64" s="88">
        <f t="shared" si="56"/>
        <v>2.5475263646800605E-3</v>
      </c>
      <c r="P64" s="88">
        <f t="shared" si="56"/>
        <v>2.6958579784552641E-3</v>
      </c>
      <c r="Q64" s="88">
        <f t="shared" si="56"/>
        <v>7.2215484285716282E-3</v>
      </c>
      <c r="R64" s="88">
        <f t="shared" si="56"/>
        <v>5.8708699251656454E-3</v>
      </c>
      <c r="S64" s="88">
        <f t="shared" si="56"/>
        <v>1.108228491765623E-2</v>
      </c>
      <c r="T64" s="88">
        <f t="shared" si="56"/>
        <v>6.4553122275670142E-3</v>
      </c>
      <c r="U64" s="88">
        <f t="shared" si="56"/>
        <v>1.5644169024754073E-2</v>
      </c>
      <c r="V64" s="88">
        <f t="shared" si="56"/>
        <v>4.2376595391134461E-3</v>
      </c>
      <c r="W64" s="88">
        <f t="shared" si="56"/>
        <v>6.5611789001905349E-3</v>
      </c>
      <c r="X64" s="88">
        <f t="shared" si="56"/>
        <v>4.4177946507904632E-3</v>
      </c>
      <c r="Y64" s="88">
        <f t="shared" si="56"/>
        <v>3.5007929577612333E-2</v>
      </c>
      <c r="Z64" s="88">
        <f t="shared" si="56"/>
        <v>7.6077785544557894E-3</v>
      </c>
      <c r="AA64" s="88">
        <f t="shared" si="56"/>
        <v>1.3201061386683359E-2</v>
      </c>
      <c r="AB64" s="88">
        <f t="shared" si="56"/>
        <v>0.13067444174455287</v>
      </c>
      <c r="AC64" s="88">
        <f t="shared" si="56"/>
        <v>1.636306900715765E-2</v>
      </c>
      <c r="AD64" s="88">
        <f t="shared" si="56"/>
        <v>5.7812612986081532E-3</v>
      </c>
      <c r="AE64" s="88">
        <f t="shared" si="56"/>
        <v>3.6093190087111302E-2</v>
      </c>
      <c r="AF64" s="88">
        <f t="shared" si="56"/>
        <v>4.0543129080835433E-2</v>
      </c>
      <c r="AG64" s="88">
        <f t="shared" si="56"/>
        <v>2.5041861957684829E-2</v>
      </c>
      <c r="AH64" s="88">
        <f t="shared" si="56"/>
        <v>1.1958962409802052E-2</v>
      </c>
      <c r="AI64" s="88">
        <f t="shared" si="56"/>
        <v>2.6265378094707876E-2</v>
      </c>
      <c r="AJ64" s="88">
        <f t="shared" si="56"/>
        <v>0</v>
      </c>
      <c r="BD64" s="62" t="s">
        <v>181</v>
      </c>
      <c r="BF64" s="206" t="s">
        <v>154</v>
      </c>
      <c r="BG64" s="44" t="s">
        <v>152</v>
      </c>
      <c r="BH64" s="45">
        <f>VLOOKUP(BD61,$AS$3:$BB$32,10,0)</f>
        <v>0.23370087190395528</v>
      </c>
      <c r="BI64" s="45"/>
      <c r="BJ64" s="73"/>
      <c r="BL64" s="206" t="s">
        <v>154</v>
      </c>
      <c r="BM64" s="44" t="s">
        <v>152</v>
      </c>
      <c r="BN64" s="45">
        <f>BP52</f>
        <v>-0.5</v>
      </c>
    </row>
    <row r="65" spans="3:74" x14ac:dyDescent="0.3">
      <c r="D65" s="86">
        <v>1</v>
      </c>
      <c r="E65" s="86" t="s">
        <v>45</v>
      </c>
      <c r="F65" s="88">
        <f t="shared" ref="F65:AJ65" si="57">(F27/F$39*$D65*F$40)</f>
        <v>8.9852993809933467E-3</v>
      </c>
      <c r="G65" s="88">
        <f t="shared" si="57"/>
        <v>4.273711842258731E-3</v>
      </c>
      <c r="H65" s="88">
        <f t="shared" si="57"/>
        <v>7.7673370400462927E-3</v>
      </c>
      <c r="I65" s="88">
        <f t="shared" si="57"/>
        <v>6.2957896776202719E-3</v>
      </c>
      <c r="J65" s="88">
        <f t="shared" si="57"/>
        <v>1.059211257267598E-2</v>
      </c>
      <c r="K65" s="88">
        <f t="shared" si="57"/>
        <v>5.3716049950604649E-3</v>
      </c>
      <c r="L65" s="88">
        <f t="shared" si="57"/>
        <v>1.2855023959952768E-2</v>
      </c>
      <c r="M65" s="88">
        <f t="shared" si="57"/>
        <v>1.8990234972972374E-2</v>
      </c>
      <c r="N65" s="88">
        <f t="shared" si="57"/>
        <v>1.8925902970063396E-2</v>
      </c>
      <c r="O65" s="88">
        <f t="shared" si="57"/>
        <v>7.3851279076905842E-3</v>
      </c>
      <c r="P65" s="88">
        <f t="shared" si="57"/>
        <v>7.8151324625685154E-3</v>
      </c>
      <c r="Q65" s="88">
        <f t="shared" si="57"/>
        <v>1.4406902553241981E-2</v>
      </c>
      <c r="R65" s="88">
        <f t="shared" si="57"/>
        <v>7.7613810843147474E-3</v>
      </c>
      <c r="S65" s="88">
        <f t="shared" si="57"/>
        <v>1.6195833709641748E-2</v>
      </c>
      <c r="T65" s="88">
        <f t="shared" si="57"/>
        <v>9.4338996117060044E-3</v>
      </c>
      <c r="U65" s="88">
        <f t="shared" si="57"/>
        <v>9.7918744868156406E-3</v>
      </c>
      <c r="V65" s="88">
        <f t="shared" si="57"/>
        <v>1.715313878511655E-2</v>
      </c>
      <c r="W65" s="88">
        <f t="shared" si="57"/>
        <v>2.4402182363122187E-2</v>
      </c>
      <c r="X65" s="88">
        <f t="shared" si="57"/>
        <v>8.5234857091394486E-2</v>
      </c>
      <c r="Y65" s="88">
        <f t="shared" si="57"/>
        <v>2.6786743042246937E-2</v>
      </c>
      <c r="Z65" s="88">
        <f t="shared" si="57"/>
        <v>3.1323117960457551E-2</v>
      </c>
      <c r="AA65" s="88">
        <f t="shared" si="57"/>
        <v>6.7076094193099269E-3</v>
      </c>
      <c r="AB65" s="88">
        <f t="shared" si="57"/>
        <v>1.3878350836775724E-2</v>
      </c>
      <c r="AC65" s="88">
        <f t="shared" si="57"/>
        <v>0.23713631938556087</v>
      </c>
      <c r="AD65" s="88">
        <f t="shared" si="57"/>
        <v>2.2083234442112701E-2</v>
      </c>
      <c r="AE65" s="88">
        <f t="shared" si="57"/>
        <v>1.5134557815653317E-2</v>
      </c>
      <c r="AF65" s="88">
        <f t="shared" si="57"/>
        <v>4.2576454924557951E-2</v>
      </c>
      <c r="AG65" s="88">
        <f t="shared" si="57"/>
        <v>9.4166537634094473E-3</v>
      </c>
      <c r="AH65" s="88">
        <f t="shared" si="57"/>
        <v>1.1466447275977825E-2</v>
      </c>
      <c r="AI65" s="88">
        <f t="shared" si="57"/>
        <v>1.9030839683121536E-2</v>
      </c>
      <c r="AJ65" s="88">
        <f t="shared" si="57"/>
        <v>0</v>
      </c>
      <c r="BC65" s="7">
        <v>1E-3</v>
      </c>
      <c r="BD65" s="66">
        <v>0.23500000000000013</v>
      </c>
      <c r="BF65" s="207"/>
      <c r="BG65" s="44" t="s">
        <v>171</v>
      </c>
      <c r="BH65" s="49">
        <f>-BN65+BI65</f>
        <v>3.0056553280742908E-2</v>
      </c>
      <c r="BI65" s="49">
        <f>BB37</f>
        <v>-5.6682468098467269E-2</v>
      </c>
      <c r="BJ65" s="73"/>
      <c r="BL65" s="207"/>
      <c r="BM65" s="44" t="s">
        <v>171</v>
      </c>
      <c r="BN65" s="49">
        <f t="shared" ref="BN65:BN72" si="58">BP53</f>
        <v>-8.6739021379210177E-2</v>
      </c>
      <c r="BV65" s="7" t="s">
        <v>53</v>
      </c>
    </row>
    <row r="66" spans="3:74" x14ac:dyDescent="0.3">
      <c r="D66" s="86">
        <v>1</v>
      </c>
      <c r="E66" s="86" t="s">
        <v>46</v>
      </c>
      <c r="F66" s="88">
        <f t="shared" ref="F66:AJ66" si="59">(F28/F$39*$D66*F$40)</f>
        <v>3.5685850981139475E-4</v>
      </c>
      <c r="G66" s="88">
        <f t="shared" si="59"/>
        <v>1.7098923393971618E-3</v>
      </c>
      <c r="H66" s="88">
        <f t="shared" si="59"/>
        <v>3.1076756207483506E-3</v>
      </c>
      <c r="I66" s="88">
        <f t="shared" si="59"/>
        <v>2.5189163279031642E-3</v>
      </c>
      <c r="J66" s="88">
        <f t="shared" si="59"/>
        <v>4.2378552449336051E-3</v>
      </c>
      <c r="K66" s="88">
        <f t="shared" si="59"/>
        <v>2.1491543113648618E-3</v>
      </c>
      <c r="L66" s="88">
        <f t="shared" si="59"/>
        <v>1.1744880831117911E-3</v>
      </c>
      <c r="M66" s="88">
        <f t="shared" si="59"/>
        <v>1.8976584742903629E-2</v>
      </c>
      <c r="N66" s="88">
        <f t="shared" si="59"/>
        <v>2.3271453374928337E-3</v>
      </c>
      <c r="O66" s="88">
        <f t="shared" si="59"/>
        <v>2.5136463835650894E-3</v>
      </c>
      <c r="P66" s="88">
        <f t="shared" si="59"/>
        <v>2.6600053102885982E-3</v>
      </c>
      <c r="Q66" s="88">
        <f t="shared" si="59"/>
        <v>5.7920340538438527E-3</v>
      </c>
      <c r="R66" s="88">
        <f t="shared" si="59"/>
        <v>4.3580911807596526E-3</v>
      </c>
      <c r="S66" s="88">
        <f t="shared" si="59"/>
        <v>2.4996345540880542E-3</v>
      </c>
      <c r="T66" s="88">
        <f t="shared" si="59"/>
        <v>1.4560103463633193E-3</v>
      </c>
      <c r="U66" s="88">
        <f t="shared" si="59"/>
        <v>2.3406430463558541E-2</v>
      </c>
      <c r="V66" s="88">
        <f t="shared" si="59"/>
        <v>1.9620856720779664E-4</v>
      </c>
      <c r="W66" s="88">
        <f t="shared" si="59"/>
        <v>2.7309041305444918E-4</v>
      </c>
      <c r="X66" s="88">
        <f t="shared" si="59"/>
        <v>6.0448623291006502E-3</v>
      </c>
      <c r="Y66" s="88">
        <f t="shared" si="59"/>
        <v>4.2323285280405069E-2</v>
      </c>
      <c r="Z66" s="88">
        <f t="shared" si="59"/>
        <v>1.0767623322768947E-2</v>
      </c>
      <c r="AA66" s="88">
        <f t="shared" si="59"/>
        <v>4.2207404343822162E-2</v>
      </c>
      <c r="AB66" s="88">
        <f t="shared" si="59"/>
        <v>2.2379401370809716E-2</v>
      </c>
      <c r="AC66" s="88">
        <f t="shared" si="59"/>
        <v>2.54251183513493E-2</v>
      </c>
      <c r="AD66" s="88">
        <f t="shared" si="59"/>
        <v>4.1327821426113036E-3</v>
      </c>
      <c r="AE66" s="88">
        <f t="shared" si="59"/>
        <v>2.7380254460303892E-2</v>
      </c>
      <c r="AF66" s="88">
        <f t="shared" si="59"/>
        <v>5.9319483183549208E-3</v>
      </c>
      <c r="AG66" s="88">
        <f t="shared" si="59"/>
        <v>2.0719655406206135E-2</v>
      </c>
      <c r="AH66" s="88">
        <f t="shared" si="59"/>
        <v>3.7680423317861468E-3</v>
      </c>
      <c r="AI66" s="88">
        <f t="shared" si="59"/>
        <v>3.8008590959620989E-2</v>
      </c>
      <c r="AJ66" s="88">
        <f t="shared" si="59"/>
        <v>0</v>
      </c>
      <c r="BF66" s="207"/>
      <c r="BG66" s="44" t="s">
        <v>151</v>
      </c>
      <c r="BH66" s="67">
        <f>-BN66</f>
        <v>4.1184426010751174E-2</v>
      </c>
      <c r="BI66" s="67">
        <f>BI37</f>
        <v>7.5371031498810918E-5</v>
      </c>
      <c r="BJ66" s="118"/>
      <c r="BL66" s="207"/>
      <c r="BM66" s="44" t="s">
        <v>151</v>
      </c>
      <c r="BN66" s="67">
        <f t="shared" si="58"/>
        <v>-4.1184426010751174E-2</v>
      </c>
      <c r="BV66" s="7" t="s">
        <v>54</v>
      </c>
    </row>
    <row r="67" spans="3:74" x14ac:dyDescent="0.3">
      <c r="D67" s="86">
        <v>1</v>
      </c>
      <c r="E67" s="86" t="s">
        <v>47</v>
      </c>
      <c r="F67" s="88">
        <f t="shared" ref="F67:AJ67" si="60">(F29/F$39*$D67*F$40)</f>
        <v>7.322871394435544E-3</v>
      </c>
      <c r="G67" s="88">
        <f t="shared" si="60"/>
        <v>1.5156590567092065E-2</v>
      </c>
      <c r="H67" s="88">
        <f t="shared" si="60"/>
        <v>2.7546627301472441E-2</v>
      </c>
      <c r="I67" s="88">
        <f t="shared" si="60"/>
        <v>2.2327828820059722E-2</v>
      </c>
      <c r="J67" s="88">
        <f t="shared" si="60"/>
        <v>3.756460880613554E-2</v>
      </c>
      <c r="K67" s="88">
        <f t="shared" si="60"/>
        <v>1.9050235627315646E-2</v>
      </c>
      <c r="L67" s="88">
        <f t="shared" si="60"/>
        <v>2.0844204451217249E-2</v>
      </c>
      <c r="M67" s="88">
        <f t="shared" si="60"/>
        <v>4.6153807229725965E-2</v>
      </c>
      <c r="N67" s="88">
        <f t="shared" si="60"/>
        <v>4.158979265106439E-2</v>
      </c>
      <c r="O67" s="88">
        <f t="shared" si="60"/>
        <v>1.115561361420319E-2</v>
      </c>
      <c r="P67" s="88">
        <f t="shared" si="60"/>
        <v>1.1805157498415439E-2</v>
      </c>
      <c r="Q67" s="88">
        <f t="shared" si="60"/>
        <v>1.8059369533219752E-2</v>
      </c>
      <c r="R67" s="88">
        <f t="shared" si="60"/>
        <v>1.0714581315275381E-2</v>
      </c>
      <c r="S67" s="88">
        <f t="shared" si="60"/>
        <v>2.79182319111758E-2</v>
      </c>
      <c r="T67" s="88">
        <f t="shared" si="60"/>
        <v>1.6262070968879161E-2</v>
      </c>
      <c r="U67" s="88">
        <f t="shared" si="60"/>
        <v>9.3180378708846642E-2</v>
      </c>
      <c r="V67" s="88">
        <f t="shared" si="60"/>
        <v>1.9834390143885466E-2</v>
      </c>
      <c r="W67" s="88">
        <f t="shared" si="60"/>
        <v>2.6672302407429269E-2</v>
      </c>
      <c r="X67" s="88">
        <f t="shared" si="60"/>
        <v>1.3594174099946258E-2</v>
      </c>
      <c r="Y67" s="88">
        <f t="shared" si="60"/>
        <v>5.8964637664340049E-2</v>
      </c>
      <c r="Z67" s="88">
        <f t="shared" si="60"/>
        <v>2.4764465373223549E-2</v>
      </c>
      <c r="AA67" s="88">
        <f t="shared" si="60"/>
        <v>3.7248470774280361E-2</v>
      </c>
      <c r="AB67" s="88">
        <f t="shared" si="60"/>
        <v>0.1537740933699426</v>
      </c>
      <c r="AC67" s="88">
        <f t="shared" si="60"/>
        <v>7.1450334260099224E-2</v>
      </c>
      <c r="AD67" s="88">
        <f t="shared" si="60"/>
        <v>3.1111436412960852E-2</v>
      </c>
      <c r="AE67" s="88">
        <f t="shared" si="60"/>
        <v>0.11114803382720161</v>
      </c>
      <c r="AF67" s="88">
        <f t="shared" si="60"/>
        <v>0.16122938808877982</v>
      </c>
      <c r="AG67" s="88">
        <f t="shared" si="60"/>
        <v>9.9453499330149964E-2</v>
      </c>
      <c r="AH67" s="88">
        <f t="shared" si="60"/>
        <v>3.7083724659635123E-2</v>
      </c>
      <c r="AI67" s="88">
        <f t="shared" si="60"/>
        <v>6.8442476530217233E-2</v>
      </c>
      <c r="AJ67" s="88">
        <f t="shared" si="60"/>
        <v>0</v>
      </c>
      <c r="BF67" s="207"/>
      <c r="BG67" s="44" t="s">
        <v>153</v>
      </c>
      <c r="BH67" s="50">
        <f>BI67-BN67</f>
        <v>2.7879065516762849E-2</v>
      </c>
      <c r="BI67" s="50">
        <f>BQ37</f>
        <v>-8.0909629138082376E-2</v>
      </c>
      <c r="BJ67" s="73"/>
      <c r="BL67" s="207"/>
      <c r="BM67" s="44" t="s">
        <v>153</v>
      </c>
      <c r="BN67" s="50">
        <f t="shared" si="58"/>
        <v>-0.10878869465484522</v>
      </c>
      <c r="BV67" s="9" t="s">
        <v>64</v>
      </c>
    </row>
    <row r="68" spans="3:74" ht="32.6" x14ac:dyDescent="0.3">
      <c r="D68" s="86">
        <v>1</v>
      </c>
      <c r="E68" s="86" t="s">
        <v>48</v>
      </c>
      <c r="F68" s="88">
        <f t="shared" ref="F68:AJ68" si="61">(F30/F$39*$D68*F$40)</f>
        <v>6.5332213560753878E-4</v>
      </c>
      <c r="G68" s="88">
        <f t="shared" si="61"/>
        <v>9.9734863741049082E-4</v>
      </c>
      <c r="H68" s="88">
        <f t="shared" si="61"/>
        <v>1.8126498227133434E-3</v>
      </c>
      <c r="I68" s="88">
        <f t="shared" si="61"/>
        <v>1.4692373955374118E-3</v>
      </c>
      <c r="J68" s="88">
        <f t="shared" si="61"/>
        <v>2.4718627346839665E-3</v>
      </c>
      <c r="K68" s="88">
        <f t="shared" si="61"/>
        <v>1.253562036999547E-3</v>
      </c>
      <c r="L68" s="88">
        <f t="shared" si="61"/>
        <v>1.0585617322212901E-3</v>
      </c>
      <c r="M68" s="88">
        <f t="shared" si="61"/>
        <v>2.0074081430321404E-3</v>
      </c>
      <c r="N68" s="88">
        <f t="shared" si="61"/>
        <v>2.0519177014452581E-3</v>
      </c>
      <c r="O68" s="88">
        <f t="shared" si="61"/>
        <v>1.1136298199002355E-3</v>
      </c>
      <c r="P68" s="88">
        <f t="shared" si="61"/>
        <v>1.1784717428825464E-3</v>
      </c>
      <c r="Q68" s="88">
        <f t="shared" si="61"/>
        <v>1.0377853364141165E-3</v>
      </c>
      <c r="R68" s="88">
        <f t="shared" si="61"/>
        <v>8.5334390371571967E-4</v>
      </c>
      <c r="S68" s="88">
        <f t="shared" si="61"/>
        <v>1.5006367918094382E-3</v>
      </c>
      <c r="T68" s="88">
        <f t="shared" si="61"/>
        <v>8.7410485322128877E-4</v>
      </c>
      <c r="U68" s="88">
        <f t="shared" si="61"/>
        <v>2.9454214062874205E-3</v>
      </c>
      <c r="V68" s="88">
        <f t="shared" si="61"/>
        <v>7.8456192302053189E-4</v>
      </c>
      <c r="W68" s="88">
        <f t="shared" si="61"/>
        <v>1.2095665178144196E-3</v>
      </c>
      <c r="X68" s="88">
        <f t="shared" si="61"/>
        <v>7.1628390699947939E-4</v>
      </c>
      <c r="Y68" s="88">
        <f t="shared" si="61"/>
        <v>3.0510357959174332E-3</v>
      </c>
      <c r="Z68" s="88">
        <f t="shared" si="61"/>
        <v>2.6829102504665379E-3</v>
      </c>
      <c r="AA68" s="88">
        <f t="shared" si="61"/>
        <v>1.7530127121213178E-3</v>
      </c>
      <c r="AB68" s="88">
        <f t="shared" si="61"/>
        <v>5.4353267672872059E-3</v>
      </c>
      <c r="AC68" s="88">
        <f t="shared" si="61"/>
        <v>2.1314728488153454E-3</v>
      </c>
      <c r="AD68" s="88">
        <f t="shared" si="61"/>
        <v>8.3336373578935257E-4</v>
      </c>
      <c r="AE68" s="88">
        <f t="shared" si="61"/>
        <v>3.4398199751955673E-3</v>
      </c>
      <c r="AF68" s="88">
        <f t="shared" si="61"/>
        <v>4.5289885465125482E-3</v>
      </c>
      <c r="AG68" s="88">
        <f t="shared" si="61"/>
        <v>2.8477814325335361E-3</v>
      </c>
      <c r="AH68" s="88">
        <f t="shared" si="61"/>
        <v>1.4081703649286845E-3</v>
      </c>
      <c r="AI68" s="88">
        <f t="shared" si="61"/>
        <v>2.30266711306076E-3</v>
      </c>
      <c r="AJ68" s="88">
        <f t="shared" si="61"/>
        <v>0</v>
      </c>
      <c r="BF68" s="208" t="s">
        <v>155</v>
      </c>
      <c r="BG68" s="51" t="s">
        <v>172</v>
      </c>
      <c r="BH68" s="52">
        <f>BH66/BH65</f>
        <v>1.3702311647669143</v>
      </c>
      <c r="BI68" s="52"/>
      <c r="BJ68" s="56"/>
      <c r="BL68" s="208" t="s">
        <v>155</v>
      </c>
      <c r="BM68" s="51" t="s">
        <v>172</v>
      </c>
      <c r="BN68" s="52">
        <f t="shared" si="58"/>
        <v>0.47480851588927842</v>
      </c>
    </row>
    <row r="69" spans="3:74" ht="48.9" x14ac:dyDescent="0.3">
      <c r="D69" s="86">
        <v>1</v>
      </c>
      <c r="E69" s="86" t="s">
        <v>49</v>
      </c>
      <c r="F69" s="88">
        <f t="shared" ref="F69:AJ69" si="62">(F31/F$39*$D69*F$40)</f>
        <v>2.2948443596601282E-4</v>
      </c>
      <c r="G69" s="88">
        <f t="shared" si="62"/>
        <v>5.2730620128472701E-4</v>
      </c>
      <c r="H69" s="88">
        <f t="shared" si="62"/>
        <v>9.58362458644447E-4</v>
      </c>
      <c r="I69" s="88">
        <f t="shared" si="62"/>
        <v>7.7679756182133367E-4</v>
      </c>
      <c r="J69" s="88">
        <f t="shared" si="62"/>
        <v>1.3068935975164035E-3</v>
      </c>
      <c r="K69" s="88">
        <f t="shared" si="62"/>
        <v>6.6276827481433177E-4</v>
      </c>
      <c r="L69" s="88">
        <f t="shared" si="62"/>
        <v>4.8921441180882974E-4</v>
      </c>
      <c r="M69" s="88">
        <f t="shared" si="62"/>
        <v>1.4110464406214638E-3</v>
      </c>
      <c r="N69" s="88">
        <f t="shared" si="62"/>
        <v>9.0611516959326975E-4</v>
      </c>
      <c r="O69" s="88">
        <f t="shared" si="62"/>
        <v>3.0536207113651356E-4</v>
      </c>
      <c r="P69" s="88">
        <f t="shared" si="62"/>
        <v>3.2314200441822713E-4</v>
      </c>
      <c r="Q69" s="88">
        <f t="shared" si="62"/>
        <v>3.9555237969725278E-4</v>
      </c>
      <c r="R69" s="88">
        <f t="shared" si="62"/>
        <v>3.1244442166343832E-4</v>
      </c>
      <c r="S69" s="88">
        <f t="shared" si="62"/>
        <v>1.6652260430518684E-3</v>
      </c>
      <c r="T69" s="88">
        <f t="shared" si="62"/>
        <v>9.6997632864046261E-4</v>
      </c>
      <c r="U69" s="88">
        <f t="shared" si="62"/>
        <v>4.9264911880415882E-3</v>
      </c>
      <c r="V69" s="88">
        <f t="shared" si="62"/>
        <v>2.2026484841575699E-4</v>
      </c>
      <c r="W69" s="88">
        <f t="shared" si="62"/>
        <v>4.4448429686815298E-4</v>
      </c>
      <c r="X69" s="88">
        <f t="shared" si="62"/>
        <v>1.7540920559737649E-4</v>
      </c>
      <c r="Y69" s="88">
        <f t="shared" si="62"/>
        <v>1.6064848035172846E-3</v>
      </c>
      <c r="Z69" s="88">
        <f t="shared" si="62"/>
        <v>2.1004880168056621E-3</v>
      </c>
      <c r="AA69" s="88">
        <f t="shared" si="62"/>
        <v>8.8268459451179223E-4</v>
      </c>
      <c r="AB69" s="88">
        <f t="shared" si="62"/>
        <v>3.4558238287488246E-3</v>
      </c>
      <c r="AC69" s="88">
        <f t="shared" si="62"/>
        <v>3.532365597024282E-3</v>
      </c>
      <c r="AD69" s="88">
        <f t="shared" si="62"/>
        <v>1.2770132630633782E-3</v>
      </c>
      <c r="AE69" s="88">
        <f t="shared" si="62"/>
        <v>2.2660107034167499E-3</v>
      </c>
      <c r="AF69" s="88">
        <f t="shared" si="62"/>
        <v>1.1421896209913369E-2</v>
      </c>
      <c r="AG69" s="88">
        <f t="shared" si="62"/>
        <v>1.0890033670105858E-2</v>
      </c>
      <c r="AH69" s="88">
        <f t="shared" si="62"/>
        <v>1.1808159576592321E-3</v>
      </c>
      <c r="AI69" s="88">
        <f t="shared" si="62"/>
        <v>1.8945820441858539E-3</v>
      </c>
      <c r="AJ69" s="88">
        <f t="shared" si="62"/>
        <v>0</v>
      </c>
      <c r="BF69" s="209"/>
      <c r="BG69" s="54" t="s">
        <v>173</v>
      </c>
      <c r="BH69" s="55">
        <f>BH67/BH65</f>
        <v>0.92755364383795913</v>
      </c>
      <c r="BI69" s="55"/>
      <c r="BJ69" s="56"/>
      <c r="BL69" s="209"/>
      <c r="BM69" s="54" t="s">
        <v>173</v>
      </c>
      <c r="BN69" s="55">
        <f t="shared" si="58"/>
        <v>1.2542070791787832</v>
      </c>
    </row>
    <row r="70" spans="3:74" ht="32.6" x14ac:dyDescent="0.3">
      <c r="D70" s="86">
        <v>1</v>
      </c>
      <c r="E70" s="86" t="s">
        <v>50</v>
      </c>
      <c r="F70" s="88">
        <f t="shared" ref="F70:AJ70" si="63">(F32/F$39*$D70*F$40)</f>
        <v>1.9374634175437514E-5</v>
      </c>
      <c r="G70" s="88">
        <f t="shared" si="63"/>
        <v>1.1440116114618734E-5</v>
      </c>
      <c r="H70" s="88">
        <f t="shared" si="63"/>
        <v>2.0792051715060165E-5</v>
      </c>
      <c r="I70" s="88">
        <f t="shared" si="63"/>
        <v>1.6852929632038023E-5</v>
      </c>
      <c r="J70" s="88">
        <f t="shared" si="63"/>
        <v>2.8353572305072193E-5</v>
      </c>
      <c r="K70" s="88">
        <f t="shared" si="63"/>
        <v>1.4379019253876365E-5</v>
      </c>
      <c r="L70" s="88">
        <f t="shared" si="63"/>
        <v>3.3938338721047514E-5</v>
      </c>
      <c r="M70" s="88">
        <f t="shared" si="63"/>
        <v>7.7886354303522386E-5</v>
      </c>
      <c r="N70" s="88">
        <f t="shared" si="63"/>
        <v>5.3415735183796866E-5</v>
      </c>
      <c r="O70" s="88">
        <f t="shared" si="63"/>
        <v>2.2539356179685154E-5</v>
      </c>
      <c r="P70" s="88">
        <f t="shared" si="63"/>
        <v>2.3851726925652565E-5</v>
      </c>
      <c r="Q70" s="88">
        <f t="shared" si="63"/>
        <v>5.514195713220391E-5</v>
      </c>
      <c r="R70" s="88">
        <f t="shared" si="63"/>
        <v>3.9394999515719983E-5</v>
      </c>
      <c r="S70" s="88">
        <f t="shared" si="63"/>
        <v>1.6166803783514998E-5</v>
      </c>
      <c r="T70" s="88">
        <f t="shared" si="63"/>
        <v>9.4169899907673806E-6</v>
      </c>
      <c r="U70" s="88">
        <f t="shared" si="63"/>
        <v>8.4688492117014253E-5</v>
      </c>
      <c r="V70" s="88">
        <f t="shared" si="63"/>
        <v>2.4366240157585889E-5</v>
      </c>
      <c r="W70" s="88">
        <f t="shared" si="63"/>
        <v>3.3313753174595999E-5</v>
      </c>
      <c r="X70" s="88">
        <f t="shared" si="63"/>
        <v>3.9594359928988483E-5</v>
      </c>
      <c r="Y70" s="88">
        <f t="shared" si="63"/>
        <v>1.1324738837822697E-4</v>
      </c>
      <c r="Z70" s="88">
        <f t="shared" si="63"/>
        <v>5.8099047967682995E-5</v>
      </c>
      <c r="AA70" s="88">
        <f t="shared" si="63"/>
        <v>1.3040632016717916E-4</v>
      </c>
      <c r="AB70" s="88">
        <f t="shared" si="63"/>
        <v>1.0247019110931479E-4</v>
      </c>
      <c r="AC70" s="88">
        <f t="shared" si="63"/>
        <v>7.4894134592003969E-5</v>
      </c>
      <c r="AD70" s="88">
        <f t="shared" si="63"/>
        <v>1.7854663361691734E-5</v>
      </c>
      <c r="AE70" s="88">
        <f t="shared" si="63"/>
        <v>9.3086421140589886E-5</v>
      </c>
      <c r="AF70" s="88">
        <f t="shared" si="63"/>
        <v>3.2869680330643961E-4</v>
      </c>
      <c r="AG70" s="88">
        <f t="shared" si="63"/>
        <v>6.9704643064079721E-4</v>
      </c>
      <c r="AH70" s="88">
        <f t="shared" si="63"/>
        <v>0.28851810320555055</v>
      </c>
      <c r="AI70" s="88">
        <f t="shared" si="63"/>
        <v>1.0387702728554258E-4</v>
      </c>
      <c r="AJ70" s="88">
        <f t="shared" si="63"/>
        <v>0</v>
      </c>
      <c r="BF70" s="208" t="s">
        <v>174</v>
      </c>
      <c r="BG70" s="57" t="s">
        <v>175</v>
      </c>
      <c r="BH70" s="60">
        <f>BI70-BN70</f>
        <v>55828.394608549541</v>
      </c>
      <c r="BI70" s="60">
        <f>BA37</f>
        <v>-105284.56695715757</v>
      </c>
      <c r="BJ70" s="61"/>
      <c r="BL70" s="51" t="s">
        <v>174</v>
      </c>
      <c r="BM70" s="57" t="s">
        <v>175</v>
      </c>
      <c r="BN70" s="60">
        <f t="shared" si="58"/>
        <v>-161112.96156570711</v>
      </c>
    </row>
    <row r="71" spans="3:74" x14ac:dyDescent="0.3">
      <c r="D71" s="86">
        <v>1</v>
      </c>
      <c r="E71" s="86" t="s">
        <v>51</v>
      </c>
      <c r="F71" s="88">
        <f t="shared" ref="F71:AJ71" si="64">(F33/F$39*$D71*F$40)</f>
        <v>7.436155746106428E-4</v>
      </c>
      <c r="G71" s="88">
        <f t="shared" si="64"/>
        <v>1.4558135563429184E-3</v>
      </c>
      <c r="H71" s="88">
        <f t="shared" si="64"/>
        <v>2.645895412922249E-3</v>
      </c>
      <c r="I71" s="88">
        <f t="shared" si="64"/>
        <v>2.1446218881522156E-3</v>
      </c>
      <c r="J71" s="88">
        <f t="shared" si="64"/>
        <v>3.608137760046579E-3</v>
      </c>
      <c r="K71" s="88">
        <f t="shared" si="64"/>
        <v>1.8298040812679884E-3</v>
      </c>
      <c r="L71" s="88">
        <f t="shared" si="64"/>
        <v>1.3191381035458846E-3</v>
      </c>
      <c r="M71" s="88">
        <f t="shared" si="64"/>
        <v>1.0763778016392695E-4</v>
      </c>
      <c r="N71" s="88">
        <f t="shared" si="64"/>
        <v>1.8182019147677847E-3</v>
      </c>
      <c r="O71" s="88">
        <f t="shared" si="64"/>
        <v>1.0788571191798369E-3</v>
      </c>
      <c r="P71" s="88">
        <f t="shared" si="64"/>
        <v>1.1416743758487038E-3</v>
      </c>
      <c r="Q71" s="88">
        <f t="shared" si="64"/>
        <v>3.4855955032853147E-3</v>
      </c>
      <c r="R71" s="88">
        <f t="shared" si="64"/>
        <v>1.8808497219176443E-3</v>
      </c>
      <c r="S71" s="88">
        <f t="shared" si="64"/>
        <v>1.911477163790044E-3</v>
      </c>
      <c r="T71" s="88">
        <f t="shared" si="64"/>
        <v>1.1134149681055643E-3</v>
      </c>
      <c r="U71" s="88">
        <f t="shared" si="64"/>
        <v>4.3559103898174675E-3</v>
      </c>
      <c r="V71" s="88">
        <f t="shared" si="64"/>
        <v>1.3327837796919385E-3</v>
      </c>
      <c r="W71" s="88">
        <f t="shared" si="64"/>
        <v>1.0140505658344438E-3</v>
      </c>
      <c r="X71" s="88">
        <f t="shared" si="64"/>
        <v>8.658062643904981E-4</v>
      </c>
      <c r="Y71" s="88">
        <f t="shared" si="64"/>
        <v>4.2732936232447842E-4</v>
      </c>
      <c r="Z71" s="88">
        <f t="shared" si="64"/>
        <v>3.9277122840474712E-3</v>
      </c>
      <c r="AA71" s="88">
        <f t="shared" si="64"/>
        <v>9.9777761209631378E-3</v>
      </c>
      <c r="AB71" s="88">
        <f t="shared" si="64"/>
        <v>8.1872960487773573E-3</v>
      </c>
      <c r="AC71" s="88">
        <f t="shared" si="64"/>
        <v>1.7111904949492374E-2</v>
      </c>
      <c r="AD71" s="88">
        <f t="shared" si="64"/>
        <v>6.988699233944197E-4</v>
      </c>
      <c r="AE71" s="88">
        <f t="shared" si="64"/>
        <v>1.4759822200739929E-3</v>
      </c>
      <c r="AF71" s="88">
        <f t="shared" si="64"/>
        <v>1.2544363818569694E-2</v>
      </c>
      <c r="AG71" s="88">
        <f t="shared" si="64"/>
        <v>2.6651042459272778E-3</v>
      </c>
      <c r="AH71" s="88">
        <f t="shared" si="64"/>
        <v>1.8899210333913363E-3</v>
      </c>
      <c r="AI71" s="88">
        <f t="shared" si="64"/>
        <v>9.2289116615901598E-2</v>
      </c>
      <c r="AJ71" s="88">
        <f t="shared" si="64"/>
        <v>0</v>
      </c>
      <c r="BF71" s="209"/>
      <c r="BG71" s="44" t="s">
        <v>176</v>
      </c>
      <c r="BH71" s="68">
        <f>-BN71</f>
        <v>785466.48996722559</v>
      </c>
      <c r="BI71" s="68">
        <f>BH37</f>
        <v>1437.4710367731168</v>
      </c>
      <c r="BJ71" s="119"/>
      <c r="BL71" s="44"/>
      <c r="BM71" s="44" t="s">
        <v>176</v>
      </c>
      <c r="BN71" s="68">
        <f t="shared" si="58"/>
        <v>-785466.48996722559</v>
      </c>
    </row>
    <row r="72" spans="3:74" x14ac:dyDescent="0.3">
      <c r="D72" s="86">
        <v>1</v>
      </c>
      <c r="E72" s="86" t="s">
        <v>52</v>
      </c>
      <c r="F72" s="88">
        <f t="shared" ref="F72:AJ72" si="65">(F34/F$39*$D72*F$40)</f>
        <v>0</v>
      </c>
      <c r="G72" s="88">
        <f t="shared" si="65"/>
        <v>0</v>
      </c>
      <c r="H72" s="88">
        <f t="shared" si="65"/>
        <v>0</v>
      </c>
      <c r="I72" s="88">
        <f t="shared" si="65"/>
        <v>0</v>
      </c>
      <c r="J72" s="88">
        <f t="shared" si="65"/>
        <v>0</v>
      </c>
      <c r="K72" s="88">
        <f t="shared" si="65"/>
        <v>0</v>
      </c>
      <c r="L72" s="88">
        <f t="shared" si="65"/>
        <v>0</v>
      </c>
      <c r="M72" s="88">
        <f t="shared" si="65"/>
        <v>0</v>
      </c>
      <c r="N72" s="88">
        <f t="shared" si="65"/>
        <v>0</v>
      </c>
      <c r="O72" s="88">
        <f t="shared" si="65"/>
        <v>0</v>
      </c>
      <c r="P72" s="88">
        <f t="shared" si="65"/>
        <v>0</v>
      </c>
      <c r="Q72" s="88">
        <f t="shared" si="65"/>
        <v>0</v>
      </c>
      <c r="R72" s="88">
        <f t="shared" si="65"/>
        <v>0</v>
      </c>
      <c r="S72" s="88">
        <f t="shared" si="65"/>
        <v>0</v>
      </c>
      <c r="T72" s="88">
        <f t="shared" si="65"/>
        <v>0</v>
      </c>
      <c r="U72" s="88">
        <f t="shared" si="65"/>
        <v>0</v>
      </c>
      <c r="V72" s="88">
        <f t="shared" si="65"/>
        <v>0</v>
      </c>
      <c r="W72" s="88">
        <f t="shared" si="65"/>
        <v>0</v>
      </c>
      <c r="X72" s="88">
        <f t="shared" si="65"/>
        <v>0</v>
      </c>
      <c r="Y72" s="88">
        <f t="shared" si="65"/>
        <v>0</v>
      </c>
      <c r="Z72" s="88">
        <f t="shared" si="65"/>
        <v>0</v>
      </c>
      <c r="AA72" s="88">
        <f t="shared" si="65"/>
        <v>0</v>
      </c>
      <c r="AB72" s="88">
        <f t="shared" si="65"/>
        <v>0</v>
      </c>
      <c r="AC72" s="88">
        <f t="shared" si="65"/>
        <v>0</v>
      </c>
      <c r="AD72" s="88">
        <f t="shared" si="65"/>
        <v>0</v>
      </c>
      <c r="AE72" s="88">
        <f t="shared" si="65"/>
        <v>0</v>
      </c>
      <c r="AF72" s="88">
        <f t="shared" si="65"/>
        <v>0</v>
      </c>
      <c r="AG72" s="88">
        <f t="shared" si="65"/>
        <v>0</v>
      </c>
      <c r="AH72" s="88">
        <f t="shared" si="65"/>
        <v>0</v>
      </c>
      <c r="AI72" s="88">
        <f t="shared" si="65"/>
        <v>0</v>
      </c>
      <c r="AJ72" s="88">
        <f t="shared" si="65"/>
        <v>0</v>
      </c>
      <c r="BF72" s="211"/>
      <c r="BG72" s="63" t="s">
        <v>177</v>
      </c>
      <c r="BH72" s="64">
        <f>BI72-BN72</f>
        <v>2775.8665113840671</v>
      </c>
      <c r="BI72" s="64">
        <f>BP37</f>
        <v>-8932.4247187484307</v>
      </c>
      <c r="BJ72" s="61"/>
      <c r="BL72" s="111"/>
      <c r="BM72" s="63" t="s">
        <v>177</v>
      </c>
      <c r="BN72" s="64">
        <f t="shared" si="58"/>
        <v>-11708.291230132498</v>
      </c>
    </row>
    <row r="73" spans="3:74" x14ac:dyDescent="0.3">
      <c r="G73" s="9"/>
      <c r="H73" s="9"/>
      <c r="I73" s="9"/>
      <c r="J73" s="9"/>
      <c r="K73" s="9"/>
      <c r="BF73" s="69"/>
      <c r="BG73" s="69"/>
      <c r="BH73" s="69"/>
    </row>
    <row r="74" spans="3:74" ht="17" thickBot="1" x14ac:dyDescent="0.35">
      <c r="C74" s="8" t="s">
        <v>17</v>
      </c>
      <c r="D74" s="8"/>
      <c r="G74" s="9"/>
      <c r="H74" s="9"/>
      <c r="I74" s="9"/>
      <c r="J74" s="9"/>
      <c r="K74" s="9"/>
      <c r="BF74" s="70"/>
      <c r="BG74" s="71"/>
      <c r="BH74" s="71"/>
    </row>
    <row r="75" spans="3:74" ht="17" thickBot="1" x14ac:dyDescent="0.35">
      <c r="F75" s="84" t="s">
        <v>25</v>
      </c>
      <c r="G75" s="14" t="s">
        <v>26</v>
      </c>
      <c r="H75" s="85" t="s">
        <v>27</v>
      </c>
      <c r="I75" s="14" t="s">
        <v>28</v>
      </c>
      <c r="J75" s="14" t="s">
        <v>29</v>
      </c>
      <c r="K75" s="14" t="s">
        <v>30</v>
      </c>
      <c r="L75" s="84" t="s">
        <v>31</v>
      </c>
      <c r="M75" s="86" t="s">
        <v>32</v>
      </c>
      <c r="N75" s="86" t="s">
        <v>33</v>
      </c>
      <c r="O75" s="85" t="s">
        <v>193</v>
      </c>
      <c r="P75" s="86" t="s">
        <v>194</v>
      </c>
      <c r="Q75" s="86" t="s">
        <v>35</v>
      </c>
      <c r="R75" s="86" t="s">
        <v>36</v>
      </c>
      <c r="S75" s="86" t="s">
        <v>195</v>
      </c>
      <c r="T75" s="85" t="s">
        <v>196</v>
      </c>
      <c r="U75" s="86" t="s">
        <v>37</v>
      </c>
      <c r="V75" s="86" t="s">
        <v>38</v>
      </c>
      <c r="W75" s="86" t="s">
        <v>39</v>
      </c>
      <c r="X75" s="86" t="s">
        <v>40</v>
      </c>
      <c r="Y75" s="86" t="s">
        <v>41</v>
      </c>
      <c r="Z75" s="86" t="s">
        <v>42</v>
      </c>
      <c r="AA75" s="84" t="s">
        <v>43</v>
      </c>
      <c r="AB75" s="86" t="s">
        <v>44</v>
      </c>
      <c r="AC75" s="86" t="s">
        <v>45</v>
      </c>
      <c r="AD75" s="86" t="s">
        <v>46</v>
      </c>
      <c r="AE75" s="86" t="s">
        <v>47</v>
      </c>
      <c r="AF75" s="86" t="s">
        <v>48</v>
      </c>
      <c r="AG75" s="86" t="s">
        <v>49</v>
      </c>
      <c r="AH75" s="86" t="s">
        <v>50</v>
      </c>
      <c r="AI75" s="86" t="s">
        <v>51</v>
      </c>
      <c r="AJ75" s="86" t="s">
        <v>52</v>
      </c>
      <c r="BF75" s="7" t="s">
        <v>185</v>
      </c>
      <c r="BG75" s="42"/>
      <c r="BH75" s="43"/>
      <c r="BL75" s="7" t="s">
        <v>179</v>
      </c>
    </row>
    <row r="76" spans="3:74" x14ac:dyDescent="0.3">
      <c r="E76" s="84" t="s">
        <v>25</v>
      </c>
      <c r="F76" s="31">
        <f>IF($E76=F$75,1,0)-F42</f>
        <v>0.91024450483342501</v>
      </c>
      <c r="G76" s="31">
        <f t="shared" ref="G76:AJ76" si="66">IF($E76=G$75,1,0)-G42</f>
        <v>-9.4053681779708687E-5</v>
      </c>
      <c r="H76" s="31">
        <f t="shared" si="66"/>
        <v>-1.7093961249716632E-4</v>
      </c>
      <c r="I76" s="31">
        <f t="shared" si="66"/>
        <v>-1.3855454479540073E-4</v>
      </c>
      <c r="J76" s="31">
        <f t="shared" si="66"/>
        <v>-2.331058391524111E-4</v>
      </c>
      <c r="K76" s="31">
        <f t="shared" si="66"/>
        <v>-1.1821555722500315E-4</v>
      </c>
      <c r="L76" s="31">
        <f t="shared" si="66"/>
        <v>-0.36813496442904681</v>
      </c>
      <c r="M76" s="31">
        <f t="shared" si="66"/>
        <v>-1.5671782444371968E-2</v>
      </c>
      <c r="N76" s="31">
        <f t="shared" si="66"/>
        <v>-2.484843555649539E-2</v>
      </c>
      <c r="O76" s="31">
        <f t="shared" si="66"/>
        <v>-3.2007775605448485E-3</v>
      </c>
      <c r="P76" s="31">
        <f t="shared" si="66"/>
        <v>-3.3871452101494112E-3</v>
      </c>
      <c r="Q76" s="31">
        <f t="shared" si="66"/>
        <v>-5.8079200166895708E-4</v>
      </c>
      <c r="R76" s="31">
        <f t="shared" si="66"/>
        <v>-3.542298369596492E-3</v>
      </c>
      <c r="S76" s="31">
        <f t="shared" si="66"/>
        <v>-1.5870186419712884E-4</v>
      </c>
      <c r="T76" s="31">
        <f t="shared" si="66"/>
        <v>-9.2442135543476772E-5</v>
      </c>
      <c r="U76" s="31">
        <f t="shared" si="66"/>
        <v>-4.4428316008400726E-4</v>
      </c>
      <c r="V76" s="31">
        <f t="shared" si="66"/>
        <v>-3.4700145428479129E-3</v>
      </c>
      <c r="W76" s="31">
        <f t="shared" si="66"/>
        <v>-5.8359724498493705E-3</v>
      </c>
      <c r="X76" s="31">
        <f t="shared" si="66"/>
        <v>-6.9473376539643805E-3</v>
      </c>
      <c r="Y76" s="31">
        <f t="shared" si="66"/>
        <v>-2.4432272607392575E-4</v>
      </c>
      <c r="Z76" s="31">
        <f t="shared" si="66"/>
        <v>-4.391293858622881E-4</v>
      </c>
      <c r="AA76" s="31">
        <f t="shared" si="66"/>
        <v>-9.4405137183782656E-2</v>
      </c>
      <c r="AB76" s="31">
        <f t="shared" si="66"/>
        <v>-7.9550264385652486E-5</v>
      </c>
      <c r="AC76" s="31">
        <f t="shared" si="66"/>
        <v>-8.843281261373319E-5</v>
      </c>
      <c r="AD76" s="31">
        <f t="shared" si="66"/>
        <v>-1.0310264184345853E-4</v>
      </c>
      <c r="AE76" s="31">
        <f t="shared" si="66"/>
        <v>-7.4262150804012088E-5</v>
      </c>
      <c r="AF76" s="31">
        <f t="shared" si="66"/>
        <v>-3.5932923391353484E-4</v>
      </c>
      <c r="AG76" s="31">
        <f t="shared" si="66"/>
        <v>-9.4630411936048723E-4</v>
      </c>
      <c r="AH76" s="31">
        <f t="shared" si="66"/>
        <v>-1.2541213618815319E-3</v>
      </c>
      <c r="AI76" s="31">
        <f t="shared" si="66"/>
        <v>-9.337966765598706E-4</v>
      </c>
      <c r="AJ76" s="31">
        <f t="shared" si="66"/>
        <v>0</v>
      </c>
      <c r="BF76" s="206" t="s">
        <v>154</v>
      </c>
      <c r="BG76" s="44" t="s">
        <v>152</v>
      </c>
      <c r="BH76" s="72">
        <f>VLOOKUP(BD61,$AS$3:$BB$32,10,0)</f>
        <v>0.23370087190395528</v>
      </c>
      <c r="BI76" s="72"/>
      <c r="BJ76" s="72"/>
      <c r="BL76" s="206" t="s">
        <v>154</v>
      </c>
      <c r="BM76" s="44" t="s">
        <v>152</v>
      </c>
      <c r="BN76" s="72">
        <f>BN64</f>
        <v>-0.5</v>
      </c>
    </row>
    <row r="77" spans="3:74" x14ac:dyDescent="0.3">
      <c r="E77" s="14" t="s">
        <v>26</v>
      </c>
      <c r="F77" s="31">
        <f t="shared" ref="F77:AJ77" si="67">IF($E77=F$75,1,0)-F43</f>
        <v>-1.9667773702992551E-4</v>
      </c>
      <c r="G77" s="31">
        <f t="shared" si="67"/>
        <v>0.99504499819713876</v>
      </c>
      <c r="H77" s="31">
        <f t="shared" si="67"/>
        <v>-9.005560144766174E-3</v>
      </c>
      <c r="I77" s="31">
        <f t="shared" si="67"/>
        <v>-7.2994273723790285E-3</v>
      </c>
      <c r="J77" s="31">
        <f t="shared" si="67"/>
        <v>-1.2280644748846771E-2</v>
      </c>
      <c r="K77" s="31">
        <f t="shared" si="67"/>
        <v>-6.2279146131471496E-3</v>
      </c>
      <c r="L77" s="31">
        <f t="shared" si="67"/>
        <v>-1.3081395225389271E-4</v>
      </c>
      <c r="M77" s="31">
        <f t="shared" si="67"/>
        <v>-8.4241108148431801E-5</v>
      </c>
      <c r="N77" s="31">
        <f t="shared" si="67"/>
        <v>-1.8452197446996917E-4</v>
      </c>
      <c r="O77" s="31">
        <f t="shared" si="67"/>
        <v>-9.1498310478087957E-3</v>
      </c>
      <c r="P77" s="31">
        <f t="shared" si="67"/>
        <v>-9.6825867530720838E-3</v>
      </c>
      <c r="Q77" s="31">
        <f t="shared" si="67"/>
        <v>-9.7497379770234236E-3</v>
      </c>
      <c r="R77" s="31">
        <f t="shared" si="67"/>
        <v>-3.2562346676848512E-4</v>
      </c>
      <c r="S77" s="31">
        <f t="shared" si="67"/>
        <v>-5.5946698248647208E-3</v>
      </c>
      <c r="T77" s="31">
        <f t="shared" si="67"/>
        <v>-3.2588352310010268E-3</v>
      </c>
      <c r="U77" s="31">
        <f t="shared" si="67"/>
        <v>-7.6621501330749602E-5</v>
      </c>
      <c r="V77" s="31">
        <f t="shared" si="67"/>
        <v>-1.0724563340556365E-3</v>
      </c>
      <c r="W77" s="31">
        <f t="shared" si="67"/>
        <v>-5.8520331740766172E-3</v>
      </c>
      <c r="X77" s="31">
        <f t="shared" si="67"/>
        <v>-6.3613222074373078E-4</v>
      </c>
      <c r="Y77" s="31">
        <f t="shared" si="67"/>
        <v>-6.115588018406461E-5</v>
      </c>
      <c r="Z77" s="31">
        <f t="shared" si="67"/>
        <v>-7.950369077412017E-5</v>
      </c>
      <c r="AA77" s="31">
        <f t="shared" si="67"/>
        <v>-1.0000400741259285E-4</v>
      </c>
      <c r="AB77" s="31">
        <f t="shared" si="67"/>
        <v>-9.8930215542577781E-5</v>
      </c>
      <c r="AC77" s="31">
        <f t="shared" si="67"/>
        <v>-4.4175774971685982E-5</v>
      </c>
      <c r="AD77" s="31">
        <f t="shared" si="67"/>
        <v>-1.8382728612713537E-5</v>
      </c>
      <c r="AE77" s="31">
        <f t="shared" si="67"/>
        <v>-7.0660077237951892E-5</v>
      </c>
      <c r="AF77" s="31">
        <f t="shared" si="67"/>
        <v>-1.00850116752928E-4</v>
      </c>
      <c r="AG77" s="31">
        <f t="shared" si="67"/>
        <v>-6.0993847572169286E-5</v>
      </c>
      <c r="AH77" s="31">
        <f t="shared" si="67"/>
        <v>-3.5701937956307122E-5</v>
      </c>
      <c r="AI77" s="31">
        <f t="shared" si="67"/>
        <v>-4.9662762502809292E-5</v>
      </c>
      <c r="AJ77" s="31">
        <f t="shared" si="67"/>
        <v>0</v>
      </c>
      <c r="BF77" s="207"/>
      <c r="BG77" s="44" t="s">
        <v>171</v>
      </c>
      <c r="BH77" s="73">
        <f>BI77-BN77</f>
        <v>3.0056553280742908E-2</v>
      </c>
      <c r="BI77" s="73">
        <f>BB37</f>
        <v>-5.6682468098467269E-2</v>
      </c>
      <c r="BJ77" s="73"/>
      <c r="BL77" s="207"/>
      <c r="BM77" s="44" t="s">
        <v>171</v>
      </c>
      <c r="BN77" s="73">
        <f t="shared" ref="BN77:BN84" si="68">BN65</f>
        <v>-8.6739021379210177E-2</v>
      </c>
    </row>
    <row r="78" spans="3:74" x14ac:dyDescent="0.3">
      <c r="E78" s="85" t="s">
        <v>27</v>
      </c>
      <c r="F78" s="31">
        <f t="shared" ref="F78:AJ78" si="69">IF($E78=F$75,1,0)-F44</f>
        <v>-6.9316800945179078E-4</v>
      </c>
      <c r="G78" s="31">
        <f t="shared" si="69"/>
        <v>-1.7463332598731181E-2</v>
      </c>
      <c r="H78" s="31">
        <f t="shared" si="69"/>
        <v>0.96826094150861552</v>
      </c>
      <c r="I78" s="31">
        <f t="shared" si="69"/>
        <v>-2.5725990232844824E-2</v>
      </c>
      <c r="J78" s="31">
        <f t="shared" si="69"/>
        <v>-4.3281716598394027E-2</v>
      </c>
      <c r="K78" s="31">
        <f t="shared" si="69"/>
        <v>-2.1949567046188237E-2</v>
      </c>
      <c r="L78" s="31">
        <f t="shared" si="69"/>
        <v>-4.6103869335529097E-4</v>
      </c>
      <c r="M78" s="31">
        <f t="shared" si="69"/>
        <v>-2.9689807362577424E-4</v>
      </c>
      <c r="N78" s="31">
        <f t="shared" si="69"/>
        <v>-6.5032642573064237E-4</v>
      </c>
      <c r="O78" s="31">
        <f t="shared" si="69"/>
        <v>-3.2247524656361042E-2</v>
      </c>
      <c r="P78" s="31">
        <f t="shared" si="69"/>
        <v>-3.4125160718877098E-2</v>
      </c>
      <c r="Q78" s="31">
        <f t="shared" si="69"/>
        <v>-3.4361827465919849E-2</v>
      </c>
      <c r="R78" s="31">
        <f t="shared" si="69"/>
        <v>-1.1476223679366363E-3</v>
      </c>
      <c r="S78" s="31">
        <f t="shared" si="69"/>
        <v>-1.9717768795821627E-2</v>
      </c>
      <c r="T78" s="31">
        <f t="shared" si="69"/>
        <v>-1.1485389064958794E-2</v>
      </c>
      <c r="U78" s="31">
        <f t="shared" si="69"/>
        <v>-2.7004364785101343E-4</v>
      </c>
      <c r="V78" s="31">
        <f t="shared" si="69"/>
        <v>-3.7797487073394547E-3</v>
      </c>
      <c r="W78" s="31">
        <f t="shared" si="69"/>
        <v>-2.0624816249046659E-2</v>
      </c>
      <c r="X78" s="31">
        <f t="shared" si="69"/>
        <v>-2.2419746731882867E-3</v>
      </c>
      <c r="Y78" s="31">
        <f t="shared" si="69"/>
        <v>-2.1553684913005799E-4</v>
      </c>
      <c r="Z78" s="31">
        <f t="shared" si="69"/>
        <v>-2.8020159226045199E-4</v>
      </c>
      <c r="AA78" s="31">
        <f t="shared" si="69"/>
        <v>-3.5245259479898215E-4</v>
      </c>
      <c r="AB78" s="31">
        <f t="shared" si="69"/>
        <v>-3.4866813914912587E-4</v>
      </c>
      <c r="AC78" s="31">
        <f t="shared" si="69"/>
        <v>-1.5569242592238403E-4</v>
      </c>
      <c r="AD78" s="31">
        <f t="shared" si="69"/>
        <v>-6.4787807675600379E-5</v>
      </c>
      <c r="AE78" s="31">
        <f t="shared" si="69"/>
        <v>-2.4903329592046523E-4</v>
      </c>
      <c r="AF78" s="31">
        <f t="shared" si="69"/>
        <v>-3.5543460962219247E-4</v>
      </c>
      <c r="AG78" s="31">
        <f t="shared" si="69"/>
        <v>-2.149657838699535E-4</v>
      </c>
      <c r="AH78" s="31">
        <f t="shared" si="69"/>
        <v>-1.2582736429888502E-4</v>
      </c>
      <c r="AI78" s="31">
        <f t="shared" si="69"/>
        <v>-1.7503068088845999E-4</v>
      </c>
      <c r="AJ78" s="31">
        <f t="shared" si="69"/>
        <v>0</v>
      </c>
      <c r="BF78" s="207"/>
      <c r="BG78" s="44" t="s">
        <v>151</v>
      </c>
      <c r="BH78" s="73">
        <f>BI78-BN78</f>
        <v>4.1259797042249982E-2</v>
      </c>
      <c r="BI78" s="73">
        <f>BI37</f>
        <v>7.5371031498810918E-5</v>
      </c>
      <c r="BJ78" s="73"/>
      <c r="BL78" s="207"/>
      <c r="BM78" s="44" t="s">
        <v>151</v>
      </c>
      <c r="BN78" s="73">
        <f t="shared" si="68"/>
        <v>-4.1184426010751174E-2</v>
      </c>
    </row>
    <row r="79" spans="3:74" x14ac:dyDescent="0.3">
      <c r="E79" s="14" t="s">
        <v>28</v>
      </c>
      <c r="F79" s="31">
        <f t="shared" ref="F79:AJ79" si="70">IF($E79=F$75,1,0)-F45</f>
        <v>-1.023503478211383E-4</v>
      </c>
      <c r="G79" s="31">
        <f t="shared" si="70"/>
        <v>-2.5785641305200338E-3</v>
      </c>
      <c r="H79" s="31">
        <f t="shared" si="70"/>
        <v>-4.6864593169523485E-3</v>
      </c>
      <c r="I79" s="31">
        <f t="shared" si="70"/>
        <v>0.99620140570183369</v>
      </c>
      <c r="J79" s="31">
        <f t="shared" si="70"/>
        <v>-6.3908009136847783E-3</v>
      </c>
      <c r="K79" s="31">
        <f t="shared" si="70"/>
        <v>-3.2409831254005764E-3</v>
      </c>
      <c r="L79" s="31">
        <f t="shared" si="70"/>
        <v>-6.8075084222707504E-5</v>
      </c>
      <c r="M79" s="31">
        <f t="shared" si="70"/>
        <v>-4.3838752926663097E-5</v>
      </c>
      <c r="N79" s="31">
        <f t="shared" si="70"/>
        <v>-9.602453512453705E-5</v>
      </c>
      <c r="O79" s="31">
        <f t="shared" si="70"/>
        <v>-4.761537347286994E-3</v>
      </c>
      <c r="P79" s="31">
        <f t="shared" si="70"/>
        <v>-5.0387813941264016E-3</v>
      </c>
      <c r="Q79" s="31">
        <f t="shared" si="70"/>
        <v>-5.0737266361849326E-3</v>
      </c>
      <c r="R79" s="31">
        <f t="shared" si="70"/>
        <v>-1.6945321613807436E-4</v>
      </c>
      <c r="S79" s="31">
        <f t="shared" si="70"/>
        <v>-2.9114449411841896E-3</v>
      </c>
      <c r="T79" s="31">
        <f t="shared" si="70"/>
        <v>-1.6958854846595289E-3</v>
      </c>
      <c r="U79" s="31">
        <f t="shared" si="70"/>
        <v>-3.9873538460465387E-5</v>
      </c>
      <c r="V79" s="31">
        <f t="shared" si="70"/>
        <v>-5.5810220552250807E-4</v>
      </c>
      <c r="W79" s="31">
        <f t="shared" si="70"/>
        <v>-3.045375851240587E-3</v>
      </c>
      <c r="X79" s="31">
        <f t="shared" si="70"/>
        <v>-3.3104079310942758E-4</v>
      </c>
      <c r="Y79" s="31">
        <f t="shared" si="70"/>
        <v>-3.1825287918553204E-5</v>
      </c>
      <c r="Z79" s="31">
        <f t="shared" si="70"/>
        <v>-4.1373418906875583E-5</v>
      </c>
      <c r="AA79" s="31">
        <f t="shared" si="70"/>
        <v>-5.204170587253196E-5</v>
      </c>
      <c r="AB79" s="31">
        <f t="shared" si="70"/>
        <v>-5.1482908659165461E-5</v>
      </c>
      <c r="AC79" s="31">
        <f t="shared" si="70"/>
        <v>-2.2988905617377737E-5</v>
      </c>
      <c r="AD79" s="31">
        <f t="shared" si="70"/>
        <v>-9.5663021947753302E-6</v>
      </c>
      <c r="AE79" s="31">
        <f t="shared" si="70"/>
        <v>-3.6771235990337194E-5</v>
      </c>
      <c r="AF79" s="31">
        <f t="shared" si="70"/>
        <v>-5.2482017961667089E-5</v>
      </c>
      <c r="AG79" s="31">
        <f t="shared" si="70"/>
        <v>-3.1740966762349683E-5</v>
      </c>
      <c r="AH79" s="31">
        <f t="shared" si="70"/>
        <v>-1.8579152998698285E-5</v>
      </c>
      <c r="AI79" s="31">
        <f t="shared" si="70"/>
        <v>-2.5844313101628329E-5</v>
      </c>
      <c r="AJ79" s="31">
        <f t="shared" si="70"/>
        <v>0</v>
      </c>
      <c r="BF79" s="207"/>
      <c r="BG79" s="44" t="s">
        <v>153</v>
      </c>
      <c r="BH79" s="74">
        <f>-BN79</f>
        <v>0.10878869465484522</v>
      </c>
      <c r="BI79" s="74">
        <f>BQ37</f>
        <v>-8.0909629138082376E-2</v>
      </c>
      <c r="BJ79" s="74"/>
      <c r="BL79" s="207"/>
      <c r="BM79" s="44" t="s">
        <v>153</v>
      </c>
      <c r="BN79" s="74">
        <f t="shared" si="68"/>
        <v>-0.10878869465484522</v>
      </c>
    </row>
    <row r="80" spans="3:74" ht="32.6" x14ac:dyDescent="0.3">
      <c r="E80" s="14" t="s">
        <v>29</v>
      </c>
      <c r="F80" s="31">
        <f t="shared" ref="F80:AJ80" si="71">IF($E80=F$75,1,0)-F46</f>
        <v>-8.6921581258925408E-5</v>
      </c>
      <c r="G80" s="31">
        <f t="shared" si="71"/>
        <v>-2.1898594032531229E-3</v>
      </c>
      <c r="H80" s="31">
        <f t="shared" si="71"/>
        <v>-3.980000683993682E-3</v>
      </c>
      <c r="I80" s="31">
        <f t="shared" si="71"/>
        <v>-3.2259765597940004E-3</v>
      </c>
      <c r="J80" s="31">
        <f t="shared" si="71"/>
        <v>0.99457257808347443</v>
      </c>
      <c r="K80" s="31">
        <f t="shared" si="71"/>
        <v>-2.7524222837582851E-3</v>
      </c>
      <c r="L80" s="31">
        <f t="shared" si="71"/>
        <v>-5.7813130008242043E-5</v>
      </c>
      <c r="M80" s="31">
        <f t="shared" si="71"/>
        <v>-3.7230295801866489E-5</v>
      </c>
      <c r="N80" s="31">
        <f t="shared" si="71"/>
        <v>-8.1549350933951306E-5</v>
      </c>
      <c r="O80" s="31">
        <f t="shared" si="71"/>
        <v>-4.0437611035078133E-3</v>
      </c>
      <c r="P80" s="31">
        <f t="shared" si="71"/>
        <v>-4.2792120957019768E-3</v>
      </c>
      <c r="Q80" s="31">
        <f t="shared" si="71"/>
        <v>-4.3088895297495053E-3</v>
      </c>
      <c r="R80" s="31">
        <f t="shared" si="71"/>
        <v>-1.4390905170026097E-4</v>
      </c>
      <c r="S80" s="31">
        <f t="shared" si="71"/>
        <v>-2.4725602152156361E-3</v>
      </c>
      <c r="T80" s="31">
        <f t="shared" si="71"/>
        <v>-1.4402398340479421E-3</v>
      </c>
      <c r="U80" s="31">
        <f t="shared" si="71"/>
        <v>-3.386281617165572E-5</v>
      </c>
      <c r="V80" s="31">
        <f t="shared" si="71"/>
        <v>-4.7397128823524351E-4</v>
      </c>
      <c r="W80" s="31">
        <f t="shared" si="71"/>
        <v>-2.5863017581549226E-3</v>
      </c>
      <c r="X80" s="31">
        <f t="shared" si="71"/>
        <v>-2.8113816719572933E-4</v>
      </c>
      <c r="Y80" s="31">
        <f t="shared" si="71"/>
        <v>-2.7027796278088443E-5</v>
      </c>
      <c r="Z80" s="31">
        <f t="shared" si="71"/>
        <v>-3.5136597676816286E-5</v>
      </c>
      <c r="AA80" s="31">
        <f t="shared" si="71"/>
        <v>-4.4196697540857203E-5</v>
      </c>
      <c r="AB80" s="31">
        <f t="shared" si="71"/>
        <v>-4.3722136013486748E-5</v>
      </c>
      <c r="AC80" s="31">
        <f t="shared" si="71"/>
        <v>-1.9523451265321188E-5</v>
      </c>
      <c r="AD80" s="31">
        <f t="shared" si="71"/>
        <v>-8.1242333931655479E-6</v>
      </c>
      <c r="AE80" s="31">
        <f t="shared" si="71"/>
        <v>-3.1228169177409549E-5</v>
      </c>
      <c r="AF80" s="31">
        <f t="shared" si="71"/>
        <v>-4.4570634941655583E-5</v>
      </c>
      <c r="AG80" s="31">
        <f t="shared" si="71"/>
        <v>-2.6956186084407436E-5</v>
      </c>
      <c r="AH80" s="31">
        <f t="shared" si="71"/>
        <v>-1.5778445227372558E-5</v>
      </c>
      <c r="AI80" s="31">
        <f t="shared" si="71"/>
        <v>-2.1948421369998956E-5</v>
      </c>
      <c r="AJ80" s="31">
        <f t="shared" si="71"/>
        <v>0</v>
      </c>
      <c r="BF80" s="208" t="s">
        <v>155</v>
      </c>
      <c r="BG80" s="51" t="s">
        <v>172</v>
      </c>
      <c r="BH80" s="53">
        <f>BH78/BH77</f>
        <v>1.3727388053068925</v>
      </c>
      <c r="BI80" s="53"/>
      <c r="BJ80" s="56"/>
      <c r="BL80" s="208" t="s">
        <v>155</v>
      </c>
      <c r="BM80" s="51" t="s">
        <v>172</v>
      </c>
      <c r="BN80" s="53">
        <f t="shared" si="68"/>
        <v>0.47480851588927842</v>
      </c>
    </row>
    <row r="81" spans="5:66" ht="48.9" x14ac:dyDescent="0.3">
      <c r="E81" s="14" t="s">
        <v>30</v>
      </c>
      <c r="F81" s="31">
        <f t="shared" ref="F81:AJ81" si="72">IF($E81=F$75,1,0)-F47</f>
        <v>-2.726616240175193E-4</v>
      </c>
      <c r="G81" s="31">
        <f t="shared" si="72"/>
        <v>-6.8693023368085662E-3</v>
      </c>
      <c r="H81" s="31">
        <f t="shared" si="72"/>
        <v>-1.2484741238840767E-2</v>
      </c>
      <c r="I81" s="31">
        <f t="shared" si="72"/>
        <v>-1.0119466248729357E-2</v>
      </c>
      <c r="J81" s="31">
        <f t="shared" si="72"/>
        <v>-1.7025112205217692E-2</v>
      </c>
      <c r="K81" s="31">
        <f t="shared" si="72"/>
        <v>0.99136601153589254</v>
      </c>
      <c r="L81" s="31">
        <f t="shared" si="72"/>
        <v>-1.8135222219009745E-4</v>
      </c>
      <c r="M81" s="31">
        <f t="shared" si="72"/>
        <v>-1.1678656518857541E-4</v>
      </c>
      <c r="N81" s="31">
        <f t="shared" si="72"/>
        <v>-2.5580964061146276E-4</v>
      </c>
      <c r="O81" s="31">
        <f t="shared" si="72"/>
        <v>-1.2684749329823074E-2</v>
      </c>
      <c r="P81" s="31">
        <f t="shared" si="72"/>
        <v>-1.3423328276252504E-2</v>
      </c>
      <c r="Q81" s="31">
        <f t="shared" si="72"/>
        <v>-1.3516422502644537E-2</v>
      </c>
      <c r="R81" s="31">
        <f t="shared" si="72"/>
        <v>-4.5142386020945922E-4</v>
      </c>
      <c r="S81" s="31">
        <f t="shared" si="72"/>
        <v>-7.756097783743158E-3</v>
      </c>
      <c r="T81" s="31">
        <f t="shared" si="72"/>
        <v>-4.5178438592419273E-3</v>
      </c>
      <c r="U81" s="31">
        <f t="shared" si="72"/>
        <v>-1.0622322232802543E-4</v>
      </c>
      <c r="V81" s="31">
        <f t="shared" si="72"/>
        <v>-1.486785897312781E-3</v>
      </c>
      <c r="W81" s="31">
        <f t="shared" si="72"/>
        <v>-8.1128901173260198E-3</v>
      </c>
      <c r="X81" s="31">
        <f t="shared" si="72"/>
        <v>-8.8189363482184854E-4</v>
      </c>
      <c r="Y81" s="31">
        <f t="shared" si="72"/>
        <v>-8.4782659496792547E-5</v>
      </c>
      <c r="Z81" s="31">
        <f t="shared" si="72"/>
        <v>-1.1021890819579603E-4</v>
      </c>
      <c r="AA81" s="31">
        <f t="shared" si="72"/>
        <v>-1.3863925567350182E-4</v>
      </c>
      <c r="AB81" s="31">
        <f t="shared" si="72"/>
        <v>-1.3715061827327302E-4</v>
      </c>
      <c r="AC81" s="31">
        <f t="shared" si="72"/>
        <v>-6.1242511368633806E-5</v>
      </c>
      <c r="AD81" s="31">
        <f t="shared" si="72"/>
        <v>-2.5484656845798217E-5</v>
      </c>
      <c r="AE81" s="31">
        <f t="shared" si="72"/>
        <v>-9.79586795325586E-5</v>
      </c>
      <c r="AF81" s="31">
        <f t="shared" si="72"/>
        <v>-1.3981224835846989E-4</v>
      </c>
      <c r="AG81" s="31">
        <f t="shared" si="72"/>
        <v>-8.4558027691635781E-5</v>
      </c>
      <c r="AH81" s="31">
        <f t="shared" si="72"/>
        <v>-4.9494917578079779E-5</v>
      </c>
      <c r="AI81" s="31">
        <f t="shared" si="72"/>
        <v>-6.8849325204265431E-5</v>
      </c>
      <c r="AJ81" s="31">
        <f t="shared" si="72"/>
        <v>0</v>
      </c>
      <c r="BF81" s="209"/>
      <c r="BG81" s="54" t="s">
        <v>173</v>
      </c>
      <c r="BH81" s="75">
        <f>BH79/BH77</f>
        <v>3.6194667312218276</v>
      </c>
      <c r="BI81" s="75"/>
      <c r="BJ81" s="56"/>
      <c r="BL81" s="209"/>
      <c r="BM81" s="54" t="s">
        <v>173</v>
      </c>
      <c r="BN81" s="75">
        <f t="shared" si="68"/>
        <v>1.2542070791787832</v>
      </c>
    </row>
    <row r="82" spans="5:66" ht="32.6" x14ac:dyDescent="0.3">
      <c r="E82" s="84" t="s">
        <v>31</v>
      </c>
      <c r="F82" s="31">
        <f t="shared" ref="F82:AJ82" si="73">IF($E82=F$75,1,0)-F48</f>
        <v>-9.2672973697207034E-2</v>
      </c>
      <c r="G82" s="31">
        <f t="shared" si="73"/>
        <v>-5.6689941729908368E-4</v>
      </c>
      <c r="H82" s="31">
        <f t="shared" si="73"/>
        <v>-1.0303218851649607E-3</v>
      </c>
      <c r="I82" s="31">
        <f t="shared" si="73"/>
        <v>-8.3512404004154812E-4</v>
      </c>
      <c r="J82" s="31">
        <f t="shared" si="73"/>
        <v>-1.4050227687421115E-3</v>
      </c>
      <c r="K82" s="31">
        <f t="shared" si="73"/>
        <v>-7.1253277105627361E-4</v>
      </c>
      <c r="L82" s="31">
        <f t="shared" si="73"/>
        <v>0.86292572123071909</v>
      </c>
      <c r="M82" s="31">
        <f t="shared" si="73"/>
        <v>-1.7181474447742833E-3</v>
      </c>
      <c r="N82" s="31">
        <f t="shared" si="73"/>
        <v>-9.3086286056932518E-3</v>
      </c>
      <c r="O82" s="31">
        <f t="shared" si="73"/>
        <v>-7.9410531529859763E-3</v>
      </c>
      <c r="P82" s="31">
        <f t="shared" si="73"/>
        <v>-8.4034268679700867E-3</v>
      </c>
      <c r="Q82" s="31">
        <f t="shared" si="73"/>
        <v>-1.5996011876720413E-3</v>
      </c>
      <c r="R82" s="31">
        <f t="shared" si="73"/>
        <v>-2.7473609849238186E-3</v>
      </c>
      <c r="S82" s="31">
        <f t="shared" si="73"/>
        <v>-2.4048752759260549E-3</v>
      </c>
      <c r="T82" s="31">
        <f t="shared" si="73"/>
        <v>-1.4008140820965509E-3</v>
      </c>
      <c r="U82" s="31">
        <f t="shared" si="73"/>
        <v>-2.1690823889397846E-3</v>
      </c>
      <c r="V82" s="31">
        <f t="shared" si="73"/>
        <v>-1.7045730735558351E-3</v>
      </c>
      <c r="W82" s="31">
        <f t="shared" si="73"/>
        <v>-2.0538813616501222E-3</v>
      </c>
      <c r="X82" s="31">
        <f t="shared" si="73"/>
        <v>-1.7606319362524806E-3</v>
      </c>
      <c r="Y82" s="31">
        <f t="shared" si="73"/>
        <v>-2.0889689368792166E-3</v>
      </c>
      <c r="Z82" s="31">
        <f t="shared" si="73"/>
        <v>-1.976693762598858E-3</v>
      </c>
      <c r="AA82" s="31">
        <f t="shared" si="73"/>
        <v>-0.21066827735346946</v>
      </c>
      <c r="AB82" s="31">
        <f t="shared" si="73"/>
        <v>-2.4755363286461003E-3</v>
      </c>
      <c r="AC82" s="31">
        <f t="shared" si="73"/>
        <v>-1.1041915135083628E-3</v>
      </c>
      <c r="AD82" s="31">
        <f t="shared" si="73"/>
        <v>-4.4871657503949979E-4</v>
      </c>
      <c r="AE82" s="31">
        <f t="shared" si="73"/>
        <v>-1.7501175726009409E-3</v>
      </c>
      <c r="AF82" s="31">
        <f t="shared" si="73"/>
        <v>-3.3126277817734644E-3</v>
      </c>
      <c r="AG82" s="31">
        <f t="shared" si="73"/>
        <v>-3.9339536428237062E-3</v>
      </c>
      <c r="AH82" s="31">
        <f t="shared" si="73"/>
        <v>-1.1555474129349053E-3</v>
      </c>
      <c r="AI82" s="31">
        <f t="shared" si="73"/>
        <v>-1.3151636340936307E-3</v>
      </c>
      <c r="AJ82" s="31">
        <f t="shared" si="73"/>
        <v>0</v>
      </c>
      <c r="BF82" s="208" t="s">
        <v>174</v>
      </c>
      <c r="BG82" s="57" t="s">
        <v>175</v>
      </c>
      <c r="BH82" s="56">
        <f>BI82-BN82</f>
        <v>55828.394608549541</v>
      </c>
      <c r="BI82" s="56">
        <f>BA37</f>
        <v>-105284.56695715757</v>
      </c>
      <c r="BJ82" s="56"/>
      <c r="BL82" s="208" t="s">
        <v>174</v>
      </c>
      <c r="BM82" s="57" t="s">
        <v>175</v>
      </c>
      <c r="BN82" s="56">
        <f t="shared" si="68"/>
        <v>-161112.96156570711</v>
      </c>
    </row>
    <row r="83" spans="5:66" x14ac:dyDescent="0.3">
      <c r="E83" s="86" t="s">
        <v>32</v>
      </c>
      <c r="F83" s="31">
        <f t="shared" ref="F83:AJ83" si="74">IF($E83=F$75,1,0)-F49</f>
        <v>-2.4132466469543867E-3</v>
      </c>
      <c r="G83" s="31">
        <f t="shared" si="74"/>
        <v>-5.2070625407882201E-4</v>
      </c>
      <c r="H83" s="31">
        <f t="shared" si="74"/>
        <v>-9.4636726189583254E-4</v>
      </c>
      <c r="I83" s="31">
        <f t="shared" si="74"/>
        <v>-7.6707489426080502E-4</v>
      </c>
      <c r="J83" s="31">
        <f t="shared" si="74"/>
        <v>-1.2905360642153942E-3</v>
      </c>
      <c r="K83" s="31">
        <f t="shared" si="74"/>
        <v>-6.5447283733822026E-4</v>
      </c>
      <c r="L83" s="31">
        <f t="shared" si="74"/>
        <v>-8.0717454031348766E-4</v>
      </c>
      <c r="M83" s="31">
        <f t="shared" si="74"/>
        <v>0.77011559577820476</v>
      </c>
      <c r="N83" s="31">
        <f t="shared" si="74"/>
        <v>-1.8977990859775414E-2</v>
      </c>
      <c r="O83" s="31">
        <f t="shared" si="74"/>
        <v>-1.3784547861452532E-3</v>
      </c>
      <c r="P83" s="31">
        <f t="shared" si="74"/>
        <v>-1.4587163393836855E-3</v>
      </c>
      <c r="Q83" s="31">
        <f t="shared" si="74"/>
        <v>-3.023867754456643E-3</v>
      </c>
      <c r="R83" s="31">
        <f t="shared" si="74"/>
        <v>-2.6339385011317221E-2</v>
      </c>
      <c r="S83" s="31">
        <f t="shared" si="74"/>
        <v>-7.2132331824400358E-4</v>
      </c>
      <c r="T83" s="31">
        <f t="shared" si="74"/>
        <v>-4.2016310453011653E-4</v>
      </c>
      <c r="U83" s="31">
        <f t="shared" si="74"/>
        <v>-5.3277614857357002E-3</v>
      </c>
      <c r="V83" s="31">
        <f t="shared" si="74"/>
        <v>-4.7628039345011522E-3</v>
      </c>
      <c r="W83" s="31">
        <f t="shared" si="74"/>
        <v>-3.4891748404178471E-3</v>
      </c>
      <c r="X83" s="31">
        <f t="shared" si="74"/>
        <v>-7.3322731898225529E-3</v>
      </c>
      <c r="Y83" s="31">
        <f t="shared" si="74"/>
        <v>-3.5520322134589837E-3</v>
      </c>
      <c r="Z83" s="31">
        <f t="shared" si="74"/>
        <v>-1.5479752787295761E-3</v>
      </c>
      <c r="AA83" s="31">
        <f t="shared" si="74"/>
        <v>-3.7641101729932146E-3</v>
      </c>
      <c r="AB83" s="31">
        <f t="shared" si="74"/>
        <v>-1.8786941875073742E-3</v>
      </c>
      <c r="AC83" s="31">
        <f t="shared" si="74"/>
        <v>-9.5675041404435959E-4</v>
      </c>
      <c r="AD83" s="31">
        <f t="shared" si="74"/>
        <v>-1.3302341003065655E-4</v>
      </c>
      <c r="AE83" s="31">
        <f t="shared" si="74"/>
        <v>-1.9917288736718509E-3</v>
      </c>
      <c r="AF83" s="31">
        <f t="shared" si="74"/>
        <v>-9.5715184553320926E-4</v>
      </c>
      <c r="AG83" s="31">
        <f t="shared" si="74"/>
        <v>-2.1244862647223296E-3</v>
      </c>
      <c r="AH83" s="31">
        <f t="shared" si="74"/>
        <v>-1.8296795927098815E-3</v>
      </c>
      <c r="AI83" s="31">
        <f t="shared" si="74"/>
        <v>-5.6289010697575482E-3</v>
      </c>
      <c r="AJ83" s="31">
        <f t="shared" si="74"/>
        <v>0</v>
      </c>
      <c r="BF83" s="207"/>
      <c r="BG83" s="44" t="s">
        <v>176</v>
      </c>
      <c r="BH83" s="61">
        <f>BI83-BN83</f>
        <v>786903.96100399876</v>
      </c>
      <c r="BI83" s="61">
        <f>BH37</f>
        <v>1437.4710367731168</v>
      </c>
      <c r="BJ83" s="61"/>
      <c r="BL83" s="207"/>
      <c r="BM83" s="44" t="s">
        <v>176</v>
      </c>
      <c r="BN83" s="61">
        <f t="shared" si="68"/>
        <v>-785466.48996722559</v>
      </c>
    </row>
    <row r="84" spans="5:66" x14ac:dyDescent="0.3">
      <c r="E84" s="86" t="s">
        <v>33</v>
      </c>
      <c r="F84" s="31">
        <f t="shared" ref="F84:AJ84" si="75">IF($E84=F$75,1,0)-F50</f>
        <v>-8.6907181806488952E-3</v>
      </c>
      <c r="G84" s="31">
        <f t="shared" si="75"/>
        <v>-1.7958018586529737E-4</v>
      </c>
      <c r="H84" s="31">
        <f t="shared" si="75"/>
        <v>-3.2638134736588003E-4</v>
      </c>
      <c r="I84" s="31">
        <f t="shared" si="75"/>
        <v>-2.64547335479298E-4</v>
      </c>
      <c r="J84" s="31">
        <f t="shared" si="75"/>
        <v>-4.4507763150966096E-4</v>
      </c>
      <c r="K84" s="31">
        <f t="shared" si="75"/>
        <v>-2.2571335153427009E-4</v>
      </c>
      <c r="L84" s="31">
        <f t="shared" si="75"/>
        <v>-9.6696055269059056E-3</v>
      </c>
      <c r="M84" s="31">
        <f t="shared" si="75"/>
        <v>-1.0796947392006819E-2</v>
      </c>
      <c r="N84" s="31">
        <f t="shared" si="75"/>
        <v>0.7331951081410415</v>
      </c>
      <c r="O84" s="31">
        <f t="shared" si="75"/>
        <v>-5.6136957098615386E-3</v>
      </c>
      <c r="P84" s="31">
        <f t="shared" si="75"/>
        <v>-5.9405573099734887E-3</v>
      </c>
      <c r="Q84" s="31">
        <f t="shared" si="75"/>
        <v>-5.2277135714398643E-3</v>
      </c>
      <c r="R84" s="31">
        <f t="shared" si="75"/>
        <v>-7.276864599006827E-2</v>
      </c>
      <c r="S84" s="31">
        <f t="shared" si="75"/>
        <v>-1.4087412346954751E-3</v>
      </c>
      <c r="T84" s="31">
        <f t="shared" si="75"/>
        <v>-8.205766757827408E-4</v>
      </c>
      <c r="U84" s="31">
        <f t="shared" si="75"/>
        <v>-2.3513308336184828E-3</v>
      </c>
      <c r="V84" s="31">
        <f t="shared" si="75"/>
        <v>-1.5007052117975504E-2</v>
      </c>
      <c r="W84" s="31">
        <f t="shared" si="75"/>
        <v>-8.7615347600949346E-3</v>
      </c>
      <c r="X84" s="31">
        <f t="shared" si="75"/>
        <v>-8.794196646410889E-3</v>
      </c>
      <c r="Y84" s="31">
        <f t="shared" si="75"/>
        <v>-5.1749797071523624E-3</v>
      </c>
      <c r="Z84" s="31">
        <f t="shared" si="75"/>
        <v>-1.4493630467468405E-3</v>
      </c>
      <c r="AA84" s="31">
        <f t="shared" si="75"/>
        <v>-3.7865644610232353E-3</v>
      </c>
      <c r="AB84" s="31">
        <f t="shared" si="75"/>
        <v>-1.0645939378137251E-2</v>
      </c>
      <c r="AC84" s="31">
        <f t="shared" si="75"/>
        <v>-1.0764498376554775E-3</v>
      </c>
      <c r="AD84" s="31">
        <f t="shared" si="75"/>
        <v>-7.3206079107115767E-4</v>
      </c>
      <c r="AE84" s="31">
        <f t="shared" si="75"/>
        <v>-3.0008123802673426E-3</v>
      </c>
      <c r="AF84" s="31">
        <f t="shared" si="75"/>
        <v>-1.8303658555289162E-2</v>
      </c>
      <c r="AG84" s="31">
        <f t="shared" si="75"/>
        <v>-1.7919957194124057E-3</v>
      </c>
      <c r="AH84" s="31">
        <f t="shared" si="75"/>
        <v>-3.7273141887591839E-3</v>
      </c>
      <c r="AI84" s="31">
        <f t="shared" si="75"/>
        <v>-4.5080111139583316E-3</v>
      </c>
      <c r="AJ84" s="31">
        <f t="shared" si="75"/>
        <v>0</v>
      </c>
      <c r="BF84" s="210"/>
      <c r="BG84" s="63" t="s">
        <v>177</v>
      </c>
      <c r="BH84" s="76">
        <f>-BN84</f>
        <v>11708.291230132498</v>
      </c>
      <c r="BI84" s="76">
        <f>BP37</f>
        <v>-8932.4247187484307</v>
      </c>
      <c r="BJ84" s="120"/>
      <c r="BL84" s="210"/>
      <c r="BM84" s="63" t="s">
        <v>177</v>
      </c>
      <c r="BN84" s="76">
        <f t="shared" si="68"/>
        <v>-11708.291230132498</v>
      </c>
    </row>
    <row r="85" spans="5:66" x14ac:dyDescent="0.3">
      <c r="E85" s="85" t="s">
        <v>193</v>
      </c>
      <c r="F85" s="31">
        <f t="shared" ref="F85:AJ85" si="76">IF($E85=F$75,1,0)-F51</f>
        <v>-1.7114013116054701E-2</v>
      </c>
      <c r="G85" s="31">
        <f t="shared" si="76"/>
        <v>-8.4333968752139457E-3</v>
      </c>
      <c r="H85" s="31">
        <f t="shared" si="76"/>
        <v>-1.5327433935657999E-2</v>
      </c>
      <c r="I85" s="31">
        <f t="shared" si="76"/>
        <v>-1.2423601532803729E-2</v>
      </c>
      <c r="J85" s="31">
        <f t="shared" si="76"/>
        <v>-2.0901617228621765E-2</v>
      </c>
      <c r="K85" s="31">
        <f t="shared" si="76"/>
        <v>-1.059989031836181E-2</v>
      </c>
      <c r="L85" s="31">
        <f t="shared" si="76"/>
        <v>-1.3580346673851258E-2</v>
      </c>
      <c r="M85" s="31">
        <f t="shared" si="76"/>
        <v>-1.8691222295516455E-2</v>
      </c>
      <c r="N85" s="31">
        <f t="shared" si="76"/>
        <v>-2.2618413769808502E-2</v>
      </c>
      <c r="O85" s="31">
        <f t="shared" si="76"/>
        <v>0.92160811029810241</v>
      </c>
      <c r="P85" s="31">
        <f t="shared" si="76"/>
        <v>-8.2956315675102629E-2</v>
      </c>
      <c r="Q85" s="31">
        <f t="shared" si="76"/>
        <v>-1.1658622717618415E-2</v>
      </c>
      <c r="R85" s="31">
        <f t="shared" si="76"/>
        <v>-1.6708041941490184E-2</v>
      </c>
      <c r="S85" s="31">
        <f t="shared" si="76"/>
        <v>-5.1152188264654815E-3</v>
      </c>
      <c r="T85" s="31">
        <f t="shared" si="76"/>
        <v>-2.979560161330613E-3</v>
      </c>
      <c r="U85" s="31">
        <f t="shared" si="76"/>
        <v>-1.4769203629296165E-2</v>
      </c>
      <c r="V85" s="31">
        <f t="shared" si="76"/>
        <v>-4.1724371936051566E-2</v>
      </c>
      <c r="W85" s="31">
        <f t="shared" si="76"/>
        <v>-4.4246928418650903E-2</v>
      </c>
      <c r="X85" s="31">
        <f t="shared" si="76"/>
        <v>-4.1771521137447573E-2</v>
      </c>
      <c r="Y85" s="31">
        <f t="shared" si="76"/>
        <v>-5.5317470663356202E-3</v>
      </c>
      <c r="Z85" s="31">
        <f t="shared" si="76"/>
        <v>-4.1421768298733751E-2</v>
      </c>
      <c r="AA85" s="31">
        <f t="shared" si="76"/>
        <v>-3.3752993270799569E-3</v>
      </c>
      <c r="AB85" s="31">
        <f t="shared" si="76"/>
        <v>-1.1211304471244795E-3</v>
      </c>
      <c r="AC85" s="31">
        <f t="shared" si="76"/>
        <v>-4.0826477644758443E-4</v>
      </c>
      <c r="AD85" s="31">
        <f t="shared" si="76"/>
        <v>-7.4928049654239052E-5</v>
      </c>
      <c r="AE85" s="31">
        <f t="shared" si="76"/>
        <v>-2.0991748699854471E-3</v>
      </c>
      <c r="AF85" s="31">
        <f t="shared" si="76"/>
        <v>-3.7024439070047887E-3</v>
      </c>
      <c r="AG85" s="31">
        <f t="shared" si="76"/>
        <v>-3.070589742046818E-4</v>
      </c>
      <c r="AH85" s="31">
        <f t="shared" si="76"/>
        <v>-1.663625654698327E-2</v>
      </c>
      <c r="AI85" s="31">
        <f t="shared" si="76"/>
        <v>-6.2516742382796638E-3</v>
      </c>
      <c r="AJ85" s="31">
        <f t="shared" si="76"/>
        <v>0</v>
      </c>
    </row>
    <row r="86" spans="5:66" x14ac:dyDescent="0.3">
      <c r="E86" s="86" t="s">
        <v>194</v>
      </c>
      <c r="F86" s="31">
        <f t="shared" ref="F86:AJ86" si="77">IF($E86=F$75,1,0)-F52</f>
        <v>-3.308281476728675E-2</v>
      </c>
      <c r="G86" s="31">
        <f t="shared" si="77"/>
        <v>-1.6302459556957256E-2</v>
      </c>
      <c r="H86" s="31">
        <f t="shared" si="77"/>
        <v>-2.9629208199887982E-2</v>
      </c>
      <c r="I86" s="31">
        <f t="shared" si="77"/>
        <v>-2.4015857967688365E-2</v>
      </c>
      <c r="J86" s="31">
        <f t="shared" si="77"/>
        <v>-4.0404569426357395E-2</v>
      </c>
      <c r="K86" s="31">
        <f t="shared" si="77"/>
        <v>-2.049047208144018E-2</v>
      </c>
      <c r="L86" s="31">
        <f t="shared" si="77"/>
        <v>-2.6251942804992521E-2</v>
      </c>
      <c r="M86" s="31">
        <f t="shared" si="77"/>
        <v>-3.6131691660132456E-2</v>
      </c>
      <c r="N86" s="31">
        <f t="shared" si="77"/>
        <v>-4.3723280331861986E-2</v>
      </c>
      <c r="O86" s="31">
        <f t="shared" si="77"/>
        <v>-0.15153806115951576</v>
      </c>
      <c r="P86" s="31">
        <f t="shared" si="77"/>
        <v>0.83963852273307937</v>
      </c>
      <c r="Q86" s="31">
        <f t="shared" si="77"/>
        <v>-2.2537090113996992E-2</v>
      </c>
      <c r="R86" s="31">
        <f t="shared" si="77"/>
        <v>-3.2298038626360673E-2</v>
      </c>
      <c r="S86" s="31">
        <f t="shared" si="77"/>
        <v>-9.8881446322688759E-3</v>
      </c>
      <c r="T86" s="31">
        <f t="shared" si="77"/>
        <v>-5.7597383054952093E-3</v>
      </c>
      <c r="U86" s="31">
        <f t="shared" si="77"/>
        <v>-2.8550102457849631E-2</v>
      </c>
      <c r="V86" s="31">
        <f t="shared" si="77"/>
        <v>-8.0656691021631408E-2</v>
      </c>
      <c r="W86" s="31">
        <f t="shared" si="77"/>
        <v>-8.5533003099221461E-2</v>
      </c>
      <c r="X86" s="31">
        <f t="shared" si="77"/>
        <v>-8.0747834360463289E-2</v>
      </c>
      <c r="Y86" s="31">
        <f t="shared" si="77"/>
        <v>-1.0693328460954901E-2</v>
      </c>
      <c r="Z86" s="31">
        <f t="shared" si="77"/>
        <v>-8.0071732951691565E-2</v>
      </c>
      <c r="AA86" s="31">
        <f t="shared" si="77"/>
        <v>-6.5247351199690939E-3</v>
      </c>
      <c r="AB86" s="31">
        <f t="shared" si="77"/>
        <v>-2.1672386634663822E-3</v>
      </c>
      <c r="AC86" s="31">
        <f t="shared" si="77"/>
        <v>-7.8920986466655453E-4</v>
      </c>
      <c r="AD86" s="31">
        <f t="shared" si="77"/>
        <v>-1.4484216944182757E-4</v>
      </c>
      <c r="AE86" s="31">
        <f t="shared" si="77"/>
        <v>-4.057880107776927E-3</v>
      </c>
      <c r="AF86" s="31">
        <f t="shared" si="77"/>
        <v>-7.1571328788338504E-3</v>
      </c>
      <c r="AG86" s="31">
        <f t="shared" si="77"/>
        <v>-5.9357060774465394E-4</v>
      </c>
      <c r="AH86" s="31">
        <f t="shared" si="77"/>
        <v>-3.2159271471435387E-2</v>
      </c>
      <c r="AI86" s="31">
        <f t="shared" si="77"/>
        <v>-1.2085007730676762E-2</v>
      </c>
      <c r="AJ86" s="31">
        <f t="shared" si="77"/>
        <v>0</v>
      </c>
    </row>
    <row r="87" spans="5:66" ht="14.3" customHeight="1" x14ac:dyDescent="0.3">
      <c r="E87" s="86" t="s">
        <v>35</v>
      </c>
      <c r="F87" s="31">
        <f t="shared" ref="F87:AJ87" si="78">IF($E87=F$75,1,0)-F53</f>
        <v>-7.228007847386116E-3</v>
      </c>
      <c r="G87" s="31">
        <f t="shared" si="78"/>
        <v>-1.7577602180469678E-3</v>
      </c>
      <c r="H87" s="31">
        <f t="shared" si="78"/>
        <v>-3.1946739867094436E-3</v>
      </c>
      <c r="I87" s="31">
        <f t="shared" si="78"/>
        <v>-2.5894325693851246E-3</v>
      </c>
      <c r="J87" s="31">
        <f t="shared" si="78"/>
        <v>-4.3564926210572065E-3</v>
      </c>
      <c r="K87" s="31">
        <f t="shared" si="78"/>
        <v>-2.2093191857290519E-3</v>
      </c>
      <c r="L87" s="31">
        <f t="shared" si="78"/>
        <v>-7.0588279615571995E-3</v>
      </c>
      <c r="M87" s="31">
        <f t="shared" si="78"/>
        <v>-6.4615070409919954E-3</v>
      </c>
      <c r="N87" s="31">
        <f t="shared" si="78"/>
        <v>-1.2531593367543786E-2</v>
      </c>
      <c r="O87" s="31">
        <f t="shared" si="78"/>
        <v>-4.3403293056398567E-3</v>
      </c>
      <c r="P87" s="31">
        <f t="shared" si="78"/>
        <v>-4.5930482015646987E-3</v>
      </c>
      <c r="Q87" s="31">
        <f t="shared" si="78"/>
        <v>0.69851090008942673</v>
      </c>
      <c r="R87" s="31">
        <f t="shared" si="78"/>
        <v>-0.13332921461424069</v>
      </c>
      <c r="S87" s="31">
        <f t="shared" si="78"/>
        <v>-1.3451994509055223E-2</v>
      </c>
      <c r="T87" s="31">
        <f t="shared" si="78"/>
        <v>-7.8356426751960331E-3</v>
      </c>
      <c r="U87" s="31">
        <f t="shared" si="78"/>
        <v>-1.1670287216840618E-2</v>
      </c>
      <c r="V87" s="31">
        <f t="shared" si="78"/>
        <v>-9.3993590912651262E-2</v>
      </c>
      <c r="W87" s="31">
        <f t="shared" si="78"/>
        <v>-0.10834482049227269</v>
      </c>
      <c r="X87" s="31">
        <f t="shared" si="78"/>
        <v>-0.11912949707838974</v>
      </c>
      <c r="Y87" s="31">
        <f t="shared" si="78"/>
        <v>-3.6255796731906584E-2</v>
      </c>
      <c r="Z87" s="31">
        <f t="shared" si="78"/>
        <v>-1.1669708935258226E-2</v>
      </c>
      <c r="AA87" s="31">
        <f t="shared" si="78"/>
        <v>-3.3331886270761501E-3</v>
      </c>
      <c r="AB87" s="31">
        <f t="shared" si="78"/>
        <v>-2.4037154218823607E-2</v>
      </c>
      <c r="AC87" s="31">
        <f t="shared" si="78"/>
        <v>-4.3603427487249819E-3</v>
      </c>
      <c r="AD87" s="31">
        <f t="shared" si="78"/>
        <v>-1.2449454157435421E-4</v>
      </c>
      <c r="AE87" s="31">
        <f t="shared" si="78"/>
        <v>-2.484655938907363E-3</v>
      </c>
      <c r="AF87" s="31">
        <f t="shared" si="78"/>
        <v>-3.5358553709655184E-3</v>
      </c>
      <c r="AG87" s="31">
        <f t="shared" si="78"/>
        <v>-3.2441163606349403E-3</v>
      </c>
      <c r="AH87" s="31">
        <f t="shared" si="78"/>
        <v>-2.2330987891413887E-3</v>
      </c>
      <c r="AI87" s="31">
        <f t="shared" si="78"/>
        <v>-2.232774733011934E-2</v>
      </c>
      <c r="AJ87" s="31">
        <f t="shared" si="78"/>
        <v>0</v>
      </c>
    </row>
    <row r="88" spans="5:66" x14ac:dyDescent="0.3">
      <c r="E88" s="86" t="s">
        <v>36</v>
      </c>
      <c r="F88" s="31">
        <f t="shared" ref="F88:AJ88" si="79">IF($E88=F$75,1,0)-F54</f>
        <v>-2.8610149453464775E-4</v>
      </c>
      <c r="G88" s="31">
        <f t="shared" si="79"/>
        <v>-3.54111499263715E-4</v>
      </c>
      <c r="H88" s="31">
        <f t="shared" si="79"/>
        <v>-6.4358652760352925E-4</v>
      </c>
      <c r="I88" s="31">
        <f t="shared" si="79"/>
        <v>-5.2165695865279799E-4</v>
      </c>
      <c r="J88" s="31">
        <f t="shared" si="79"/>
        <v>-8.7764196602875793E-4</v>
      </c>
      <c r="K88" s="31">
        <f t="shared" si="79"/>
        <v>-4.4508080293218931E-4</v>
      </c>
      <c r="L88" s="31">
        <f t="shared" si="79"/>
        <v>-5.5055184378478709E-4</v>
      </c>
      <c r="M88" s="31">
        <f t="shared" si="79"/>
        <v>-4.7975899461671018E-3</v>
      </c>
      <c r="N88" s="31">
        <f t="shared" si="79"/>
        <v>-9.3971011680918422E-3</v>
      </c>
      <c r="O88" s="31">
        <f t="shared" si="79"/>
        <v>-1.4368557585149469E-3</v>
      </c>
      <c r="P88" s="31">
        <f t="shared" si="79"/>
        <v>-1.5205177517243808E-3</v>
      </c>
      <c r="Q88" s="31">
        <f t="shared" si="79"/>
        <v>-3.761735086247997E-3</v>
      </c>
      <c r="R88" s="31">
        <f t="shared" si="79"/>
        <v>0.98535020801222184</v>
      </c>
      <c r="S88" s="31">
        <f t="shared" si="79"/>
        <v>-3.9458338122492218E-4</v>
      </c>
      <c r="T88" s="31">
        <f t="shared" si="79"/>
        <v>-2.2984059194849419E-4</v>
      </c>
      <c r="U88" s="31">
        <f t="shared" si="79"/>
        <v>-1.3275476032019516E-3</v>
      </c>
      <c r="V88" s="31">
        <f t="shared" si="79"/>
        <v>-8.2517549289818047E-3</v>
      </c>
      <c r="W88" s="31">
        <f t="shared" si="79"/>
        <v>-1.9043002910975068E-3</v>
      </c>
      <c r="X88" s="31">
        <f t="shared" si="79"/>
        <v>-1.0350994716068036E-3</v>
      </c>
      <c r="Y88" s="31">
        <f t="shared" si="79"/>
        <v>-1.6727073339946887E-3</v>
      </c>
      <c r="Z88" s="31">
        <f t="shared" si="79"/>
        <v>-6.9583915800717328E-4</v>
      </c>
      <c r="AA88" s="31">
        <f t="shared" si="79"/>
        <v>-1.7491193654366367E-4</v>
      </c>
      <c r="AB88" s="31">
        <f t="shared" si="79"/>
        <v>-2.7542933717833771E-4</v>
      </c>
      <c r="AC88" s="31">
        <f t="shared" si="79"/>
        <v>-8.0193441349617526E-4</v>
      </c>
      <c r="AD88" s="31">
        <f t="shared" si="79"/>
        <v>-5.8380968674223753E-6</v>
      </c>
      <c r="AE88" s="31">
        <f t="shared" si="79"/>
        <v>-3.9990001588173008E-4</v>
      </c>
      <c r="AF88" s="31">
        <f t="shared" si="79"/>
        <v>-9.8903340639801426E-4</v>
      </c>
      <c r="AG88" s="31">
        <f t="shared" si="79"/>
        <v>-8.309817978108153E-4</v>
      </c>
      <c r="AH88" s="31">
        <f t="shared" si="79"/>
        <v>-2.0052391062127046E-2</v>
      </c>
      <c r="AI88" s="31">
        <f t="shared" si="79"/>
        <v>-4.8533382266673633E-3</v>
      </c>
      <c r="AJ88" s="31">
        <f t="shared" si="79"/>
        <v>0</v>
      </c>
    </row>
    <row r="89" spans="5:66" x14ac:dyDescent="0.3">
      <c r="E89" s="86" t="s">
        <v>195</v>
      </c>
      <c r="F89" s="31">
        <f t="shared" ref="F89:AJ89" si="80">IF($E89=F$75,1,0)-F55</f>
        <v>-3.7872512612916512E-3</v>
      </c>
      <c r="G89" s="31">
        <f t="shared" si="80"/>
        <v>-5.8695368368785706E-3</v>
      </c>
      <c r="H89" s="31">
        <f t="shared" si="80"/>
        <v>-1.0667698844409596E-2</v>
      </c>
      <c r="I89" s="31">
        <f t="shared" si="80"/>
        <v>-8.6466684685277129E-3</v>
      </c>
      <c r="J89" s="31">
        <f t="shared" si="80"/>
        <v>-1.4547259436384456E-2</v>
      </c>
      <c r="K89" s="31">
        <f t="shared" si="80"/>
        <v>-7.3773886858513127E-3</v>
      </c>
      <c r="L89" s="31">
        <f t="shared" si="80"/>
        <v>-9.9627560957862831E-3</v>
      </c>
      <c r="M89" s="31">
        <f t="shared" si="80"/>
        <v>-1.4460052211903912E-2</v>
      </c>
      <c r="N89" s="31">
        <f t="shared" si="80"/>
        <v>-5.055823426815767E-2</v>
      </c>
      <c r="O89" s="31">
        <f t="shared" si="80"/>
        <v>-1.3883173070627296E-2</v>
      </c>
      <c r="P89" s="31">
        <f t="shared" si="80"/>
        <v>-1.4691531129031621E-2</v>
      </c>
      <c r="Q89" s="31">
        <f t="shared" si="80"/>
        <v>-1.8214489024662949E-2</v>
      </c>
      <c r="R89" s="31">
        <f t="shared" si="80"/>
        <v>-1.6676776334338304E-2</v>
      </c>
      <c r="S89" s="31">
        <f t="shared" si="80"/>
        <v>0.70823556704130008</v>
      </c>
      <c r="T89" s="31">
        <f t="shared" si="80"/>
        <v>-0.16994965619831537</v>
      </c>
      <c r="U89" s="31">
        <f t="shared" si="80"/>
        <v>-5.0660398473403208E-2</v>
      </c>
      <c r="V89" s="31">
        <f t="shared" si="80"/>
        <v>-9.9295444001277493E-5</v>
      </c>
      <c r="W89" s="31">
        <f t="shared" si="80"/>
        <v>-9.9870405379491297E-4</v>
      </c>
      <c r="X89" s="31">
        <f t="shared" si="80"/>
        <v>-3.6573484783271418E-5</v>
      </c>
      <c r="Y89" s="31">
        <f t="shared" si="80"/>
        <v>-1.323054365824162E-2</v>
      </c>
      <c r="Z89" s="31">
        <f t="shared" si="80"/>
        <v>-7.2551620006761717E-3</v>
      </c>
      <c r="AA89" s="31">
        <f t="shared" si="80"/>
        <v>-3.9503899625704109E-3</v>
      </c>
      <c r="AB89" s="31">
        <f t="shared" si="80"/>
        <v>-4.3637833710726678E-3</v>
      </c>
      <c r="AC89" s="31">
        <f t="shared" si="80"/>
        <v>-5.0970004582131618E-3</v>
      </c>
      <c r="AD89" s="31">
        <f t="shared" si="80"/>
        <v>-7.8539000971734657E-4</v>
      </c>
      <c r="AE89" s="31">
        <f t="shared" si="80"/>
        <v>-2.4788016914337211E-3</v>
      </c>
      <c r="AF89" s="31">
        <f t="shared" si="80"/>
        <v>-1.0525774548136175E-2</v>
      </c>
      <c r="AG89" s="31">
        <f t="shared" si="80"/>
        <v>-6.6044524373607928E-3</v>
      </c>
      <c r="AH89" s="31">
        <f t="shared" si="80"/>
        <v>-2.2611445542452349E-3</v>
      </c>
      <c r="AI89" s="31">
        <f t="shared" si="80"/>
        <v>-9.898062095778936E-3</v>
      </c>
      <c r="AJ89" s="31">
        <f t="shared" si="80"/>
        <v>0</v>
      </c>
    </row>
    <row r="90" spans="5:66" x14ac:dyDescent="0.3">
      <c r="E90" s="85" t="s">
        <v>196</v>
      </c>
      <c r="F90" s="31">
        <f t="shared" ref="F90:AJ90" si="81">IF($E90=F$75,1,0)-F56</f>
        <v>-4.7188134251475305E-4</v>
      </c>
      <c r="G90" s="31">
        <f t="shared" si="81"/>
        <v>-7.3132853656544448E-4</v>
      </c>
      <c r="H90" s="31">
        <f t="shared" si="81"/>
        <v>-1.3291666448679879E-3</v>
      </c>
      <c r="I90" s="31">
        <f t="shared" si="81"/>
        <v>-1.0773516842970906E-3</v>
      </c>
      <c r="J90" s="31">
        <f t="shared" si="81"/>
        <v>-1.8125494822359171E-3</v>
      </c>
      <c r="K90" s="31">
        <f t="shared" si="81"/>
        <v>-9.1920283000853189E-4</v>
      </c>
      <c r="L90" s="31">
        <f t="shared" si="81"/>
        <v>-1.2413326703925374E-3</v>
      </c>
      <c r="M90" s="31">
        <f t="shared" si="81"/>
        <v>-1.8016836961219985E-3</v>
      </c>
      <c r="N90" s="31">
        <f t="shared" si="81"/>
        <v>-6.2994202960531811E-3</v>
      </c>
      <c r="O90" s="31">
        <f t="shared" si="81"/>
        <v>-1.7298061034107276E-3</v>
      </c>
      <c r="P90" s="31">
        <f t="shared" si="81"/>
        <v>-1.8305253479274906E-3</v>
      </c>
      <c r="Q90" s="31">
        <f t="shared" si="81"/>
        <v>-2.2694764464206204E-3</v>
      </c>
      <c r="R90" s="31">
        <f t="shared" si="81"/>
        <v>-2.0778815722889018E-3</v>
      </c>
      <c r="S90" s="31">
        <f t="shared" si="81"/>
        <v>-3.6353065277124362E-2</v>
      </c>
      <c r="T90" s="31">
        <f t="shared" si="81"/>
        <v>0.97882472896730099</v>
      </c>
      <c r="U90" s="31">
        <f t="shared" si="81"/>
        <v>-6.3121496818272253E-3</v>
      </c>
      <c r="V90" s="31">
        <f t="shared" si="81"/>
        <v>-1.2371945822506921E-5</v>
      </c>
      <c r="W90" s="31">
        <f t="shared" si="81"/>
        <v>-1.2443584467087667E-4</v>
      </c>
      <c r="X90" s="31">
        <f t="shared" si="81"/>
        <v>-4.5569580440477587E-6</v>
      </c>
      <c r="Y90" s="31">
        <f t="shared" si="81"/>
        <v>-1.6484902302261913E-3</v>
      </c>
      <c r="Z90" s="31">
        <f t="shared" si="81"/>
        <v>-9.0397371308115302E-4</v>
      </c>
      <c r="AA90" s="31">
        <f t="shared" si="81"/>
        <v>-4.9220798684446654E-4</v>
      </c>
      <c r="AB90" s="31">
        <f t="shared" si="81"/>
        <v>-5.4371569603307336E-4</v>
      </c>
      <c r="AC90" s="31">
        <f t="shared" si="81"/>
        <v>-6.3507257720197999E-4</v>
      </c>
      <c r="AD90" s="31">
        <f t="shared" si="81"/>
        <v>-9.7857487294544785E-5</v>
      </c>
      <c r="AE90" s="31">
        <f t="shared" si="81"/>
        <v>-3.0885203787156594E-4</v>
      </c>
      <c r="AF90" s="31">
        <f t="shared" si="81"/>
        <v>-1.3114832584643825E-3</v>
      </c>
      <c r="AG90" s="31">
        <f t="shared" si="81"/>
        <v>-8.2289704793807328E-4</v>
      </c>
      <c r="AH90" s="31">
        <f t="shared" si="81"/>
        <v>-2.8173254275008525E-4</v>
      </c>
      <c r="AI90" s="31">
        <f t="shared" si="81"/>
        <v>-1.2332719716245067E-3</v>
      </c>
      <c r="AJ90" s="31">
        <f t="shared" si="81"/>
        <v>0</v>
      </c>
    </row>
    <row r="91" spans="5:66" x14ac:dyDescent="0.3">
      <c r="E91" s="86" t="s">
        <v>37</v>
      </c>
      <c r="F91" s="31">
        <f t="shared" ref="F91:AJ91" si="82">IF($E91=F$75,1,0)-F57</f>
        <v>-2.4755393161916906E-3</v>
      </c>
      <c r="G91" s="31">
        <f t="shared" si="82"/>
        <v>-1.1679582281733476E-3</v>
      </c>
      <c r="H91" s="31">
        <f t="shared" si="82"/>
        <v>-2.1227273952384709E-3</v>
      </c>
      <c r="I91" s="31">
        <f t="shared" si="82"/>
        <v>-1.720569759551014E-3</v>
      </c>
      <c r="J91" s="31">
        <f t="shared" si="82"/>
        <v>-2.8947073386344445E-3</v>
      </c>
      <c r="K91" s="31">
        <f t="shared" si="82"/>
        <v>-1.4680002967074419E-3</v>
      </c>
      <c r="L91" s="31">
        <f t="shared" si="82"/>
        <v>-1.8626659970374343E-3</v>
      </c>
      <c r="M91" s="31">
        <f t="shared" si="82"/>
        <v>-3.718216896518052E-3</v>
      </c>
      <c r="N91" s="31">
        <f t="shared" si="82"/>
        <v>-6.561100128843627E-3</v>
      </c>
      <c r="O91" s="31">
        <f t="shared" si="82"/>
        <v>-6.812243598593832E-4</v>
      </c>
      <c r="P91" s="31">
        <f t="shared" si="82"/>
        <v>-7.2088915392859519E-4</v>
      </c>
      <c r="Q91" s="31">
        <f t="shared" si="82"/>
        <v>-2.4674964709790553E-2</v>
      </c>
      <c r="R91" s="31">
        <f t="shared" si="82"/>
        <v>-1.4436477915120269E-3</v>
      </c>
      <c r="S91" s="31">
        <f t="shared" si="82"/>
        <v>-1.2904774845290303E-3</v>
      </c>
      <c r="T91" s="31">
        <f t="shared" si="82"/>
        <v>-7.5168930840319517E-4</v>
      </c>
      <c r="U91" s="31">
        <f t="shared" si="82"/>
        <v>0.97870212109135279</v>
      </c>
      <c r="V91" s="31">
        <f t="shared" si="82"/>
        <v>-7.3664711365121951E-4</v>
      </c>
      <c r="W91" s="31">
        <f t="shared" si="82"/>
        <v>-1.3148257138731257E-3</v>
      </c>
      <c r="X91" s="31">
        <f t="shared" si="82"/>
        <v>-2.2851652387266655E-4</v>
      </c>
      <c r="Y91" s="31">
        <f t="shared" si="82"/>
        <v>-3.1267026017772104E-3</v>
      </c>
      <c r="Z91" s="31">
        <f t="shared" si="82"/>
        <v>-8.2769744187330982E-4</v>
      </c>
      <c r="AA91" s="31">
        <f t="shared" si="82"/>
        <v>-3.5913449727140068E-3</v>
      </c>
      <c r="AB91" s="31">
        <f t="shared" si="82"/>
        <v>-2.4837876554094649E-3</v>
      </c>
      <c r="AC91" s="31">
        <f t="shared" si="82"/>
        <v>-4.0622724167902651E-3</v>
      </c>
      <c r="AD91" s="31">
        <f t="shared" si="82"/>
        <v>-4.8549285797882158E-4</v>
      </c>
      <c r="AE91" s="31">
        <f t="shared" si="82"/>
        <v>-2.3408138589902554E-3</v>
      </c>
      <c r="AF91" s="31">
        <f t="shared" si="82"/>
        <v>-1.0620436279907469E-2</v>
      </c>
      <c r="AG91" s="31">
        <f t="shared" si="82"/>
        <v>-5.2183839745544094E-3</v>
      </c>
      <c r="AH91" s="31">
        <f t="shared" si="82"/>
        <v>-4.6074829363180235E-3</v>
      </c>
      <c r="AI91" s="31">
        <f t="shared" si="82"/>
        <v>-4.6968765639092466E-3</v>
      </c>
      <c r="AJ91" s="31">
        <f t="shared" si="82"/>
        <v>0</v>
      </c>
    </row>
    <row r="92" spans="5:66" x14ac:dyDescent="0.3">
      <c r="E92" s="86" t="s">
        <v>38</v>
      </c>
      <c r="F92" s="31">
        <f t="shared" ref="F92:AJ92" si="83">IF($E92=F$75,1,0)-F58</f>
        <v>-4.4760933703611137E-5</v>
      </c>
      <c r="G92" s="31">
        <f t="shared" si="83"/>
        <v>-1.1169349211327375E-4</v>
      </c>
      <c r="H92" s="31">
        <f t="shared" si="83"/>
        <v>-2.0299941372861217E-4</v>
      </c>
      <c r="I92" s="31">
        <f t="shared" si="83"/>
        <v>-1.6454051200898406E-4</v>
      </c>
      <c r="J92" s="31">
        <f t="shared" si="83"/>
        <v>-2.7682494416231377E-4</v>
      </c>
      <c r="K92" s="31">
        <f t="shared" si="83"/>
        <v>-1.4038693816902534E-4</v>
      </c>
      <c r="L92" s="31">
        <f t="shared" si="83"/>
        <v>-1.4281940535707105E-4</v>
      </c>
      <c r="M92" s="31">
        <f t="shared" si="83"/>
        <v>-5.5376800115025616E-4</v>
      </c>
      <c r="N92" s="31">
        <f t="shared" si="83"/>
        <v>-7.5196061267929107E-4</v>
      </c>
      <c r="O92" s="31">
        <f t="shared" si="83"/>
        <v>-1.054365235263805E-4</v>
      </c>
      <c r="P92" s="31">
        <f t="shared" si="83"/>
        <v>-1.1157564338097698E-4</v>
      </c>
      <c r="Q92" s="31">
        <f t="shared" si="83"/>
        <v>-2.461224199623998E-4</v>
      </c>
      <c r="R92" s="31">
        <f t="shared" si="83"/>
        <v>-9.8186336413539819E-4</v>
      </c>
      <c r="S92" s="31">
        <f t="shared" si="83"/>
        <v>-2.8358661677947239E-4</v>
      </c>
      <c r="T92" s="31">
        <f t="shared" si="83"/>
        <v>-1.6518616589204668E-4</v>
      </c>
      <c r="U92" s="31">
        <f t="shared" si="83"/>
        <v>-9.1146103509229779E-4</v>
      </c>
      <c r="V92" s="31">
        <f t="shared" si="83"/>
        <v>0.99860246884642834</v>
      </c>
      <c r="W92" s="31">
        <f t="shared" si="83"/>
        <v>-8.4286313585539812E-4</v>
      </c>
      <c r="X92" s="31">
        <f t="shared" si="83"/>
        <v>-6.2519255751465077E-4</v>
      </c>
      <c r="Y92" s="31">
        <f t="shared" si="83"/>
        <v>-5.3485953161185788E-4</v>
      </c>
      <c r="Z92" s="31">
        <f t="shared" si="83"/>
        <v>-1.8458692738266189E-4</v>
      </c>
      <c r="AA92" s="31">
        <f t="shared" si="83"/>
        <v>-3.2333233188783125E-4</v>
      </c>
      <c r="AB92" s="31">
        <f t="shared" si="83"/>
        <v>-9.5838071259608392E-4</v>
      </c>
      <c r="AC92" s="31">
        <f t="shared" si="83"/>
        <v>-5.2845038705721058E-4</v>
      </c>
      <c r="AD92" s="31">
        <f t="shared" si="83"/>
        <v>-3.0068380327774726E-4</v>
      </c>
      <c r="AE92" s="31">
        <f t="shared" si="83"/>
        <v>-7.5060951061943048E-4</v>
      </c>
      <c r="AF92" s="31">
        <f t="shared" si="83"/>
        <v>-1.176165034401854E-3</v>
      </c>
      <c r="AG92" s="31">
        <f t="shared" si="83"/>
        <v>-7.9150888912827763E-4</v>
      </c>
      <c r="AH92" s="31">
        <f t="shared" si="83"/>
        <v>-1.4379736106647967E-3</v>
      </c>
      <c r="AI92" s="31">
        <f t="shared" si="83"/>
        <v>-8.412784542341054E-4</v>
      </c>
      <c r="AJ92" s="31">
        <f t="shared" si="83"/>
        <v>0</v>
      </c>
    </row>
    <row r="93" spans="5:66" ht="14.3" customHeight="1" x14ac:dyDescent="0.3">
      <c r="E93" s="86" t="s">
        <v>39</v>
      </c>
      <c r="F93" s="31">
        <f t="shared" ref="F93:AJ93" si="84">IF($E93=F$75,1,0)-F59</f>
        <v>0</v>
      </c>
      <c r="G93" s="31">
        <f t="shared" si="84"/>
        <v>0</v>
      </c>
      <c r="H93" s="31">
        <f t="shared" si="84"/>
        <v>0</v>
      </c>
      <c r="I93" s="31">
        <f t="shared" si="84"/>
        <v>0</v>
      </c>
      <c r="J93" s="31">
        <f t="shared" si="84"/>
        <v>0</v>
      </c>
      <c r="K93" s="31">
        <f t="shared" si="84"/>
        <v>0</v>
      </c>
      <c r="L93" s="31">
        <f t="shared" si="84"/>
        <v>0</v>
      </c>
      <c r="M93" s="31">
        <f t="shared" si="84"/>
        <v>0</v>
      </c>
      <c r="N93" s="31">
        <f t="shared" si="84"/>
        <v>0</v>
      </c>
      <c r="O93" s="31">
        <f t="shared" si="84"/>
        <v>0</v>
      </c>
      <c r="P93" s="31">
        <f t="shared" si="84"/>
        <v>0</v>
      </c>
      <c r="Q93" s="31">
        <f t="shared" si="84"/>
        <v>0</v>
      </c>
      <c r="R93" s="31">
        <f t="shared" si="84"/>
        <v>0</v>
      </c>
      <c r="S93" s="31">
        <f t="shared" si="84"/>
        <v>-3.0589687679333076E-4</v>
      </c>
      <c r="T93" s="31">
        <f t="shared" si="84"/>
        <v>-1.7818165331524117E-4</v>
      </c>
      <c r="U93" s="31">
        <f t="shared" si="84"/>
        <v>0</v>
      </c>
      <c r="V93" s="31">
        <f t="shared" si="84"/>
        <v>0</v>
      </c>
      <c r="W93" s="31">
        <f t="shared" si="84"/>
        <v>0.9999655273454332</v>
      </c>
      <c r="X93" s="31">
        <f t="shared" si="84"/>
        <v>-2.4862593142232714E-5</v>
      </c>
      <c r="Y93" s="31">
        <f t="shared" si="84"/>
        <v>0</v>
      </c>
      <c r="Z93" s="31">
        <f t="shared" si="84"/>
        <v>-2.0196162239608079E-3</v>
      </c>
      <c r="AA93" s="31">
        <f t="shared" si="84"/>
        <v>0</v>
      </c>
      <c r="AB93" s="31">
        <f t="shared" si="84"/>
        <v>0</v>
      </c>
      <c r="AC93" s="31">
        <f t="shared" si="84"/>
        <v>0</v>
      </c>
      <c r="AD93" s="31">
        <f t="shared" si="84"/>
        <v>0</v>
      </c>
      <c r="AE93" s="31">
        <f t="shared" si="84"/>
        <v>0</v>
      </c>
      <c r="AF93" s="31">
        <f t="shared" si="84"/>
        <v>0</v>
      </c>
      <c r="AG93" s="31">
        <f t="shared" si="84"/>
        <v>0</v>
      </c>
      <c r="AH93" s="31">
        <f t="shared" si="84"/>
        <v>0</v>
      </c>
      <c r="AI93" s="31">
        <f t="shared" si="84"/>
        <v>0</v>
      </c>
      <c r="AJ93" s="31">
        <f t="shared" si="84"/>
        <v>0</v>
      </c>
    </row>
    <row r="94" spans="5:66" x14ac:dyDescent="0.3">
      <c r="E94" s="86" t="s">
        <v>40</v>
      </c>
      <c r="F94" s="31">
        <f t="shared" ref="F94:AJ94" si="85">IF($E94=F$75,1,0)-F60</f>
        <v>-5.5348887853966591E-4</v>
      </c>
      <c r="G94" s="31">
        <f t="shared" si="85"/>
        <v>-1.0661729326804804E-3</v>
      </c>
      <c r="H94" s="31">
        <f t="shared" si="85"/>
        <v>-1.9377358176603345E-3</v>
      </c>
      <c r="I94" s="31">
        <f t="shared" si="85"/>
        <v>-1.5706254403385985E-3</v>
      </c>
      <c r="J94" s="31">
        <f t="shared" si="85"/>
        <v>-2.642439205476048E-3</v>
      </c>
      <c r="K94" s="31">
        <f t="shared" si="85"/>
        <v>-1.340066916574769E-3</v>
      </c>
      <c r="L94" s="31">
        <f t="shared" si="85"/>
        <v>-6.3232979480500094E-4</v>
      </c>
      <c r="M94" s="31">
        <f t="shared" si="85"/>
        <v>0</v>
      </c>
      <c r="N94" s="31">
        <f t="shared" si="85"/>
        <v>0</v>
      </c>
      <c r="O94" s="31">
        <f t="shared" si="85"/>
        <v>-1.3904471791862079E-3</v>
      </c>
      <c r="P94" s="31">
        <f t="shared" si="85"/>
        <v>-1.47140699841217E-3</v>
      </c>
      <c r="Q94" s="31">
        <f t="shared" si="85"/>
        <v>0</v>
      </c>
      <c r="R94" s="31">
        <f t="shared" si="85"/>
        <v>-1.7346173311098622E-2</v>
      </c>
      <c r="S94" s="31">
        <f t="shared" si="85"/>
        <v>-1.9298267534438536E-2</v>
      </c>
      <c r="T94" s="31">
        <f t="shared" si="85"/>
        <v>-1.1241034074791411E-2</v>
      </c>
      <c r="U94" s="31">
        <f t="shared" si="85"/>
        <v>-4.8829644612688877E-2</v>
      </c>
      <c r="V94" s="31">
        <f t="shared" si="85"/>
        <v>-0.16304394968726243</v>
      </c>
      <c r="W94" s="31">
        <f t="shared" si="85"/>
        <v>-0.12348680896264543</v>
      </c>
      <c r="X94" s="31">
        <f t="shared" si="85"/>
        <v>0.89536135608750433</v>
      </c>
      <c r="Y94" s="31">
        <f t="shared" si="85"/>
        <v>-5.7707660870626358E-3</v>
      </c>
      <c r="Z94" s="31">
        <f t="shared" si="85"/>
        <v>-3.2124299007549326E-3</v>
      </c>
      <c r="AA94" s="31">
        <f t="shared" si="85"/>
        <v>-7.2572082983236846E-3</v>
      </c>
      <c r="AB94" s="31">
        <f t="shared" si="85"/>
        <v>-1.1468205048422365E-4</v>
      </c>
      <c r="AC94" s="31">
        <f t="shared" si="85"/>
        <v>-2.6210317793982979E-3</v>
      </c>
      <c r="AD94" s="31">
        <f t="shared" si="85"/>
        <v>-2.0898903955208201E-2</v>
      </c>
      <c r="AE94" s="31">
        <f t="shared" si="85"/>
        <v>-3.9311896753871567E-3</v>
      </c>
      <c r="AF94" s="31">
        <f t="shared" si="85"/>
        <v>-2.886659782158606E-2</v>
      </c>
      <c r="AG94" s="31">
        <f t="shared" si="85"/>
        <v>-2.2201002623212895E-2</v>
      </c>
      <c r="AH94" s="31">
        <f t="shared" si="85"/>
        <v>-1.9348256241100582E-3</v>
      </c>
      <c r="AI94" s="31">
        <f t="shared" si="85"/>
        <v>-1.8266067795687953E-2</v>
      </c>
      <c r="AJ94" s="31">
        <f t="shared" si="85"/>
        <v>0</v>
      </c>
    </row>
    <row r="95" spans="5:66" x14ac:dyDescent="0.3">
      <c r="E95" s="86" t="s">
        <v>41</v>
      </c>
      <c r="F95" s="31">
        <f t="shared" ref="F95:AJ95" si="86">IF($E95=F$75,1,0)-F61</f>
        <v>-3.9232942921136313E-2</v>
      </c>
      <c r="G95" s="31">
        <f t="shared" si="86"/>
        <v>-8.3650001340475812E-3</v>
      </c>
      <c r="H95" s="31">
        <f t="shared" si="86"/>
        <v>-1.5203125006865275E-2</v>
      </c>
      <c r="I95" s="31">
        <f t="shared" si="86"/>
        <v>-1.2322843336436779E-2</v>
      </c>
      <c r="J95" s="31">
        <f t="shared" si="86"/>
        <v>-2.0732100422440607E-2</v>
      </c>
      <c r="K95" s="31">
        <f t="shared" si="86"/>
        <v>-1.0513922829196488E-2</v>
      </c>
      <c r="L95" s="31">
        <f t="shared" si="86"/>
        <v>-6.0230639292823636E-2</v>
      </c>
      <c r="M95" s="31">
        <f t="shared" si="86"/>
        <v>-5.9186888495425763E-2</v>
      </c>
      <c r="N95" s="31">
        <f t="shared" si="86"/>
        <v>-8.6093988230710294E-2</v>
      </c>
      <c r="O95" s="31">
        <f t="shared" si="86"/>
        <v>-3.3863150828545928E-2</v>
      </c>
      <c r="P95" s="31">
        <f t="shared" si="86"/>
        <v>-3.5834857924320063E-2</v>
      </c>
      <c r="Q95" s="31">
        <f t="shared" si="86"/>
        <v>-9.0484135999000195E-2</v>
      </c>
      <c r="R95" s="31">
        <f t="shared" si="86"/>
        <v>-6.5710001078495173E-2</v>
      </c>
      <c r="S95" s="31">
        <f t="shared" si="86"/>
        <v>-7.5950724616671199E-3</v>
      </c>
      <c r="T95" s="31">
        <f t="shared" si="86"/>
        <v>-4.4240483343778005E-3</v>
      </c>
      <c r="U95" s="31">
        <f t="shared" si="86"/>
        <v>-2.2409282815999521E-2</v>
      </c>
      <c r="V95" s="31">
        <f t="shared" si="86"/>
        <v>-5.0937957576674769E-2</v>
      </c>
      <c r="W95" s="31">
        <f t="shared" si="86"/>
        <v>-6.5240584693769615E-2</v>
      </c>
      <c r="X95" s="31">
        <f t="shared" si="86"/>
        <v>-6.0287448145264329E-2</v>
      </c>
      <c r="Y95" s="31">
        <f t="shared" si="86"/>
        <v>0.98002497300198332</v>
      </c>
      <c r="Z95" s="31">
        <f t="shared" si="86"/>
        <v>-6.8250770489392987E-2</v>
      </c>
      <c r="AA95" s="31">
        <f t="shared" si="86"/>
        <v>-7.7234528431573524E-2</v>
      </c>
      <c r="AB95" s="31">
        <f t="shared" si="86"/>
        <v>-2.4690216091862203E-2</v>
      </c>
      <c r="AC95" s="31">
        <f t="shared" si="86"/>
        <v>-4.0606611859486073E-3</v>
      </c>
      <c r="AD95" s="31">
        <f t="shared" si="86"/>
        <v>-1.0282047457218816E-3</v>
      </c>
      <c r="AE95" s="31">
        <f t="shared" si="86"/>
        <v>-7.7792360700610465E-3</v>
      </c>
      <c r="AF95" s="31">
        <f t="shared" si="86"/>
        <v>-1.2221614294813606E-2</v>
      </c>
      <c r="AG95" s="31">
        <f t="shared" si="86"/>
        <v>-6.4125072721122047E-3</v>
      </c>
      <c r="AH95" s="31">
        <f t="shared" si="86"/>
        <v>-2.4031034774406497E-2</v>
      </c>
      <c r="AI95" s="31">
        <f t="shared" si="86"/>
        <v>-1.6990815572495356E-2</v>
      </c>
      <c r="AJ95" s="31">
        <f t="shared" si="86"/>
        <v>0</v>
      </c>
    </row>
    <row r="96" spans="5:66" x14ac:dyDescent="0.3">
      <c r="E96" s="86" t="s">
        <v>42</v>
      </c>
      <c r="F96" s="31">
        <f t="shared" ref="F96:AJ96" si="87">IF($E96=F$75,1,0)-F62</f>
        <v>-2.2341185547625195E-2</v>
      </c>
      <c r="G96" s="31">
        <f t="shared" si="87"/>
        <v>-4.7376832972887382E-2</v>
      </c>
      <c r="H96" s="31">
        <f t="shared" si="87"/>
        <v>-8.610590586657442E-2</v>
      </c>
      <c r="I96" s="31">
        <f t="shared" si="87"/>
        <v>-6.9792860866211531E-2</v>
      </c>
      <c r="J96" s="31">
        <f t="shared" si="87"/>
        <v>-0.11742035184114555</v>
      </c>
      <c r="K96" s="31">
        <f t="shared" si="87"/>
        <v>-5.9547681743747388E-2</v>
      </c>
      <c r="L96" s="31">
        <f t="shared" si="87"/>
        <v>-2.3387916917643619E-2</v>
      </c>
      <c r="M96" s="31">
        <f t="shared" si="87"/>
        <v>-4.2157362574609246E-2</v>
      </c>
      <c r="N96" s="31">
        <f t="shared" si="87"/>
        <v>-2.4155618990388459E-2</v>
      </c>
      <c r="O96" s="31">
        <f t="shared" si="87"/>
        <v>-2.5953200042355958E-2</v>
      </c>
      <c r="P96" s="31">
        <f t="shared" si="87"/>
        <v>-2.7464344381541952E-2</v>
      </c>
      <c r="Q96" s="31">
        <f t="shared" si="87"/>
        <v>-1.6894143720836918E-2</v>
      </c>
      <c r="R96" s="31">
        <f t="shared" si="87"/>
        <v>-2.0626999827288089E-2</v>
      </c>
      <c r="S96" s="31">
        <f t="shared" si="87"/>
        <v>-4.3801324125763597E-2</v>
      </c>
      <c r="T96" s="31">
        <f t="shared" si="87"/>
        <v>-2.5513802010467195E-2</v>
      </c>
      <c r="U96" s="31">
        <f t="shared" si="87"/>
        <v>-2.4474700858065808E-2</v>
      </c>
      <c r="V96" s="31">
        <f t="shared" si="87"/>
        <v>-1.151707369861913E-2</v>
      </c>
      <c r="W96" s="31">
        <f t="shared" si="87"/>
        <v>-2.5380271228417364E-2</v>
      </c>
      <c r="X96" s="31">
        <f t="shared" si="87"/>
        <v>-8.7684921518696359E-3</v>
      </c>
      <c r="Y96" s="31">
        <f t="shared" si="87"/>
        <v>-8.7957221655232037E-2</v>
      </c>
      <c r="Z96" s="31">
        <f t="shared" si="87"/>
        <v>0.85982024599683027</v>
      </c>
      <c r="AA96" s="31">
        <f t="shared" si="87"/>
        <v>-3.0544266390041763E-2</v>
      </c>
      <c r="AB96" s="31">
        <f t="shared" si="87"/>
        <v>-1.6128297908938598E-2</v>
      </c>
      <c r="AC96" s="31">
        <f t="shared" si="87"/>
        <v>-1.0409461869462152E-2</v>
      </c>
      <c r="AD96" s="31">
        <f t="shared" si="87"/>
        <v>-3.3034556053563716E-3</v>
      </c>
      <c r="AE96" s="31">
        <f t="shared" si="87"/>
        <v>-2.2804711213851976E-2</v>
      </c>
      <c r="AF96" s="31">
        <f t="shared" si="87"/>
        <v>-1.4505243221093625E-2</v>
      </c>
      <c r="AG96" s="31">
        <f t="shared" si="87"/>
        <v>-1.0254475272093402E-2</v>
      </c>
      <c r="AH96" s="31">
        <f t="shared" si="87"/>
        <v>-4.5555409731192356E-3</v>
      </c>
      <c r="AI96" s="31">
        <f t="shared" si="87"/>
        <v>-9.7365678877795545E-3</v>
      </c>
      <c r="AJ96" s="31">
        <f t="shared" si="87"/>
        <v>0</v>
      </c>
    </row>
    <row r="97" spans="4:36" x14ac:dyDescent="0.3">
      <c r="E97" s="84" t="s">
        <v>43</v>
      </c>
      <c r="F97" s="31">
        <f t="shared" ref="F97:AJ97" si="88">IF($E97=F$75,1,0)-F63</f>
        <v>-2.3089873991979392E-3</v>
      </c>
      <c r="G97" s="31">
        <f t="shared" si="88"/>
        <v>-1.34008845765994E-3</v>
      </c>
      <c r="H97" s="31">
        <f t="shared" si="88"/>
        <v>-2.4355686808821592E-3</v>
      </c>
      <c r="I97" s="31">
        <f t="shared" si="88"/>
        <v>-1.9741422422094013E-3</v>
      </c>
      <c r="J97" s="31">
        <f t="shared" si="88"/>
        <v>-3.321320745241412E-3</v>
      </c>
      <c r="K97" s="31">
        <f t="shared" si="88"/>
        <v>-1.6843498388942656E-3</v>
      </c>
      <c r="L97" s="31">
        <f t="shared" si="88"/>
        <v>-4.1099211949498574E-3</v>
      </c>
      <c r="M97" s="31">
        <f t="shared" si="88"/>
        <v>-3.5486098730494278E-3</v>
      </c>
      <c r="N97" s="31">
        <f t="shared" si="88"/>
        <v>-2.6287088204051496E-3</v>
      </c>
      <c r="O97" s="31">
        <f t="shared" si="88"/>
        <v>-1.473170823422597E-3</v>
      </c>
      <c r="P97" s="31">
        <f t="shared" si="88"/>
        <v>-1.5589472882452736E-3</v>
      </c>
      <c r="Q97" s="31">
        <f t="shared" si="88"/>
        <v>-2.7291211548100226E-3</v>
      </c>
      <c r="R97" s="31">
        <f t="shared" si="88"/>
        <v>-2.2057505108415772E-3</v>
      </c>
      <c r="S97" s="31">
        <f t="shared" si="88"/>
        <v>-1.5719132057993462E-3</v>
      </c>
      <c r="T97" s="31">
        <f t="shared" si="88"/>
        <v>-9.1562260070611825E-4</v>
      </c>
      <c r="U97" s="31">
        <f t="shared" si="88"/>
        <v>-3.6122821299181865E-3</v>
      </c>
      <c r="V97" s="31">
        <f t="shared" si="88"/>
        <v>-9.960393279908027E-4</v>
      </c>
      <c r="W97" s="31">
        <f t="shared" si="88"/>
        <v>-1.3057968443837486E-3</v>
      </c>
      <c r="X97" s="31">
        <f t="shared" si="88"/>
        <v>-1.0771648504576577E-3</v>
      </c>
      <c r="Y97" s="31">
        <f t="shared" si="88"/>
        <v>-7.6366301434014419E-3</v>
      </c>
      <c r="Z97" s="31">
        <f t="shared" si="88"/>
        <v>-7.2337858308045939E-3</v>
      </c>
      <c r="AA97" s="31">
        <f t="shared" si="88"/>
        <v>0.98780802172021098</v>
      </c>
      <c r="AB97" s="31">
        <f t="shared" si="88"/>
        <v>-8.860477205836978E-3</v>
      </c>
      <c r="AC97" s="31">
        <f t="shared" si="88"/>
        <v>-9.4095428185332498E-3</v>
      </c>
      <c r="AD97" s="31">
        <f t="shared" si="88"/>
        <v>-1.0290019715658094E-3</v>
      </c>
      <c r="AE97" s="31">
        <f t="shared" si="88"/>
        <v>-8.0201458166529078E-3</v>
      </c>
      <c r="AF97" s="31">
        <f t="shared" si="88"/>
        <v>-1.0472687750623608E-2</v>
      </c>
      <c r="AG97" s="31">
        <f t="shared" si="88"/>
        <v>-6.2180869348671891E-3</v>
      </c>
      <c r="AH97" s="31">
        <f t="shared" si="88"/>
        <v>-2.9785995606533937E-3</v>
      </c>
      <c r="AI97" s="31">
        <f t="shared" si="88"/>
        <v>-3.6223157210188685E-2</v>
      </c>
      <c r="AJ97" s="31">
        <f t="shared" si="88"/>
        <v>0</v>
      </c>
    </row>
    <row r="98" spans="4:36" x14ac:dyDescent="0.3">
      <c r="E98" s="86" t="s">
        <v>44</v>
      </c>
      <c r="F98" s="31">
        <f t="shared" ref="F98:AJ98" si="89">IF($E98=F$75,1,0)-F64</f>
        <v>-2.1274792931351536E-3</v>
      </c>
      <c r="G98" s="31">
        <f t="shared" si="89"/>
        <v>-2.7434658489724015E-3</v>
      </c>
      <c r="H98" s="31">
        <f t="shared" si="89"/>
        <v>-4.9861630108320497E-3</v>
      </c>
      <c r="I98" s="31">
        <f t="shared" si="89"/>
        <v>-4.0415181487143698E-3</v>
      </c>
      <c r="J98" s="31">
        <f t="shared" si="89"/>
        <v>-6.7994989330514895E-3</v>
      </c>
      <c r="K98" s="31">
        <f t="shared" si="89"/>
        <v>-3.4482471916799351E-3</v>
      </c>
      <c r="L98" s="31">
        <f t="shared" si="89"/>
        <v>-4.437393662789676E-3</v>
      </c>
      <c r="M98" s="31">
        <f t="shared" si="89"/>
        <v>-9.5248240063284875E-3</v>
      </c>
      <c r="N98" s="31">
        <f t="shared" si="89"/>
        <v>-1.1763783466339694E-2</v>
      </c>
      <c r="O98" s="31">
        <f t="shared" si="89"/>
        <v>-2.5475263646800605E-3</v>
      </c>
      <c r="P98" s="31">
        <f t="shared" si="89"/>
        <v>-2.6958579784552641E-3</v>
      </c>
      <c r="Q98" s="31">
        <f t="shared" si="89"/>
        <v>-7.2215484285716282E-3</v>
      </c>
      <c r="R98" s="31">
        <f t="shared" si="89"/>
        <v>-5.8708699251656454E-3</v>
      </c>
      <c r="S98" s="31">
        <f t="shared" si="89"/>
        <v>-1.108228491765623E-2</v>
      </c>
      <c r="T98" s="31">
        <f t="shared" si="89"/>
        <v>-6.4553122275670142E-3</v>
      </c>
      <c r="U98" s="31">
        <f t="shared" si="89"/>
        <v>-1.5644169024754073E-2</v>
      </c>
      <c r="V98" s="31">
        <f t="shared" si="89"/>
        <v>-4.2376595391134461E-3</v>
      </c>
      <c r="W98" s="31">
        <f t="shared" si="89"/>
        <v>-6.5611789001905349E-3</v>
      </c>
      <c r="X98" s="31">
        <f t="shared" si="89"/>
        <v>-4.4177946507904632E-3</v>
      </c>
      <c r="Y98" s="31">
        <f t="shared" si="89"/>
        <v>-3.5007929577612333E-2</v>
      </c>
      <c r="Z98" s="31">
        <f t="shared" si="89"/>
        <v>-7.6077785544557894E-3</v>
      </c>
      <c r="AA98" s="31">
        <f t="shared" si="89"/>
        <v>-1.3201061386683359E-2</v>
      </c>
      <c r="AB98" s="31">
        <f t="shared" si="89"/>
        <v>0.86932555825544711</v>
      </c>
      <c r="AC98" s="31">
        <f t="shared" si="89"/>
        <v>-1.636306900715765E-2</v>
      </c>
      <c r="AD98" s="31">
        <f t="shared" si="89"/>
        <v>-5.7812612986081532E-3</v>
      </c>
      <c r="AE98" s="31">
        <f t="shared" si="89"/>
        <v>-3.6093190087111302E-2</v>
      </c>
      <c r="AF98" s="31">
        <f t="shared" si="89"/>
        <v>-4.0543129080835433E-2</v>
      </c>
      <c r="AG98" s="31">
        <f t="shared" si="89"/>
        <v>-2.5041861957684829E-2</v>
      </c>
      <c r="AH98" s="31">
        <f t="shared" si="89"/>
        <v>-1.1958962409802052E-2</v>
      </c>
      <c r="AI98" s="31">
        <f t="shared" si="89"/>
        <v>-2.6265378094707876E-2</v>
      </c>
      <c r="AJ98" s="31">
        <f t="shared" si="89"/>
        <v>0</v>
      </c>
    </row>
    <row r="99" spans="4:36" x14ac:dyDescent="0.3">
      <c r="E99" s="86" t="s">
        <v>45</v>
      </c>
      <c r="F99" s="31">
        <f t="shared" ref="F99:AJ99" si="90">IF($E99=F$75,1,0)-F65</f>
        <v>-8.9852993809933467E-3</v>
      </c>
      <c r="G99" s="31">
        <f t="shared" si="90"/>
        <v>-4.273711842258731E-3</v>
      </c>
      <c r="H99" s="31">
        <f t="shared" si="90"/>
        <v>-7.7673370400462927E-3</v>
      </c>
      <c r="I99" s="31">
        <f t="shared" si="90"/>
        <v>-6.2957896776202719E-3</v>
      </c>
      <c r="J99" s="31">
        <f t="shared" si="90"/>
        <v>-1.059211257267598E-2</v>
      </c>
      <c r="K99" s="31">
        <f t="shared" si="90"/>
        <v>-5.3716049950604649E-3</v>
      </c>
      <c r="L99" s="31">
        <f t="shared" si="90"/>
        <v>-1.2855023959952768E-2</v>
      </c>
      <c r="M99" s="31">
        <f t="shared" si="90"/>
        <v>-1.8990234972972374E-2</v>
      </c>
      <c r="N99" s="31">
        <f t="shared" si="90"/>
        <v>-1.8925902970063396E-2</v>
      </c>
      <c r="O99" s="31">
        <f t="shared" si="90"/>
        <v>-7.3851279076905842E-3</v>
      </c>
      <c r="P99" s="31">
        <f t="shared" si="90"/>
        <v>-7.8151324625685154E-3</v>
      </c>
      <c r="Q99" s="31">
        <f t="shared" si="90"/>
        <v>-1.4406902553241981E-2</v>
      </c>
      <c r="R99" s="31">
        <f t="shared" si="90"/>
        <v>-7.7613810843147474E-3</v>
      </c>
      <c r="S99" s="31">
        <f t="shared" si="90"/>
        <v>-1.6195833709641748E-2</v>
      </c>
      <c r="T99" s="31">
        <f t="shared" si="90"/>
        <v>-9.4338996117060044E-3</v>
      </c>
      <c r="U99" s="31">
        <f t="shared" si="90"/>
        <v>-9.7918744868156406E-3</v>
      </c>
      <c r="V99" s="31">
        <f t="shared" si="90"/>
        <v>-1.715313878511655E-2</v>
      </c>
      <c r="W99" s="31">
        <f t="shared" si="90"/>
        <v>-2.4402182363122187E-2</v>
      </c>
      <c r="X99" s="31">
        <f t="shared" si="90"/>
        <v>-8.5234857091394486E-2</v>
      </c>
      <c r="Y99" s="31">
        <f t="shared" si="90"/>
        <v>-2.6786743042246937E-2</v>
      </c>
      <c r="Z99" s="31">
        <f t="shared" si="90"/>
        <v>-3.1323117960457551E-2</v>
      </c>
      <c r="AA99" s="31">
        <f t="shared" si="90"/>
        <v>-6.7076094193099269E-3</v>
      </c>
      <c r="AB99" s="31">
        <f t="shared" si="90"/>
        <v>-1.3878350836775724E-2</v>
      </c>
      <c r="AC99" s="31">
        <f t="shared" si="90"/>
        <v>0.7628636806144391</v>
      </c>
      <c r="AD99" s="31">
        <f t="shared" si="90"/>
        <v>-2.2083234442112701E-2</v>
      </c>
      <c r="AE99" s="31">
        <f t="shared" si="90"/>
        <v>-1.5134557815653317E-2</v>
      </c>
      <c r="AF99" s="31">
        <f t="shared" si="90"/>
        <v>-4.2576454924557951E-2</v>
      </c>
      <c r="AG99" s="31">
        <f t="shared" si="90"/>
        <v>-9.4166537634094473E-3</v>
      </c>
      <c r="AH99" s="31">
        <f t="shared" si="90"/>
        <v>-1.1466447275977825E-2</v>
      </c>
      <c r="AI99" s="31">
        <f t="shared" si="90"/>
        <v>-1.9030839683121536E-2</v>
      </c>
      <c r="AJ99" s="31">
        <f t="shared" si="90"/>
        <v>0</v>
      </c>
    </row>
    <row r="100" spans="4:36" x14ac:dyDescent="0.3">
      <c r="E100" s="86" t="s">
        <v>46</v>
      </c>
      <c r="F100" s="31">
        <f t="shared" ref="F100:AJ100" si="91">IF($E100=F$75,1,0)-F66</f>
        <v>-3.5685850981139475E-4</v>
      </c>
      <c r="G100" s="31">
        <f t="shared" si="91"/>
        <v>-1.7098923393971618E-3</v>
      </c>
      <c r="H100" s="31">
        <f t="shared" si="91"/>
        <v>-3.1076756207483506E-3</v>
      </c>
      <c r="I100" s="31">
        <f t="shared" si="91"/>
        <v>-2.5189163279031642E-3</v>
      </c>
      <c r="J100" s="31">
        <f t="shared" si="91"/>
        <v>-4.2378552449336051E-3</v>
      </c>
      <c r="K100" s="31">
        <f t="shared" si="91"/>
        <v>-2.1491543113648618E-3</v>
      </c>
      <c r="L100" s="31">
        <f t="shared" si="91"/>
        <v>-1.1744880831117911E-3</v>
      </c>
      <c r="M100" s="31">
        <f t="shared" si="91"/>
        <v>-1.8976584742903629E-2</v>
      </c>
      <c r="N100" s="31">
        <f t="shared" si="91"/>
        <v>-2.3271453374928337E-3</v>
      </c>
      <c r="O100" s="31">
        <f t="shared" si="91"/>
        <v>-2.5136463835650894E-3</v>
      </c>
      <c r="P100" s="31">
        <f t="shared" si="91"/>
        <v>-2.6600053102885982E-3</v>
      </c>
      <c r="Q100" s="31">
        <f t="shared" si="91"/>
        <v>-5.7920340538438527E-3</v>
      </c>
      <c r="R100" s="31">
        <f t="shared" si="91"/>
        <v>-4.3580911807596526E-3</v>
      </c>
      <c r="S100" s="31">
        <f t="shared" si="91"/>
        <v>-2.4996345540880542E-3</v>
      </c>
      <c r="T100" s="31">
        <f t="shared" si="91"/>
        <v>-1.4560103463633193E-3</v>
      </c>
      <c r="U100" s="31">
        <f t="shared" si="91"/>
        <v>-2.3406430463558541E-2</v>
      </c>
      <c r="V100" s="31">
        <f t="shared" si="91"/>
        <v>-1.9620856720779664E-4</v>
      </c>
      <c r="W100" s="31">
        <f t="shared" si="91"/>
        <v>-2.7309041305444918E-4</v>
      </c>
      <c r="X100" s="31">
        <f t="shared" si="91"/>
        <v>-6.0448623291006502E-3</v>
      </c>
      <c r="Y100" s="31">
        <f t="shared" si="91"/>
        <v>-4.2323285280405069E-2</v>
      </c>
      <c r="Z100" s="31">
        <f t="shared" si="91"/>
        <v>-1.0767623322768947E-2</v>
      </c>
      <c r="AA100" s="31">
        <f t="shared" si="91"/>
        <v>-4.2207404343822162E-2</v>
      </c>
      <c r="AB100" s="31">
        <f t="shared" si="91"/>
        <v>-2.2379401370809716E-2</v>
      </c>
      <c r="AC100" s="31">
        <f t="shared" si="91"/>
        <v>-2.54251183513493E-2</v>
      </c>
      <c r="AD100" s="31">
        <f t="shared" si="91"/>
        <v>0.99586721785738874</v>
      </c>
      <c r="AE100" s="31">
        <f t="shared" si="91"/>
        <v>-2.7380254460303892E-2</v>
      </c>
      <c r="AF100" s="31">
        <f t="shared" si="91"/>
        <v>-5.9319483183549208E-3</v>
      </c>
      <c r="AG100" s="31">
        <f t="shared" si="91"/>
        <v>-2.0719655406206135E-2</v>
      </c>
      <c r="AH100" s="31">
        <f t="shared" si="91"/>
        <v>-3.7680423317861468E-3</v>
      </c>
      <c r="AI100" s="31">
        <f t="shared" si="91"/>
        <v>-3.8008590959620989E-2</v>
      </c>
      <c r="AJ100" s="31">
        <f t="shared" si="91"/>
        <v>0</v>
      </c>
    </row>
    <row r="101" spans="4:36" x14ac:dyDescent="0.3">
      <c r="E101" s="86" t="s">
        <v>47</v>
      </c>
      <c r="F101" s="31">
        <f t="shared" ref="F101:AJ101" si="92">IF($E101=F$75,1,0)-F67</f>
        <v>-7.322871394435544E-3</v>
      </c>
      <c r="G101" s="31">
        <f t="shared" si="92"/>
        <v>-1.5156590567092065E-2</v>
      </c>
      <c r="H101" s="31">
        <f t="shared" si="92"/>
        <v>-2.7546627301472441E-2</v>
      </c>
      <c r="I101" s="31">
        <f t="shared" si="92"/>
        <v>-2.2327828820059722E-2</v>
      </c>
      <c r="J101" s="31">
        <f t="shared" si="92"/>
        <v>-3.756460880613554E-2</v>
      </c>
      <c r="K101" s="31">
        <f t="shared" si="92"/>
        <v>-1.9050235627315646E-2</v>
      </c>
      <c r="L101" s="31">
        <f t="shared" si="92"/>
        <v>-2.0844204451217249E-2</v>
      </c>
      <c r="M101" s="31">
        <f t="shared" si="92"/>
        <v>-4.6153807229725965E-2</v>
      </c>
      <c r="N101" s="31">
        <f t="shared" si="92"/>
        <v>-4.158979265106439E-2</v>
      </c>
      <c r="O101" s="31">
        <f t="shared" si="92"/>
        <v>-1.115561361420319E-2</v>
      </c>
      <c r="P101" s="31">
        <f t="shared" si="92"/>
        <v>-1.1805157498415439E-2</v>
      </c>
      <c r="Q101" s="31">
        <f t="shared" si="92"/>
        <v>-1.8059369533219752E-2</v>
      </c>
      <c r="R101" s="31">
        <f t="shared" si="92"/>
        <v>-1.0714581315275381E-2</v>
      </c>
      <c r="S101" s="31">
        <f t="shared" si="92"/>
        <v>-2.79182319111758E-2</v>
      </c>
      <c r="T101" s="31">
        <f t="shared" si="92"/>
        <v>-1.6262070968879161E-2</v>
      </c>
      <c r="U101" s="31">
        <f t="shared" si="92"/>
        <v>-9.3180378708846642E-2</v>
      </c>
      <c r="V101" s="31">
        <f t="shared" si="92"/>
        <v>-1.9834390143885466E-2</v>
      </c>
      <c r="W101" s="31">
        <f t="shared" si="92"/>
        <v>-2.6672302407429269E-2</v>
      </c>
      <c r="X101" s="31">
        <f t="shared" si="92"/>
        <v>-1.3594174099946258E-2</v>
      </c>
      <c r="Y101" s="31">
        <f t="shared" si="92"/>
        <v>-5.8964637664340049E-2</v>
      </c>
      <c r="Z101" s="31">
        <f t="shared" si="92"/>
        <v>-2.4764465373223549E-2</v>
      </c>
      <c r="AA101" s="31">
        <f t="shared" si="92"/>
        <v>-3.7248470774280361E-2</v>
      </c>
      <c r="AB101" s="31">
        <f t="shared" si="92"/>
        <v>-0.1537740933699426</v>
      </c>
      <c r="AC101" s="31">
        <f t="shared" si="92"/>
        <v>-7.1450334260099224E-2</v>
      </c>
      <c r="AD101" s="31">
        <f t="shared" si="92"/>
        <v>-3.1111436412960852E-2</v>
      </c>
      <c r="AE101" s="31">
        <f t="shared" si="92"/>
        <v>0.88885196617279838</v>
      </c>
      <c r="AF101" s="31">
        <f t="shared" si="92"/>
        <v>-0.16122938808877982</v>
      </c>
      <c r="AG101" s="31">
        <f t="shared" si="92"/>
        <v>-9.9453499330149964E-2</v>
      </c>
      <c r="AH101" s="31">
        <f t="shared" si="92"/>
        <v>-3.7083724659635123E-2</v>
      </c>
      <c r="AI101" s="31">
        <f t="shared" si="92"/>
        <v>-6.8442476530217233E-2</v>
      </c>
      <c r="AJ101" s="31">
        <f t="shared" si="92"/>
        <v>0</v>
      </c>
    </row>
    <row r="102" spans="4:36" x14ac:dyDescent="0.3">
      <c r="E102" s="86" t="s">
        <v>48</v>
      </c>
      <c r="F102" s="31">
        <f t="shared" ref="F102:AJ102" si="93">IF($E102=F$75,1,0)-F68</f>
        <v>-6.5332213560753878E-4</v>
      </c>
      <c r="G102" s="31">
        <f t="shared" si="93"/>
        <v>-9.9734863741049082E-4</v>
      </c>
      <c r="H102" s="31">
        <f t="shared" si="93"/>
        <v>-1.8126498227133434E-3</v>
      </c>
      <c r="I102" s="31">
        <f t="shared" si="93"/>
        <v>-1.4692373955374118E-3</v>
      </c>
      <c r="J102" s="31">
        <f t="shared" si="93"/>
        <v>-2.4718627346839665E-3</v>
      </c>
      <c r="K102" s="31">
        <f t="shared" si="93"/>
        <v>-1.253562036999547E-3</v>
      </c>
      <c r="L102" s="31">
        <f t="shared" si="93"/>
        <v>-1.0585617322212901E-3</v>
      </c>
      <c r="M102" s="31">
        <f t="shared" si="93"/>
        <v>-2.0074081430321404E-3</v>
      </c>
      <c r="N102" s="31">
        <f t="shared" si="93"/>
        <v>-2.0519177014452581E-3</v>
      </c>
      <c r="O102" s="31">
        <f t="shared" si="93"/>
        <v>-1.1136298199002355E-3</v>
      </c>
      <c r="P102" s="31">
        <f t="shared" si="93"/>
        <v>-1.1784717428825464E-3</v>
      </c>
      <c r="Q102" s="31">
        <f t="shared" si="93"/>
        <v>-1.0377853364141165E-3</v>
      </c>
      <c r="R102" s="31">
        <f t="shared" si="93"/>
        <v>-8.5334390371571967E-4</v>
      </c>
      <c r="S102" s="31">
        <f t="shared" si="93"/>
        <v>-1.5006367918094382E-3</v>
      </c>
      <c r="T102" s="31">
        <f t="shared" si="93"/>
        <v>-8.7410485322128877E-4</v>
      </c>
      <c r="U102" s="31">
        <f t="shared" si="93"/>
        <v>-2.9454214062874205E-3</v>
      </c>
      <c r="V102" s="31">
        <f t="shared" si="93"/>
        <v>-7.8456192302053189E-4</v>
      </c>
      <c r="W102" s="31">
        <f t="shared" si="93"/>
        <v>-1.2095665178144196E-3</v>
      </c>
      <c r="X102" s="31">
        <f t="shared" si="93"/>
        <v>-7.1628390699947939E-4</v>
      </c>
      <c r="Y102" s="31">
        <f t="shared" si="93"/>
        <v>-3.0510357959174332E-3</v>
      </c>
      <c r="Z102" s="31">
        <f t="shared" si="93"/>
        <v>-2.6829102504665379E-3</v>
      </c>
      <c r="AA102" s="31">
        <f t="shared" si="93"/>
        <v>-1.7530127121213178E-3</v>
      </c>
      <c r="AB102" s="31">
        <f t="shared" si="93"/>
        <v>-5.4353267672872059E-3</v>
      </c>
      <c r="AC102" s="31">
        <f t="shared" si="93"/>
        <v>-2.1314728488153454E-3</v>
      </c>
      <c r="AD102" s="31">
        <f t="shared" si="93"/>
        <v>-8.3336373578935257E-4</v>
      </c>
      <c r="AE102" s="31">
        <f t="shared" si="93"/>
        <v>-3.4398199751955673E-3</v>
      </c>
      <c r="AF102" s="31">
        <f t="shared" si="93"/>
        <v>0.99547101145348749</v>
      </c>
      <c r="AG102" s="31">
        <f t="shared" si="93"/>
        <v>-2.8477814325335361E-3</v>
      </c>
      <c r="AH102" s="31">
        <f t="shared" si="93"/>
        <v>-1.4081703649286845E-3</v>
      </c>
      <c r="AI102" s="31">
        <f t="shared" si="93"/>
        <v>-2.30266711306076E-3</v>
      </c>
      <c r="AJ102" s="31">
        <f t="shared" si="93"/>
        <v>0</v>
      </c>
    </row>
    <row r="103" spans="4:36" x14ac:dyDescent="0.3">
      <c r="E103" s="86" t="s">
        <v>49</v>
      </c>
      <c r="F103" s="31">
        <f t="shared" ref="F103:AJ103" si="94">IF($E103=F$75,1,0)-F69</f>
        <v>-2.2948443596601282E-4</v>
      </c>
      <c r="G103" s="31">
        <f t="shared" si="94"/>
        <v>-5.2730620128472701E-4</v>
      </c>
      <c r="H103" s="31">
        <f t="shared" si="94"/>
        <v>-9.58362458644447E-4</v>
      </c>
      <c r="I103" s="31">
        <f t="shared" si="94"/>
        <v>-7.7679756182133367E-4</v>
      </c>
      <c r="J103" s="31">
        <f t="shared" si="94"/>
        <v>-1.3068935975164035E-3</v>
      </c>
      <c r="K103" s="31">
        <f t="shared" si="94"/>
        <v>-6.6276827481433177E-4</v>
      </c>
      <c r="L103" s="31">
        <f t="shared" si="94"/>
        <v>-4.8921441180882974E-4</v>
      </c>
      <c r="M103" s="31">
        <f t="shared" si="94"/>
        <v>-1.4110464406214638E-3</v>
      </c>
      <c r="N103" s="31">
        <f t="shared" si="94"/>
        <v>-9.0611516959326975E-4</v>
      </c>
      <c r="O103" s="31">
        <f t="shared" si="94"/>
        <v>-3.0536207113651356E-4</v>
      </c>
      <c r="P103" s="31">
        <f t="shared" si="94"/>
        <v>-3.2314200441822713E-4</v>
      </c>
      <c r="Q103" s="31">
        <f t="shared" si="94"/>
        <v>-3.9555237969725278E-4</v>
      </c>
      <c r="R103" s="31">
        <f t="shared" si="94"/>
        <v>-3.1244442166343832E-4</v>
      </c>
      <c r="S103" s="31">
        <f t="shared" si="94"/>
        <v>-1.6652260430518684E-3</v>
      </c>
      <c r="T103" s="31">
        <f t="shared" si="94"/>
        <v>-9.6997632864046261E-4</v>
      </c>
      <c r="U103" s="31">
        <f t="shared" si="94"/>
        <v>-4.9264911880415882E-3</v>
      </c>
      <c r="V103" s="31">
        <f t="shared" si="94"/>
        <v>-2.2026484841575699E-4</v>
      </c>
      <c r="W103" s="31">
        <f t="shared" si="94"/>
        <v>-4.4448429686815298E-4</v>
      </c>
      <c r="X103" s="31">
        <f t="shared" si="94"/>
        <v>-1.7540920559737649E-4</v>
      </c>
      <c r="Y103" s="31">
        <f t="shared" si="94"/>
        <v>-1.6064848035172846E-3</v>
      </c>
      <c r="Z103" s="31">
        <f t="shared" si="94"/>
        <v>-2.1004880168056621E-3</v>
      </c>
      <c r="AA103" s="31">
        <f t="shared" si="94"/>
        <v>-8.8268459451179223E-4</v>
      </c>
      <c r="AB103" s="31">
        <f t="shared" si="94"/>
        <v>-3.4558238287488246E-3</v>
      </c>
      <c r="AC103" s="31">
        <f t="shared" si="94"/>
        <v>-3.532365597024282E-3</v>
      </c>
      <c r="AD103" s="31">
        <f t="shared" si="94"/>
        <v>-1.2770132630633782E-3</v>
      </c>
      <c r="AE103" s="31">
        <f t="shared" si="94"/>
        <v>-2.2660107034167499E-3</v>
      </c>
      <c r="AF103" s="31">
        <f t="shared" si="94"/>
        <v>-1.1421896209913369E-2</v>
      </c>
      <c r="AG103" s="31">
        <f t="shared" si="94"/>
        <v>0.98910996632989412</v>
      </c>
      <c r="AH103" s="31">
        <f t="shared" si="94"/>
        <v>-1.1808159576592321E-3</v>
      </c>
      <c r="AI103" s="31">
        <f t="shared" si="94"/>
        <v>-1.8945820441858539E-3</v>
      </c>
      <c r="AJ103" s="31">
        <f t="shared" si="94"/>
        <v>0</v>
      </c>
    </row>
    <row r="104" spans="4:36" x14ac:dyDescent="0.3">
      <c r="E104" s="86" t="s">
        <v>50</v>
      </c>
      <c r="F104" s="31">
        <f t="shared" ref="F104:AJ104" si="95">IF($E104=F$75,1,0)-F70</f>
        <v>-1.9374634175437514E-5</v>
      </c>
      <c r="G104" s="31">
        <f t="shared" si="95"/>
        <v>-1.1440116114618734E-5</v>
      </c>
      <c r="H104" s="31">
        <f t="shared" si="95"/>
        <v>-2.0792051715060165E-5</v>
      </c>
      <c r="I104" s="31">
        <f t="shared" si="95"/>
        <v>-1.6852929632038023E-5</v>
      </c>
      <c r="J104" s="31">
        <f t="shared" si="95"/>
        <v>-2.8353572305072193E-5</v>
      </c>
      <c r="K104" s="31">
        <f t="shared" si="95"/>
        <v>-1.4379019253876365E-5</v>
      </c>
      <c r="L104" s="31">
        <f t="shared" si="95"/>
        <v>-3.3938338721047514E-5</v>
      </c>
      <c r="M104" s="31">
        <f t="shared" si="95"/>
        <v>-7.7886354303522386E-5</v>
      </c>
      <c r="N104" s="31">
        <f t="shared" si="95"/>
        <v>-5.3415735183796866E-5</v>
      </c>
      <c r="O104" s="31">
        <f t="shared" si="95"/>
        <v>-2.2539356179685154E-5</v>
      </c>
      <c r="P104" s="31">
        <f t="shared" si="95"/>
        <v>-2.3851726925652565E-5</v>
      </c>
      <c r="Q104" s="31">
        <f t="shared" si="95"/>
        <v>-5.514195713220391E-5</v>
      </c>
      <c r="R104" s="31">
        <f t="shared" si="95"/>
        <v>-3.9394999515719983E-5</v>
      </c>
      <c r="S104" s="31">
        <f t="shared" si="95"/>
        <v>-1.6166803783514998E-5</v>
      </c>
      <c r="T104" s="31">
        <f t="shared" si="95"/>
        <v>-9.4169899907673806E-6</v>
      </c>
      <c r="U104" s="31">
        <f t="shared" si="95"/>
        <v>-8.4688492117014253E-5</v>
      </c>
      <c r="V104" s="31">
        <f t="shared" si="95"/>
        <v>-2.4366240157585889E-5</v>
      </c>
      <c r="W104" s="31">
        <f t="shared" si="95"/>
        <v>-3.3313753174595999E-5</v>
      </c>
      <c r="X104" s="31">
        <f t="shared" si="95"/>
        <v>-3.9594359928988483E-5</v>
      </c>
      <c r="Y104" s="31">
        <f t="shared" si="95"/>
        <v>-1.1324738837822697E-4</v>
      </c>
      <c r="Z104" s="31">
        <f t="shared" si="95"/>
        <v>-5.8099047967682995E-5</v>
      </c>
      <c r="AA104" s="31">
        <f t="shared" si="95"/>
        <v>-1.3040632016717916E-4</v>
      </c>
      <c r="AB104" s="31">
        <f t="shared" si="95"/>
        <v>-1.0247019110931479E-4</v>
      </c>
      <c r="AC104" s="31">
        <f t="shared" si="95"/>
        <v>-7.4894134592003969E-5</v>
      </c>
      <c r="AD104" s="31">
        <f t="shared" si="95"/>
        <v>-1.7854663361691734E-5</v>
      </c>
      <c r="AE104" s="31">
        <f t="shared" si="95"/>
        <v>-9.3086421140589886E-5</v>
      </c>
      <c r="AF104" s="31">
        <f t="shared" si="95"/>
        <v>-3.2869680330643961E-4</v>
      </c>
      <c r="AG104" s="31">
        <f t="shared" si="95"/>
        <v>-6.9704643064079721E-4</v>
      </c>
      <c r="AH104" s="31">
        <f t="shared" si="95"/>
        <v>0.7114818967944494</v>
      </c>
      <c r="AI104" s="31">
        <f t="shared" si="95"/>
        <v>-1.0387702728554258E-4</v>
      </c>
      <c r="AJ104" s="31">
        <f t="shared" si="95"/>
        <v>0</v>
      </c>
    </row>
    <row r="105" spans="4:36" x14ac:dyDescent="0.3">
      <c r="E105" s="86" t="s">
        <v>51</v>
      </c>
      <c r="F105" s="31">
        <f t="shared" ref="F105:AJ105" si="96">IF($E105=F$75,1,0)-F71</f>
        <v>-7.436155746106428E-4</v>
      </c>
      <c r="G105" s="31">
        <f t="shared" si="96"/>
        <v>-1.4558135563429184E-3</v>
      </c>
      <c r="H105" s="31">
        <f t="shared" si="96"/>
        <v>-2.645895412922249E-3</v>
      </c>
      <c r="I105" s="31">
        <f t="shared" si="96"/>
        <v>-2.1446218881522156E-3</v>
      </c>
      <c r="J105" s="31">
        <f t="shared" si="96"/>
        <v>-3.608137760046579E-3</v>
      </c>
      <c r="K105" s="31">
        <f t="shared" si="96"/>
        <v>-1.8298040812679884E-3</v>
      </c>
      <c r="L105" s="31">
        <f t="shared" si="96"/>
        <v>-1.3191381035458846E-3</v>
      </c>
      <c r="M105" s="31">
        <f t="shared" si="96"/>
        <v>-1.0763778016392695E-4</v>
      </c>
      <c r="N105" s="31">
        <f t="shared" si="96"/>
        <v>-1.8182019147677847E-3</v>
      </c>
      <c r="O105" s="31">
        <f t="shared" si="96"/>
        <v>-1.0788571191798369E-3</v>
      </c>
      <c r="P105" s="31">
        <f t="shared" si="96"/>
        <v>-1.1416743758487038E-3</v>
      </c>
      <c r="Q105" s="31">
        <f t="shared" si="96"/>
        <v>-3.4855955032853147E-3</v>
      </c>
      <c r="R105" s="31">
        <f t="shared" si="96"/>
        <v>-1.8808497219176443E-3</v>
      </c>
      <c r="S105" s="31">
        <f t="shared" si="96"/>
        <v>-1.911477163790044E-3</v>
      </c>
      <c r="T105" s="31">
        <f t="shared" si="96"/>
        <v>-1.1134149681055643E-3</v>
      </c>
      <c r="U105" s="31">
        <f t="shared" si="96"/>
        <v>-4.3559103898174675E-3</v>
      </c>
      <c r="V105" s="31">
        <f t="shared" si="96"/>
        <v>-1.3327837796919385E-3</v>
      </c>
      <c r="W105" s="31">
        <f t="shared" si="96"/>
        <v>-1.0140505658344438E-3</v>
      </c>
      <c r="X105" s="31">
        <f t="shared" si="96"/>
        <v>-8.658062643904981E-4</v>
      </c>
      <c r="Y105" s="31">
        <f t="shared" si="96"/>
        <v>-4.2732936232447842E-4</v>
      </c>
      <c r="Z105" s="31">
        <f t="shared" si="96"/>
        <v>-3.9277122840474712E-3</v>
      </c>
      <c r="AA105" s="31">
        <f t="shared" si="96"/>
        <v>-9.9777761209631378E-3</v>
      </c>
      <c r="AB105" s="31">
        <f t="shared" si="96"/>
        <v>-8.1872960487773573E-3</v>
      </c>
      <c r="AC105" s="31">
        <f t="shared" si="96"/>
        <v>-1.7111904949492374E-2</v>
      </c>
      <c r="AD105" s="31">
        <f t="shared" si="96"/>
        <v>-6.988699233944197E-4</v>
      </c>
      <c r="AE105" s="31">
        <f t="shared" si="96"/>
        <v>-1.4759822200739929E-3</v>
      </c>
      <c r="AF105" s="31">
        <f t="shared" si="96"/>
        <v>-1.2544363818569694E-2</v>
      </c>
      <c r="AG105" s="31">
        <f t="shared" si="96"/>
        <v>-2.6651042459272778E-3</v>
      </c>
      <c r="AH105" s="31">
        <f t="shared" si="96"/>
        <v>-1.8899210333913363E-3</v>
      </c>
      <c r="AI105" s="31">
        <f t="shared" si="96"/>
        <v>0.90771088338409844</v>
      </c>
      <c r="AJ105" s="31">
        <f t="shared" si="96"/>
        <v>0</v>
      </c>
    </row>
    <row r="106" spans="4:36" x14ac:dyDescent="0.3">
      <c r="E106" s="86" t="s">
        <v>52</v>
      </c>
      <c r="F106" s="31">
        <f t="shared" ref="F106:AJ106" si="97">IF($E106=F$75,1,0)-F72</f>
        <v>0</v>
      </c>
      <c r="G106" s="31">
        <f t="shared" si="97"/>
        <v>0</v>
      </c>
      <c r="H106" s="31">
        <f t="shared" si="97"/>
        <v>0</v>
      </c>
      <c r="I106" s="31">
        <f t="shared" si="97"/>
        <v>0</v>
      </c>
      <c r="J106" s="31">
        <f t="shared" si="97"/>
        <v>0</v>
      </c>
      <c r="K106" s="31">
        <f t="shared" si="97"/>
        <v>0</v>
      </c>
      <c r="L106" s="31">
        <f t="shared" si="97"/>
        <v>0</v>
      </c>
      <c r="M106" s="31">
        <f t="shared" si="97"/>
        <v>0</v>
      </c>
      <c r="N106" s="31">
        <f t="shared" si="97"/>
        <v>0</v>
      </c>
      <c r="O106" s="31">
        <f t="shared" si="97"/>
        <v>0</v>
      </c>
      <c r="P106" s="31">
        <f t="shared" si="97"/>
        <v>0</v>
      </c>
      <c r="Q106" s="31">
        <f t="shared" si="97"/>
        <v>0</v>
      </c>
      <c r="R106" s="31">
        <f t="shared" si="97"/>
        <v>0</v>
      </c>
      <c r="S106" s="31">
        <f t="shared" si="97"/>
        <v>0</v>
      </c>
      <c r="T106" s="31">
        <f t="shared" si="97"/>
        <v>0</v>
      </c>
      <c r="U106" s="31">
        <f t="shared" si="97"/>
        <v>0</v>
      </c>
      <c r="V106" s="31">
        <f t="shared" si="97"/>
        <v>0</v>
      </c>
      <c r="W106" s="31">
        <f t="shared" si="97"/>
        <v>0</v>
      </c>
      <c r="X106" s="31">
        <f t="shared" si="97"/>
        <v>0</v>
      </c>
      <c r="Y106" s="31">
        <f t="shared" si="97"/>
        <v>0</v>
      </c>
      <c r="Z106" s="31">
        <f t="shared" si="97"/>
        <v>0</v>
      </c>
      <c r="AA106" s="31">
        <f t="shared" si="97"/>
        <v>0</v>
      </c>
      <c r="AB106" s="31">
        <f t="shared" si="97"/>
        <v>0</v>
      </c>
      <c r="AC106" s="31">
        <f t="shared" si="97"/>
        <v>0</v>
      </c>
      <c r="AD106" s="31">
        <f t="shared" si="97"/>
        <v>0</v>
      </c>
      <c r="AE106" s="31">
        <f t="shared" si="97"/>
        <v>0</v>
      </c>
      <c r="AF106" s="31">
        <f t="shared" si="97"/>
        <v>0</v>
      </c>
      <c r="AG106" s="31">
        <f t="shared" si="97"/>
        <v>0</v>
      </c>
      <c r="AH106" s="31">
        <f t="shared" si="97"/>
        <v>0</v>
      </c>
      <c r="AI106" s="31">
        <f t="shared" si="97"/>
        <v>0</v>
      </c>
      <c r="AJ106" s="31">
        <f t="shared" si="97"/>
        <v>1</v>
      </c>
    </row>
    <row r="108" spans="4:36" x14ac:dyDescent="0.3">
      <c r="D108" s="102" t="s">
        <v>18</v>
      </c>
    </row>
    <row r="110" spans="4:36" x14ac:dyDescent="0.3">
      <c r="F110" s="84" t="s">
        <v>25</v>
      </c>
      <c r="G110" s="14" t="s">
        <v>26</v>
      </c>
      <c r="H110" s="85" t="s">
        <v>27</v>
      </c>
      <c r="I110" s="14" t="s">
        <v>28</v>
      </c>
      <c r="J110" s="14" t="s">
        <v>29</v>
      </c>
      <c r="K110" s="14" t="s">
        <v>30</v>
      </c>
      <c r="L110" s="84" t="s">
        <v>31</v>
      </c>
      <c r="M110" s="86" t="s">
        <v>32</v>
      </c>
      <c r="N110" s="86" t="s">
        <v>33</v>
      </c>
      <c r="O110" s="85" t="s">
        <v>193</v>
      </c>
      <c r="P110" s="86" t="s">
        <v>194</v>
      </c>
      <c r="Q110" s="86" t="s">
        <v>35</v>
      </c>
      <c r="R110" s="86" t="s">
        <v>36</v>
      </c>
      <c r="S110" s="86" t="s">
        <v>195</v>
      </c>
      <c r="T110" s="85" t="s">
        <v>196</v>
      </c>
      <c r="U110" s="86" t="s">
        <v>37</v>
      </c>
      <c r="V110" s="86" t="s">
        <v>38</v>
      </c>
      <c r="W110" s="86" t="s">
        <v>39</v>
      </c>
      <c r="X110" s="86" t="s">
        <v>40</v>
      </c>
      <c r="Y110" s="86" t="s">
        <v>41</v>
      </c>
      <c r="Z110" s="86" t="s">
        <v>42</v>
      </c>
      <c r="AA110" s="84" t="s">
        <v>43</v>
      </c>
      <c r="AB110" s="86" t="s">
        <v>44</v>
      </c>
      <c r="AC110" s="86" t="s">
        <v>45</v>
      </c>
      <c r="AD110" s="86" t="s">
        <v>46</v>
      </c>
      <c r="AE110" s="86" t="s">
        <v>47</v>
      </c>
      <c r="AF110" s="86" t="s">
        <v>48</v>
      </c>
      <c r="AG110" s="86" t="s">
        <v>49</v>
      </c>
      <c r="AH110" s="86" t="s">
        <v>50</v>
      </c>
      <c r="AI110" s="86" t="s">
        <v>51</v>
      </c>
      <c r="AJ110" s="86" t="s">
        <v>52</v>
      </c>
    </row>
    <row r="111" spans="4:36" x14ac:dyDescent="0.3">
      <c r="E111" s="84" t="s">
        <v>25</v>
      </c>
      <c r="F111" s="31" cm="1">
        <f t="array" ref="F111:AJ141">MINVERSE(F76:AJ106)</f>
        <v>1.1513096718763733</v>
      </c>
      <c r="G111" s="87">
        <v>1.6478283652966591E-3</v>
      </c>
      <c r="H111" s="87">
        <v>2.9948762971915895E-3</v>
      </c>
      <c r="I111" s="87">
        <v>2.4274872044816082E-3</v>
      </c>
      <c r="J111" s="87">
        <v>4.0840337837204583E-3</v>
      </c>
      <c r="K111" s="87">
        <v>2.0711464424217449E-3</v>
      </c>
      <c r="L111" s="31">
        <v>0.49427229738682082</v>
      </c>
      <c r="M111" s="31">
        <v>2.8630701454427386E-2</v>
      </c>
      <c r="N111" s="31">
        <v>4.994280791270736E-2</v>
      </c>
      <c r="O111" s="31">
        <v>1.1854324318299431E-2</v>
      </c>
      <c r="P111" s="31">
        <v>1.2544551151955316E-2</v>
      </c>
      <c r="Q111" s="31">
        <v>5.8753381813840431E-3</v>
      </c>
      <c r="R111" s="31">
        <v>1.2869803494712421E-2</v>
      </c>
      <c r="S111" s="31">
        <v>4.5111404745536675E-3</v>
      </c>
      <c r="T111" s="31">
        <v>2.6276909935119643E-3</v>
      </c>
      <c r="U111" s="31">
        <v>5.2660286670812616E-3</v>
      </c>
      <c r="V111" s="31">
        <v>1.1049291408753246E-2</v>
      </c>
      <c r="W111" s="31">
        <v>1.3521243522660042E-2</v>
      </c>
      <c r="X111" s="31">
        <v>1.4394019114307089E-2</v>
      </c>
      <c r="Y111" s="31">
        <v>5.2883351533778294E-3</v>
      </c>
      <c r="Z111" s="31">
        <v>6.529876490592037E-3</v>
      </c>
      <c r="AA111" s="31">
        <v>0.21712278331670454</v>
      </c>
      <c r="AB111" s="31">
        <v>5.9658295965113687E-3</v>
      </c>
      <c r="AC111" s="31">
        <v>4.8228615213434176E-3</v>
      </c>
      <c r="AD111" s="31">
        <v>1.2423598980047723E-3</v>
      </c>
      <c r="AE111" s="31">
        <v>4.1125676977384947E-3</v>
      </c>
      <c r="AF111" s="31">
        <v>7.5091984669790404E-3</v>
      </c>
      <c r="AG111" s="31">
        <v>5.8172162924730163E-3</v>
      </c>
      <c r="AH111" s="31">
        <v>6.0911873137177823E-3</v>
      </c>
      <c r="AI111" s="6">
        <v>1.2670292060657461E-2</v>
      </c>
      <c r="AJ111" s="6">
        <v>0</v>
      </c>
    </row>
    <row r="112" spans="4:36" x14ac:dyDescent="0.3">
      <c r="E112" s="14" t="s">
        <v>26</v>
      </c>
      <c r="F112" s="31">
        <v>1.5497443459938564E-3</v>
      </c>
      <c r="G112" s="87">
        <v>1.0058709606120018</v>
      </c>
      <c r="H112" s="87">
        <v>1.0670286510978053E-2</v>
      </c>
      <c r="I112" s="87">
        <v>8.6487658932160975E-3</v>
      </c>
      <c r="J112" s="87">
        <v>1.4550788169005718E-2</v>
      </c>
      <c r="K112" s="87">
        <v>7.3791782210025436E-3</v>
      </c>
      <c r="L112" s="31">
        <v>1.9636724892448895E-3</v>
      </c>
      <c r="M112" s="31">
        <v>1.8656990789577387E-3</v>
      </c>
      <c r="N112" s="31">
        <v>3.0316618312746166E-3</v>
      </c>
      <c r="O112" s="31">
        <v>1.332361194070061E-2</v>
      </c>
      <c r="P112" s="31">
        <v>1.4099389136916954E-2</v>
      </c>
      <c r="Q112" s="31">
        <v>1.6229364071734198E-2</v>
      </c>
      <c r="R112" s="31">
        <v>3.965317707333803E-3</v>
      </c>
      <c r="S112" s="31">
        <v>9.6955398531978123E-3</v>
      </c>
      <c r="T112" s="31">
        <v>5.6475480852776734E-3</v>
      </c>
      <c r="U112" s="31">
        <v>1.8935622387154019E-3</v>
      </c>
      <c r="V112" s="31">
        <v>5.4190156787772576E-3</v>
      </c>
      <c r="W112" s="31">
        <v>1.0673996538047646E-2</v>
      </c>
      <c r="X112" s="31">
        <v>5.0609086276525213E-3</v>
      </c>
      <c r="Y112" s="31">
        <v>1.438019883113453E-3</v>
      </c>
      <c r="Z112" s="31">
        <v>2.599565969410736E-3</v>
      </c>
      <c r="AA112" s="31">
        <v>1.2231262841985546E-3</v>
      </c>
      <c r="AB112" s="31">
        <v>9.4788365826868268E-4</v>
      </c>
      <c r="AC112" s="31">
        <v>4.5007728591293429E-4</v>
      </c>
      <c r="AD112" s="31">
        <v>1.8858170398716246E-4</v>
      </c>
      <c r="AE112" s="31">
        <v>4.5607513445361346E-4</v>
      </c>
      <c r="AF112" s="31">
        <v>8.9071686911356297E-4</v>
      </c>
      <c r="AG112" s="31">
        <v>4.7980308102500192E-4</v>
      </c>
      <c r="AH112" s="31">
        <v>1.3856400041432546E-3</v>
      </c>
      <c r="AI112" s="6">
        <v>1.205442295803285E-3</v>
      </c>
      <c r="AJ112" s="6">
        <v>0</v>
      </c>
    </row>
    <row r="113" spans="5:36" x14ac:dyDescent="0.3">
      <c r="E113" s="85" t="s">
        <v>27</v>
      </c>
      <c r="F113" s="31">
        <v>5.4618952795266219E-3</v>
      </c>
      <c r="G113" s="87">
        <v>2.0691523821898004E-2</v>
      </c>
      <c r="H113" s="87">
        <v>1.0376061946450481</v>
      </c>
      <c r="I113" s="87">
        <v>3.0481578286122749E-2</v>
      </c>
      <c r="J113" s="87">
        <v>5.1282575360981006E-2</v>
      </c>
      <c r="K113" s="87">
        <v>2.600706290445097E-2</v>
      </c>
      <c r="L113" s="31">
        <v>6.92073729919933E-3</v>
      </c>
      <c r="M113" s="31">
        <v>6.5754413098641712E-3</v>
      </c>
      <c r="N113" s="31">
        <v>1.0684742608136934E-2</v>
      </c>
      <c r="O113" s="31">
        <v>4.6957534223806559E-2</v>
      </c>
      <c r="P113" s="31">
        <v>4.9691671513567764E-2</v>
      </c>
      <c r="Q113" s="31">
        <v>5.7198522609402967E-2</v>
      </c>
      <c r="R113" s="31">
        <v>1.3975305103384891E-2</v>
      </c>
      <c r="S113" s="31">
        <v>3.4170812426924824E-2</v>
      </c>
      <c r="T113" s="31">
        <v>1.9904132128383982E-2</v>
      </c>
      <c r="U113" s="31">
        <v>6.6736418041240704E-3</v>
      </c>
      <c r="V113" s="31">
        <v>1.9098696008865185E-2</v>
      </c>
      <c r="W113" s="31">
        <v>3.7619270207730815E-2</v>
      </c>
      <c r="X113" s="31">
        <v>1.7836588992853442E-2</v>
      </c>
      <c r="Y113" s="31">
        <v>5.0681352906667932E-3</v>
      </c>
      <c r="Z113" s="31">
        <v>9.1618705587449417E-3</v>
      </c>
      <c r="AA113" s="31">
        <v>4.3107675760834857E-3</v>
      </c>
      <c r="AB113" s="31">
        <v>3.3407066733435716E-3</v>
      </c>
      <c r="AC113" s="31">
        <v>1.5862455053988333E-3</v>
      </c>
      <c r="AD113" s="31">
        <v>6.6463447437326701E-4</v>
      </c>
      <c r="AE113" s="31">
        <v>1.6073842310966155E-3</v>
      </c>
      <c r="AF113" s="31">
        <v>3.139228915648122E-3</v>
      </c>
      <c r="AG113" s="31">
        <v>1.6910106432246194E-3</v>
      </c>
      <c r="AH113" s="31">
        <v>4.8835284460417043E-3</v>
      </c>
      <c r="AI113" s="6">
        <v>4.2484423977474529E-3</v>
      </c>
      <c r="AJ113" s="6">
        <v>0</v>
      </c>
    </row>
    <row r="114" spans="5:36" x14ac:dyDescent="0.3">
      <c r="E114" s="14" t="s">
        <v>28</v>
      </c>
      <c r="F114" s="31">
        <v>8.0648107529414663E-4</v>
      </c>
      <c r="G114" s="87">
        <v>3.0552256180944237E-3</v>
      </c>
      <c r="H114" s="87">
        <v>5.5527765991309624E-3</v>
      </c>
      <c r="I114" s="87">
        <v>1.0045007849427288</v>
      </c>
      <c r="J114" s="87">
        <v>7.5721749327573272E-3</v>
      </c>
      <c r="K114" s="87">
        <v>3.8400963370798903E-3</v>
      </c>
      <c r="L114" s="31">
        <v>1.0218877098958805E-3</v>
      </c>
      <c r="M114" s="31">
        <v>9.7090271905989577E-4</v>
      </c>
      <c r="N114" s="31">
        <v>1.5776653097234567E-3</v>
      </c>
      <c r="O114" s="31">
        <v>6.9335570815373393E-3</v>
      </c>
      <c r="P114" s="31">
        <v>7.3372685898326013E-3</v>
      </c>
      <c r="Q114" s="31">
        <v>8.4456994611705298E-3</v>
      </c>
      <c r="R114" s="31">
        <v>2.0635362837491929E-3</v>
      </c>
      <c r="S114" s="31">
        <v>5.0455221382657749E-3</v>
      </c>
      <c r="T114" s="31">
        <v>2.9389625871931997E-3</v>
      </c>
      <c r="U114" s="31">
        <v>9.8540260163765313E-4</v>
      </c>
      <c r="V114" s="31">
        <v>2.8200351902903133E-3</v>
      </c>
      <c r="W114" s="31">
        <v>5.5547072831358402E-3</v>
      </c>
      <c r="X114" s="31">
        <v>2.6336776401511127E-3</v>
      </c>
      <c r="Y114" s="31">
        <v>7.4834008888347188E-4</v>
      </c>
      <c r="Z114" s="31">
        <v>1.3528042633147645E-3</v>
      </c>
      <c r="AA114" s="31">
        <v>6.3651027567929836E-4</v>
      </c>
      <c r="AB114" s="31">
        <v>4.9327505788319677E-4</v>
      </c>
      <c r="AC114" s="31">
        <v>2.3421851123177004E-4</v>
      </c>
      <c r="AD114" s="31">
        <v>9.8137202955778417E-5</v>
      </c>
      <c r="AE114" s="31">
        <v>2.3733976884631968E-4</v>
      </c>
      <c r="AF114" s="31">
        <v>4.635256777947228E-4</v>
      </c>
      <c r="AG114" s="31">
        <v>2.4968770217795788E-4</v>
      </c>
      <c r="AH114" s="31">
        <v>7.2108179868556695E-4</v>
      </c>
      <c r="AI114" s="6">
        <v>6.2730759524147451E-4</v>
      </c>
      <c r="AJ114" s="6">
        <v>0</v>
      </c>
    </row>
    <row r="115" spans="5:36" x14ac:dyDescent="0.3">
      <c r="E115" s="14" t="s">
        <v>29</v>
      </c>
      <c r="F115" s="31">
        <v>6.8490837415100534E-4</v>
      </c>
      <c r="G115" s="87">
        <v>2.5946667254285417E-3</v>
      </c>
      <c r="H115" s="87">
        <v>4.7157252774312373E-3</v>
      </c>
      <c r="I115" s="87">
        <v>3.8223157268797571E-3</v>
      </c>
      <c r="J115" s="87">
        <v>1.0064307101317786</v>
      </c>
      <c r="K115" s="87">
        <v>3.2612223887006167E-3</v>
      </c>
      <c r="L115" s="31">
        <v>8.6784361269036392E-4</v>
      </c>
      <c r="M115" s="31">
        <v>8.2454433605595322E-4</v>
      </c>
      <c r="N115" s="31">
        <v>1.3398407170844349E-3</v>
      </c>
      <c r="O115" s="31">
        <v>5.8883605000487902E-3</v>
      </c>
      <c r="P115" s="31">
        <v>6.2312146614706314E-3</v>
      </c>
      <c r="Q115" s="31">
        <v>7.1725555176958668E-3</v>
      </c>
      <c r="R115" s="31">
        <v>1.7524692449711649E-3</v>
      </c>
      <c r="S115" s="31">
        <v>4.2849367087778433E-3</v>
      </c>
      <c r="T115" s="31">
        <v>2.4959297235225973E-3</v>
      </c>
      <c r="U115" s="31">
        <v>8.3685843902246118E-4</v>
      </c>
      <c r="V115" s="31">
        <v>2.3949299945146244E-3</v>
      </c>
      <c r="W115" s="31">
        <v>4.7173649211665848E-3</v>
      </c>
      <c r="X115" s="31">
        <v>2.2366648465940104E-3</v>
      </c>
      <c r="Y115" s="31">
        <v>6.355318299344565E-4</v>
      </c>
      <c r="Z115" s="31">
        <v>1.1488762686632488E-3</v>
      </c>
      <c r="AA115" s="31">
        <v>5.4055976190998977E-4</v>
      </c>
      <c r="AB115" s="31">
        <v>4.1891648577221789E-4</v>
      </c>
      <c r="AC115" s="31">
        <v>1.9891132555752966E-4</v>
      </c>
      <c r="AD115" s="31">
        <v>8.3343545408866784E-5</v>
      </c>
      <c r="AE115" s="31">
        <v>2.0156207030973345E-4</v>
      </c>
      <c r="AF115" s="31">
        <v>3.9365166534110569E-4</v>
      </c>
      <c r="AG115" s="31">
        <v>2.1204861884927947E-4</v>
      </c>
      <c r="AH115" s="31">
        <v>6.1238258093965041E-4</v>
      </c>
      <c r="AI115" s="6">
        <v>5.3274433624212489E-4</v>
      </c>
      <c r="AJ115" s="6">
        <v>0</v>
      </c>
    </row>
    <row r="116" spans="5:36" x14ac:dyDescent="0.3">
      <c r="E116" s="14" t="s">
        <v>30</v>
      </c>
      <c r="F116" s="31">
        <v>2.1484679281537551E-3</v>
      </c>
      <c r="G116" s="87">
        <v>8.1391299248472822E-3</v>
      </c>
      <c r="H116" s="87">
        <v>1.479261299601402E-2</v>
      </c>
      <c r="I116" s="87">
        <v>1.1990104166354227E-2</v>
      </c>
      <c r="J116" s="87">
        <v>2.0172296025006326E-2</v>
      </c>
      <c r="K116" s="87">
        <v>1.0102300278009966</v>
      </c>
      <c r="L116" s="31">
        <v>2.7223118286873993E-3</v>
      </c>
      <c r="M116" s="31">
        <v>2.5864876649419901E-3</v>
      </c>
      <c r="N116" s="31">
        <v>4.2029049696737618E-3</v>
      </c>
      <c r="O116" s="31">
        <v>1.8471016213583366E-2</v>
      </c>
      <c r="P116" s="31">
        <v>1.9546504844835628E-2</v>
      </c>
      <c r="Q116" s="31">
        <v>2.2499367907092206E-2</v>
      </c>
      <c r="R116" s="31">
        <v>5.4972666563809008E-3</v>
      </c>
      <c r="S116" s="31">
        <v>1.344128563822786E-2</v>
      </c>
      <c r="T116" s="31">
        <v>7.8294048726752601E-3</v>
      </c>
      <c r="U116" s="31">
        <v>2.6251153942646447E-3</v>
      </c>
      <c r="V116" s="31">
        <v>7.5125819417323726E-3</v>
      </c>
      <c r="W116" s="31">
        <v>1.479775634381343E-2</v>
      </c>
      <c r="X116" s="31">
        <v>7.0161248866212594E-3</v>
      </c>
      <c r="Y116" s="31">
        <v>1.9935801714026143E-3</v>
      </c>
      <c r="Z116" s="31">
        <v>3.6038744886126108E-3</v>
      </c>
      <c r="AA116" s="31">
        <v>1.6956652240581144E-3</v>
      </c>
      <c r="AB116" s="31">
        <v>1.3140861876190975E-3</v>
      </c>
      <c r="AC116" s="31">
        <v>6.2395879454188409E-4</v>
      </c>
      <c r="AD116" s="31">
        <v>2.6143779385313519E-4</v>
      </c>
      <c r="AE116" s="31">
        <v>6.3227383389717184E-4</v>
      </c>
      <c r="AF116" s="31">
        <v>1.2348337526140601E-3</v>
      </c>
      <c r="AG116" s="31">
        <v>6.6516876417477245E-4</v>
      </c>
      <c r="AH116" s="31">
        <v>1.9209640071049638E-3</v>
      </c>
      <c r="AI116" s="6">
        <v>1.6711492566294909E-3</v>
      </c>
      <c r="AJ116" s="6">
        <v>0</v>
      </c>
    </row>
    <row r="117" spans="5:36" x14ac:dyDescent="0.3">
      <c r="E117" s="84" t="s">
        <v>31</v>
      </c>
      <c r="F117" s="31">
        <v>0.12651177146980108</v>
      </c>
      <c r="G117" s="87">
        <v>2.3519092769582008E-3</v>
      </c>
      <c r="H117" s="87">
        <v>4.2745212396189383E-3</v>
      </c>
      <c r="I117" s="87">
        <v>3.4646992345527387E-3</v>
      </c>
      <c r="J117" s="87">
        <v>5.8290518270169523E-3</v>
      </c>
      <c r="K117" s="87">
        <v>2.9561018820025734E-3</v>
      </c>
      <c r="L117" s="31">
        <v>1.2164328612700208</v>
      </c>
      <c r="M117" s="31">
        <v>1.0133939676811959E-2</v>
      </c>
      <c r="N117" s="31">
        <v>2.5194514325953054E-2</v>
      </c>
      <c r="O117" s="31">
        <v>1.5357748644226225E-2</v>
      </c>
      <c r="P117" s="31">
        <v>1.6251964960075086E-2</v>
      </c>
      <c r="Q117" s="31">
        <v>7.5129874621509057E-3</v>
      </c>
      <c r="R117" s="31">
        <v>9.6142656682134155E-3</v>
      </c>
      <c r="S117" s="31">
        <v>7.2423768390217748E-3</v>
      </c>
      <c r="T117" s="31">
        <v>4.2186069130112974E-3</v>
      </c>
      <c r="U117" s="31">
        <v>6.8904426035691869E-3</v>
      </c>
      <c r="V117" s="31">
        <v>8.1927411182577421E-3</v>
      </c>
      <c r="W117" s="31">
        <v>9.1277255315245134E-3</v>
      </c>
      <c r="X117" s="31">
        <v>8.6580775256807352E-3</v>
      </c>
      <c r="Y117" s="31">
        <v>7.4548621665448175E-3</v>
      </c>
      <c r="Z117" s="31">
        <v>8.9481195205113398E-3</v>
      </c>
      <c r="AA117" s="31">
        <v>0.27346105727334907</v>
      </c>
      <c r="AB117" s="31">
        <v>8.7800191931789329E-3</v>
      </c>
      <c r="AC117" s="31">
        <v>6.777672499864237E-3</v>
      </c>
      <c r="AD117" s="31">
        <v>1.5213840762255378E-3</v>
      </c>
      <c r="AE117" s="31">
        <v>6.1035674992869831E-3</v>
      </c>
      <c r="AF117" s="31">
        <v>1.0225830664621719E-2</v>
      </c>
      <c r="AG117" s="31">
        <v>8.2312973423846868E-3</v>
      </c>
      <c r="AH117" s="31">
        <v>5.9664831066535626E-3</v>
      </c>
      <c r="AI117" s="6">
        <v>1.5054690617623288E-2</v>
      </c>
      <c r="AJ117" s="6">
        <v>0</v>
      </c>
    </row>
    <row r="118" spans="5:36" x14ac:dyDescent="0.3">
      <c r="E118" s="86" t="s">
        <v>32</v>
      </c>
      <c r="F118" s="31">
        <v>5.1186042004731759E-3</v>
      </c>
      <c r="G118" s="87">
        <v>1.2891092568559344E-3</v>
      </c>
      <c r="H118" s="87">
        <v>2.3429155846295033E-3</v>
      </c>
      <c r="I118" s="87">
        <v>1.8990425775521887E-3</v>
      </c>
      <c r="J118" s="87">
        <v>3.1949721626248324E-3</v>
      </c>
      <c r="K118" s="87">
        <v>1.620274360764168E-3</v>
      </c>
      <c r="L118" s="31">
        <v>4.9302045281845331E-3</v>
      </c>
      <c r="M118" s="31">
        <v>1.3009855795706355</v>
      </c>
      <c r="N118" s="31">
        <v>3.6549838445941993E-2</v>
      </c>
      <c r="O118" s="31">
        <v>3.6495113363831963E-3</v>
      </c>
      <c r="P118" s="31">
        <v>3.8620068432097198E-3</v>
      </c>
      <c r="Q118" s="31">
        <v>8.1697929153369386E-3</v>
      </c>
      <c r="R118" s="31">
        <v>3.9778911130077144E-2</v>
      </c>
      <c r="S118" s="31">
        <v>2.9465627406089724E-3</v>
      </c>
      <c r="T118" s="31">
        <v>1.7163412265680292E-3</v>
      </c>
      <c r="U118" s="31">
        <v>9.1946758849171268E-3</v>
      </c>
      <c r="V118" s="31">
        <v>1.1130983878756561E-2</v>
      </c>
      <c r="W118" s="31">
        <v>8.8939232994359792E-3</v>
      </c>
      <c r="X118" s="31">
        <v>1.3590100945169022E-2</v>
      </c>
      <c r="Y118" s="31">
        <v>6.4744961199589297E-3</v>
      </c>
      <c r="Z118" s="31">
        <v>4.1196226117931724E-3</v>
      </c>
      <c r="AA118" s="31">
        <v>7.8664412957996678E-3</v>
      </c>
      <c r="AB118" s="31">
        <v>4.7915892722048799E-3</v>
      </c>
      <c r="AC118" s="31">
        <v>2.8361449458258413E-3</v>
      </c>
      <c r="AD118" s="31">
        <v>7.5367749921849425E-4</v>
      </c>
      <c r="AE118" s="31">
        <v>3.7617471020956732E-3</v>
      </c>
      <c r="AF118" s="31">
        <v>3.9197910925773422E-3</v>
      </c>
      <c r="AG118" s="31">
        <v>4.0522753984975754E-3</v>
      </c>
      <c r="AH118" s="31">
        <v>5.7362985321314369E-3</v>
      </c>
      <c r="AI118" s="6">
        <v>1.0130084197745996E-2</v>
      </c>
      <c r="AJ118" s="6">
        <v>0</v>
      </c>
    </row>
    <row r="119" spans="5:36" x14ac:dyDescent="0.3">
      <c r="E119" s="86" t="s">
        <v>33</v>
      </c>
      <c r="F119" s="31">
        <v>1.7425852755181121E-2</v>
      </c>
      <c r="G119" s="87">
        <v>1.421135700480459E-3</v>
      </c>
      <c r="H119" s="87">
        <v>2.5828694990909823E-3</v>
      </c>
      <c r="I119" s="87">
        <v>2.0935364394745427E-3</v>
      </c>
      <c r="J119" s="87">
        <v>3.52219098435567E-3</v>
      </c>
      <c r="K119" s="87">
        <v>1.7862176742653303E-3</v>
      </c>
      <c r="L119" s="31">
        <v>2.5050825580562992E-2</v>
      </c>
      <c r="M119" s="31">
        <v>2.357863717709073E-2</v>
      </c>
      <c r="N119" s="31">
        <v>1.3710874362306291</v>
      </c>
      <c r="O119" s="31">
        <v>1.2096930554587007E-2</v>
      </c>
      <c r="P119" s="31">
        <v>1.2801283316452855E-2</v>
      </c>
      <c r="Q119" s="31">
        <v>1.4422592832716239E-2</v>
      </c>
      <c r="R119" s="31">
        <v>0.10622552652063405</v>
      </c>
      <c r="S119" s="31">
        <v>5.587327918809443E-3</v>
      </c>
      <c r="T119" s="31">
        <v>3.2545586493859147E-3</v>
      </c>
      <c r="U119" s="31">
        <v>7.2848729555031674E-3</v>
      </c>
      <c r="V119" s="31">
        <v>2.8683411997328326E-2</v>
      </c>
      <c r="W119" s="31">
        <v>1.9454816726941344E-2</v>
      </c>
      <c r="X119" s="31">
        <v>1.9071464512589138E-2</v>
      </c>
      <c r="Y119" s="31">
        <v>1.0613339710802255E-2</v>
      </c>
      <c r="Z119" s="31">
        <v>6.3131886600902585E-3</v>
      </c>
      <c r="AA119" s="31">
        <v>1.4559512704299232E-2</v>
      </c>
      <c r="AB119" s="31">
        <v>1.9620450414910954E-2</v>
      </c>
      <c r="AC119" s="31">
        <v>4.1475560463637862E-3</v>
      </c>
      <c r="AD119" s="31">
        <v>1.9413681770427014E-3</v>
      </c>
      <c r="AE119" s="31">
        <v>6.5106391232387442E-3</v>
      </c>
      <c r="AF119" s="31">
        <v>2.8961165125830128E-2</v>
      </c>
      <c r="AG119" s="31">
        <v>4.9083100009329585E-3</v>
      </c>
      <c r="AH119" s="31">
        <v>1.2692772716673073E-2</v>
      </c>
      <c r="AI119" s="6">
        <v>1.085993334778664E-2</v>
      </c>
      <c r="AJ119" s="6">
        <v>0</v>
      </c>
    </row>
    <row r="120" spans="5:36" x14ac:dyDescent="0.3">
      <c r="E120" s="85" t="s">
        <v>193</v>
      </c>
      <c r="F120" s="31">
        <v>3.2890280968710071E-2</v>
      </c>
      <c r="G120" s="87">
        <v>1.6079955729002428E-2</v>
      </c>
      <c r="H120" s="87">
        <v>2.9224814481215493E-2</v>
      </c>
      <c r="I120" s="87">
        <v>2.3688077959355226E-2</v>
      </c>
      <c r="J120" s="87">
        <v>3.9853108382530145E-2</v>
      </c>
      <c r="K120" s="87">
        <v>2.0210808239380443E-2</v>
      </c>
      <c r="L120" s="31">
        <v>3.9812134671087927E-2</v>
      </c>
      <c r="M120" s="31">
        <v>4.0856565524328717E-2</v>
      </c>
      <c r="N120" s="31">
        <v>5.1771131623688106E-2</v>
      </c>
      <c r="O120" s="31">
        <v>1.1102552677118012</v>
      </c>
      <c r="P120" s="31">
        <v>0.11667496252385562</v>
      </c>
      <c r="Q120" s="31">
        <v>3.1670150297868467E-2</v>
      </c>
      <c r="R120" s="31">
        <v>3.6678337426032735E-2</v>
      </c>
      <c r="S120" s="31">
        <v>1.9571864070329299E-2</v>
      </c>
      <c r="T120" s="31">
        <v>1.140040112560075E-2</v>
      </c>
      <c r="U120" s="31">
        <v>2.8881397511321315E-2</v>
      </c>
      <c r="V120" s="31">
        <v>7.3917676435307181E-2</v>
      </c>
      <c r="W120" s="31">
        <v>7.6576016723029369E-2</v>
      </c>
      <c r="X120" s="31">
        <v>7.0386103970803277E-2</v>
      </c>
      <c r="Y120" s="31">
        <v>1.7331714302189577E-2</v>
      </c>
      <c r="Z120" s="31">
        <v>6.7884757628947454E-2</v>
      </c>
      <c r="AA120" s="31">
        <v>2.1536649910040222E-2</v>
      </c>
      <c r="AB120" s="31">
        <v>7.286808273007205E-3</v>
      </c>
      <c r="AC120" s="31">
        <v>4.2762384940949428E-3</v>
      </c>
      <c r="AD120" s="31">
        <v>2.3440821232442125E-3</v>
      </c>
      <c r="AE120" s="31">
        <v>6.7473184932649866E-3</v>
      </c>
      <c r="AF120" s="31">
        <v>1.2207093998360346E-2</v>
      </c>
      <c r="AG120" s="31">
        <v>4.869224343193309E-3</v>
      </c>
      <c r="AH120" s="31">
        <v>3.520901737032598E-2</v>
      </c>
      <c r="AI120" s="6">
        <v>1.551470205638727E-2</v>
      </c>
      <c r="AJ120" s="6">
        <v>0</v>
      </c>
    </row>
    <row r="121" spans="5:36" x14ac:dyDescent="0.3">
      <c r="E121" s="86" t="s">
        <v>194</v>
      </c>
      <c r="F121" s="31">
        <v>6.35796563642399E-2</v>
      </c>
      <c r="G121" s="87">
        <v>3.1083895591368677E-2</v>
      </c>
      <c r="H121" s="87">
        <v>5.6494003921463469E-2</v>
      </c>
      <c r="I121" s="87">
        <v>4.5791030426828139E-2</v>
      </c>
      <c r="J121" s="87">
        <v>7.7039382497784997E-2</v>
      </c>
      <c r="K121" s="87">
        <v>3.9069178032435425E-2</v>
      </c>
      <c r="L121" s="31">
        <v>7.6960176896107665E-2</v>
      </c>
      <c r="M121" s="31">
        <v>7.8979148847379027E-2</v>
      </c>
      <c r="N121" s="31">
        <v>0.10007791545938309</v>
      </c>
      <c r="O121" s="31">
        <v>0.21313262845435982</v>
      </c>
      <c r="P121" s="31">
        <v>1.2255424339680929</v>
      </c>
      <c r="Q121" s="31">
        <v>6.1221042011100714E-2</v>
      </c>
      <c r="R121" s="31">
        <v>7.0902285443451438E-2</v>
      </c>
      <c r="S121" s="31">
        <v>3.7834045661786067E-2</v>
      </c>
      <c r="T121" s="31">
        <v>2.2037926239357894E-2</v>
      </c>
      <c r="U121" s="31">
        <v>5.5830150275570548E-2</v>
      </c>
      <c r="V121" s="31">
        <v>0.14288903373829151</v>
      </c>
      <c r="W121" s="31">
        <v>0.14802782723638847</v>
      </c>
      <c r="X121" s="31">
        <v>0.13606220960954116</v>
      </c>
      <c r="Y121" s="31">
        <v>3.3503649317703339E-2</v>
      </c>
      <c r="Z121" s="31">
        <v>0.13122689850306449</v>
      </c>
      <c r="AA121" s="31">
        <v>4.1632140565170651E-2</v>
      </c>
      <c r="AB121" s="31">
        <v>1.408600815635015E-2</v>
      </c>
      <c r="AC121" s="31">
        <v>8.2663256736767877E-3</v>
      </c>
      <c r="AD121" s="31">
        <v>4.5313062550973362E-3</v>
      </c>
      <c r="AE121" s="31">
        <v>1.3043129415342702E-2</v>
      </c>
      <c r="AF121" s="31">
        <v>2.3597330845549311E-2</v>
      </c>
      <c r="AG121" s="31">
        <v>9.4126167786508803E-3</v>
      </c>
      <c r="AH121" s="31">
        <v>6.8061967225440625E-2</v>
      </c>
      <c r="AI121" s="6">
        <v>2.9991213096570719E-2</v>
      </c>
      <c r="AJ121" s="6">
        <v>0</v>
      </c>
    </row>
    <row r="122" spans="5:36" x14ac:dyDescent="0.3">
      <c r="E122" s="86" t="s">
        <v>35</v>
      </c>
      <c r="F122" s="31">
        <v>2.0211410368383691E-2</v>
      </c>
      <c r="G122" s="87">
        <v>6.4014083962423045E-3</v>
      </c>
      <c r="H122" s="87">
        <v>1.1634358697969046E-2</v>
      </c>
      <c r="I122" s="87">
        <v>9.4301914567065867E-3</v>
      </c>
      <c r="J122" s="87">
        <v>1.5865467972411514E-2</v>
      </c>
      <c r="K122" s="87">
        <v>8.0458951342174852E-3</v>
      </c>
      <c r="L122" s="31">
        <v>2.8755669995977794E-2</v>
      </c>
      <c r="M122" s="31">
        <v>2.5190206914551469E-2</v>
      </c>
      <c r="N122" s="31">
        <v>4.4444171577508393E-2</v>
      </c>
      <c r="O122" s="31">
        <v>1.5901569514058484E-2</v>
      </c>
      <c r="P122" s="31">
        <v>1.6827450203766327E-2</v>
      </c>
      <c r="Q122" s="31">
        <v>1.4477986451867837</v>
      </c>
      <c r="R122" s="31">
        <v>0.21087931165175386</v>
      </c>
      <c r="S122" s="31">
        <v>3.996623027102706E-2</v>
      </c>
      <c r="T122" s="31">
        <v>2.3279900929751823E-2</v>
      </c>
      <c r="U122" s="31">
        <v>3.5686893208730926E-2</v>
      </c>
      <c r="V122" s="31">
        <v>0.17841718966767764</v>
      </c>
      <c r="W122" s="31">
        <v>0.19162163594129075</v>
      </c>
      <c r="X122" s="31">
        <v>0.20256644869665083</v>
      </c>
      <c r="Y122" s="31">
        <v>6.2520398596532106E-2</v>
      </c>
      <c r="Z122" s="31">
        <v>3.0757962068724175E-2</v>
      </c>
      <c r="AA122" s="31">
        <v>2.298130833061313E-2</v>
      </c>
      <c r="AB122" s="31">
        <v>4.6718553079692318E-2</v>
      </c>
      <c r="AC122" s="31">
        <v>1.4300185346104641E-2</v>
      </c>
      <c r="AD122" s="31">
        <v>5.7483994898796173E-3</v>
      </c>
      <c r="AE122" s="31">
        <v>9.8408213451919076E-3</v>
      </c>
      <c r="AF122" s="31">
        <v>1.9766510867033019E-2</v>
      </c>
      <c r="AG122" s="31">
        <v>1.3872208895647553E-2</v>
      </c>
      <c r="AH122" s="31">
        <v>1.7434652592871212E-2</v>
      </c>
      <c r="AI122" s="6">
        <v>4.7543581602276341E-2</v>
      </c>
      <c r="AJ122" s="6">
        <v>0</v>
      </c>
    </row>
    <row r="123" spans="5:36" x14ac:dyDescent="0.3">
      <c r="E123" s="86" t="s">
        <v>36</v>
      </c>
      <c r="F123" s="31">
        <v>1.0375200843704582E-3</v>
      </c>
      <c r="G123" s="87">
        <v>6.2430963154052005E-4</v>
      </c>
      <c r="H123" s="87">
        <v>1.1346631463480779E-3</v>
      </c>
      <c r="I123" s="87">
        <v>9.1969750862153912E-4</v>
      </c>
      <c r="J123" s="87">
        <v>1.5473101934706239E-3</v>
      </c>
      <c r="K123" s="87">
        <v>7.8469135473462569E-4</v>
      </c>
      <c r="L123" s="31">
        <v>1.734606862918552E-3</v>
      </c>
      <c r="M123" s="31">
        <v>7.2366927317287135E-3</v>
      </c>
      <c r="N123" s="31">
        <v>1.4216179937620369E-2</v>
      </c>
      <c r="O123" s="31">
        <v>2.4243554314042955E-3</v>
      </c>
      <c r="P123" s="31">
        <v>2.565515326151859E-3</v>
      </c>
      <c r="Q123" s="31">
        <v>6.4183291974690493E-3</v>
      </c>
      <c r="R123" s="31">
        <v>1.0174473712270586</v>
      </c>
      <c r="S123" s="31">
        <v>1.2026293223415063E-3</v>
      </c>
      <c r="T123" s="31">
        <v>7.0051869514500939E-4</v>
      </c>
      <c r="U123" s="31">
        <v>2.1235685421268813E-3</v>
      </c>
      <c r="V123" s="31">
        <v>1.0268283570301948E-2</v>
      </c>
      <c r="W123" s="31">
        <v>3.8157398501252101E-3</v>
      </c>
      <c r="X123" s="31">
        <v>2.9503655641059264E-3</v>
      </c>
      <c r="Y123" s="31">
        <v>2.4746780029271977E-3</v>
      </c>
      <c r="Z123" s="31">
        <v>1.6764028942125404E-3</v>
      </c>
      <c r="AA123" s="31">
        <v>1.192719811566229E-3</v>
      </c>
      <c r="AB123" s="31">
        <v>1.0836801895993953E-3</v>
      </c>
      <c r="AC123" s="31">
        <v>1.4817027339034286E-3</v>
      </c>
      <c r="AD123" s="31">
        <v>1.6719275688261733E-4</v>
      </c>
      <c r="AE123" s="31">
        <v>7.6569703135391986E-4</v>
      </c>
      <c r="AF123" s="31">
        <v>1.8709275143826542E-3</v>
      </c>
      <c r="AG123" s="31">
        <v>1.2274036717877942E-3</v>
      </c>
      <c r="AH123" s="31">
        <v>2.9217392132948494E-2</v>
      </c>
      <c r="AI123" s="6">
        <v>6.1118936337714981E-3</v>
      </c>
      <c r="AJ123" s="6">
        <v>0</v>
      </c>
    </row>
    <row r="124" spans="5:36" x14ac:dyDescent="0.3">
      <c r="E124" s="86" t="s">
        <v>195</v>
      </c>
      <c r="F124" s="31">
        <v>1.4839394016080065E-2</v>
      </c>
      <c r="G124" s="87">
        <v>1.1896769822645524E-2</v>
      </c>
      <c r="H124" s="87">
        <v>2.1622005486336481E-2</v>
      </c>
      <c r="I124" s="87">
        <v>1.752564595156474E-2</v>
      </c>
      <c r="J124" s="87">
        <v>2.9485358363814326E-2</v>
      </c>
      <c r="K124" s="87">
        <v>1.4952984797082744E-2</v>
      </c>
      <c r="L124" s="31">
        <v>2.981148043808798E-2</v>
      </c>
      <c r="M124" s="31">
        <v>3.7381889072389228E-2</v>
      </c>
      <c r="N124" s="31">
        <v>0.11306303709948579</v>
      </c>
      <c r="O124" s="31">
        <v>3.2346483205423639E-2</v>
      </c>
      <c r="P124" s="31">
        <v>3.4229881202922134E-2</v>
      </c>
      <c r="Q124" s="31">
        <v>5.0729332875469796E-2</v>
      </c>
      <c r="R124" s="31">
        <v>4.5894263761496169E-2</v>
      </c>
      <c r="S124" s="31">
        <v>1.4312124393547334</v>
      </c>
      <c r="T124" s="31">
        <v>0.25117662586086192</v>
      </c>
      <c r="U124" s="31">
        <v>8.1848659280617284E-2</v>
      </c>
      <c r="V124" s="31">
        <v>1.6463961140275447E-2</v>
      </c>
      <c r="W124" s="31">
        <v>1.8637774099399609E-2</v>
      </c>
      <c r="X124" s="31">
        <v>1.673810309362745E-2</v>
      </c>
      <c r="Y124" s="31">
        <v>2.7044215302487226E-2</v>
      </c>
      <c r="Z124" s="31">
        <v>2.1712057681606476E-2</v>
      </c>
      <c r="AA124" s="31">
        <v>1.8883777255345111E-2</v>
      </c>
      <c r="AB124" s="31">
        <v>1.405156255094241E-2</v>
      </c>
      <c r="AC124" s="31">
        <v>1.3302952629107785E-2</v>
      </c>
      <c r="AD124" s="31">
        <v>2.4460226589740047E-3</v>
      </c>
      <c r="AE124" s="31">
        <v>7.3122198877173111E-3</v>
      </c>
      <c r="AF124" s="31">
        <v>2.329495271446895E-2</v>
      </c>
      <c r="AG124" s="31">
        <v>1.3172152153236935E-2</v>
      </c>
      <c r="AH124" s="31">
        <v>1.1887029737467547E-2</v>
      </c>
      <c r="AI124" s="6">
        <v>2.2674000275411065E-2</v>
      </c>
      <c r="AJ124" s="6">
        <v>0</v>
      </c>
    </row>
    <row r="125" spans="5:36" x14ac:dyDescent="0.3">
      <c r="E125" s="85" t="s">
        <v>196</v>
      </c>
      <c r="F125" s="31">
        <v>1.8489486668030195E-3</v>
      </c>
      <c r="G125" s="87">
        <v>1.4823055900400827E-3</v>
      </c>
      <c r="H125" s="87">
        <v>2.6940438520770466E-3</v>
      </c>
      <c r="I125" s="87">
        <v>2.1836484483055141E-3</v>
      </c>
      <c r="J125" s="87">
        <v>3.673796516078008E-3</v>
      </c>
      <c r="K125" s="87">
        <v>1.8631017732485006E-3</v>
      </c>
      <c r="L125" s="31">
        <v>3.714430451250153E-3</v>
      </c>
      <c r="M125" s="31">
        <v>4.6576830487873424E-3</v>
      </c>
      <c r="N125" s="31">
        <v>1.4087350971560502E-2</v>
      </c>
      <c r="O125" s="31">
        <v>4.0302849923404601E-3</v>
      </c>
      <c r="P125" s="31">
        <v>4.2649513279577264E-3</v>
      </c>
      <c r="Q125" s="31">
        <v>6.3207387233109747E-3</v>
      </c>
      <c r="R125" s="31">
        <v>5.7183020886010447E-3</v>
      </c>
      <c r="S125" s="31">
        <v>5.3727912608147244E-2</v>
      </c>
      <c r="T125" s="31">
        <v>1.031295933446762</v>
      </c>
      <c r="U125" s="31">
        <v>1.0198123271915648E-2</v>
      </c>
      <c r="V125" s="31">
        <v>2.0513653702855334E-3</v>
      </c>
      <c r="W125" s="31">
        <v>2.3222166306736897E-3</v>
      </c>
      <c r="X125" s="31">
        <v>2.0855227219008163E-3</v>
      </c>
      <c r="Y125" s="31">
        <v>3.3696366424453457E-3</v>
      </c>
      <c r="Z125" s="31">
        <v>2.7052641139156852E-3</v>
      </c>
      <c r="AA125" s="31">
        <v>2.3528679636541268E-3</v>
      </c>
      <c r="AB125" s="31">
        <v>1.7507869807157508E-3</v>
      </c>
      <c r="AC125" s="31">
        <v>1.6575121936569415E-3</v>
      </c>
      <c r="AD125" s="31">
        <v>3.047678584030638E-4</v>
      </c>
      <c r="AE125" s="31">
        <v>9.1108297266823525E-4</v>
      </c>
      <c r="AF125" s="31">
        <v>2.9024885866622682E-3</v>
      </c>
      <c r="AG125" s="31">
        <v>1.641214805420162E-3</v>
      </c>
      <c r="AH125" s="31">
        <v>1.481092001568421E-3</v>
      </c>
      <c r="AI125" s="6">
        <v>2.8251195793362236E-3</v>
      </c>
      <c r="AJ125" s="6">
        <v>0</v>
      </c>
    </row>
    <row r="126" spans="5:36" x14ac:dyDescent="0.3">
      <c r="E126" s="86" t="s">
        <v>37</v>
      </c>
      <c r="F126" s="31">
        <v>4.4066642857094173E-3</v>
      </c>
      <c r="G126" s="87">
        <v>1.7892669814580059E-3</v>
      </c>
      <c r="H126" s="87">
        <v>3.2519365396112779E-3</v>
      </c>
      <c r="I126" s="87">
        <v>2.6358465446786965E-3</v>
      </c>
      <c r="J126" s="87">
        <v>4.4345800535205999E-3</v>
      </c>
      <c r="K126" s="87">
        <v>2.2489198640067596E-3</v>
      </c>
      <c r="L126" s="31">
        <v>5.486645876287285E-3</v>
      </c>
      <c r="M126" s="31">
        <v>7.0066507001856175E-3</v>
      </c>
      <c r="N126" s="31">
        <v>1.2179424055562956E-2</v>
      </c>
      <c r="O126" s="31">
        <v>2.2047291822006251E-3</v>
      </c>
      <c r="P126" s="31">
        <v>2.3331011755456988E-3</v>
      </c>
      <c r="Q126" s="31">
        <v>3.8074044083105087E-2</v>
      </c>
      <c r="R126" s="31">
        <v>8.7217209424123466E-3</v>
      </c>
      <c r="S126" s="31">
        <v>3.8720390921973928E-3</v>
      </c>
      <c r="T126" s="31">
        <v>2.2554212857004859E-3</v>
      </c>
      <c r="U126" s="31">
        <v>1.02384582379685</v>
      </c>
      <c r="V126" s="31">
        <v>6.6835209346880397E-3</v>
      </c>
      <c r="W126" s="31">
        <v>7.7441185229144456E-3</v>
      </c>
      <c r="X126" s="31">
        <v>7.0696906342796661E-3</v>
      </c>
      <c r="Y126" s="31">
        <v>5.9428830801883711E-3</v>
      </c>
      <c r="Z126" s="31">
        <v>2.9893890039250112E-3</v>
      </c>
      <c r="AA126" s="31">
        <v>6.5734651642378652E-3</v>
      </c>
      <c r="AB126" s="31">
        <v>5.438057654559369E-3</v>
      </c>
      <c r="AC126" s="31">
        <v>6.6535439190909236E-3</v>
      </c>
      <c r="AD126" s="31">
        <v>1.0097816796823551E-3</v>
      </c>
      <c r="AE126" s="31">
        <v>3.5746565010973596E-3</v>
      </c>
      <c r="AF126" s="31">
        <v>1.3052895861556894E-2</v>
      </c>
      <c r="AG126" s="31">
        <v>6.5484707208952799E-3</v>
      </c>
      <c r="AH126" s="31">
        <v>7.9929130170860157E-3</v>
      </c>
      <c r="AI126" s="6">
        <v>7.7004610443313602E-3</v>
      </c>
      <c r="AJ126" s="6">
        <v>0</v>
      </c>
    </row>
    <row r="127" spans="5:36" x14ac:dyDescent="0.3">
      <c r="E127" s="86" t="s">
        <v>38</v>
      </c>
      <c r="F127" s="31">
        <v>2.0884081018003985E-4</v>
      </c>
      <c r="G127" s="87">
        <v>1.9546843528969932E-4</v>
      </c>
      <c r="H127" s="87">
        <v>3.552577416597984E-4</v>
      </c>
      <c r="I127" s="87">
        <v>2.8795300259342409E-4</v>
      </c>
      <c r="J127" s="87">
        <v>4.8445560847618394E-4</v>
      </c>
      <c r="K127" s="87">
        <v>2.4568320516992793E-4</v>
      </c>
      <c r="L127" s="31">
        <v>4.2512856198390417E-4</v>
      </c>
      <c r="M127" s="31">
        <v>1.0050331055814069E-3</v>
      </c>
      <c r="N127" s="31">
        <v>1.4050290545970074E-3</v>
      </c>
      <c r="O127" s="31">
        <v>2.9035211420465871E-4</v>
      </c>
      <c r="P127" s="31">
        <v>3.0725808160116428E-4</v>
      </c>
      <c r="Q127" s="31">
        <v>6.7247767808583173E-4</v>
      </c>
      <c r="R127" s="31">
        <v>1.3661585346953099E-3</v>
      </c>
      <c r="S127" s="31">
        <v>6.2322327077371314E-4</v>
      </c>
      <c r="T127" s="31">
        <v>3.6302087793468277E-4</v>
      </c>
      <c r="U127" s="31">
        <v>1.2353222866737857E-3</v>
      </c>
      <c r="V127" s="31">
        <v>1.0018020518177124</v>
      </c>
      <c r="W127" s="31">
        <v>1.2462802723413795E-3</v>
      </c>
      <c r="X127" s="31">
        <v>1.0321829472422135E-3</v>
      </c>
      <c r="Y127" s="31">
        <v>8.1469824829186253E-4</v>
      </c>
      <c r="Z127" s="31">
        <v>4.4918723696384019E-4</v>
      </c>
      <c r="AA127" s="31">
        <v>6.4122853178173592E-4</v>
      </c>
      <c r="AB127" s="31">
        <v>1.4155959052717802E-3</v>
      </c>
      <c r="AC127" s="31">
        <v>9.0925716921530031E-4</v>
      </c>
      <c r="AD127" s="31">
        <v>3.926290041682117E-4</v>
      </c>
      <c r="AE127" s="31">
        <v>9.8873983125918755E-4</v>
      </c>
      <c r="AF127" s="31">
        <v>1.5793945890365535E-3</v>
      </c>
      <c r="AG127" s="31">
        <v>1.021664756073492E-3</v>
      </c>
      <c r="AH127" s="31">
        <v>2.2432495654333365E-3</v>
      </c>
      <c r="AI127" s="6">
        <v>1.2101008658980663E-3</v>
      </c>
      <c r="AJ127" s="6">
        <v>0</v>
      </c>
    </row>
    <row r="128" spans="5:36" x14ac:dyDescent="0.3">
      <c r="E128" s="86" t="s">
        <v>39</v>
      </c>
      <c r="F128" s="31">
        <v>1.0117906152805426E-4</v>
      </c>
      <c r="G128" s="87">
        <v>1.3346462879681284E-4</v>
      </c>
      <c r="H128" s="87">
        <v>2.4256777084007079E-4</v>
      </c>
      <c r="I128" s="87">
        <v>1.9661251467583755E-4</v>
      </c>
      <c r="J128" s="87">
        <v>3.307832687051506E-4</v>
      </c>
      <c r="K128" s="87">
        <v>1.6775096056311235E-4</v>
      </c>
      <c r="L128" s="31">
        <v>1.4792707210627642E-4</v>
      </c>
      <c r="M128" s="31">
        <v>1.8929464396245897E-4</v>
      </c>
      <c r="N128" s="31">
        <v>1.9128255095643548E-4</v>
      </c>
      <c r="O128" s="31">
        <v>1.3063564534115336E-4</v>
      </c>
      <c r="P128" s="31">
        <v>1.3824200277033437E-4</v>
      </c>
      <c r="Q128" s="31">
        <v>1.4804913612031617E-4</v>
      </c>
      <c r="R128" s="31">
        <v>1.3025981681919047E-4</v>
      </c>
      <c r="S128" s="31">
        <v>6.3058502386529691E-4</v>
      </c>
      <c r="T128" s="31">
        <v>3.6730902023579971E-4</v>
      </c>
      <c r="U128" s="31">
        <v>1.2759518788467945E-4</v>
      </c>
      <c r="V128" s="31">
        <v>1.0070263601121648E-4</v>
      </c>
      <c r="W128" s="31">
        <v>1.00017732328827</v>
      </c>
      <c r="X128" s="31">
        <v>1.1929019480254908E-4</v>
      </c>
      <c r="Y128" s="31">
        <v>2.4738769177250257E-4</v>
      </c>
      <c r="Z128" s="31">
        <v>2.404741324874754E-3</v>
      </c>
      <c r="AA128" s="31">
        <v>1.4836173277532773E-4</v>
      </c>
      <c r="AB128" s="31">
        <v>8.1121427883691435E-5</v>
      </c>
      <c r="AC128" s="31">
        <v>5.5009167980424527E-5</v>
      </c>
      <c r="AD128" s="31">
        <v>1.608089721617434E-5</v>
      </c>
      <c r="AE128" s="31">
        <v>7.6201195434022492E-5</v>
      </c>
      <c r="AF128" s="31">
        <v>7.7750633425416942E-5</v>
      </c>
      <c r="AG128" s="31">
        <v>4.8677282808959155E-5</v>
      </c>
      <c r="AH128" s="31">
        <v>5.0017068576150223E-5</v>
      </c>
      <c r="AI128" s="6">
        <v>6.6700217022751409E-5</v>
      </c>
      <c r="AJ128" s="6">
        <v>0</v>
      </c>
    </row>
    <row r="129" spans="5:36" x14ac:dyDescent="0.3">
      <c r="E129" s="86" t="s">
        <v>40</v>
      </c>
      <c r="F129" s="31">
        <v>2.7332615864618043E-3</v>
      </c>
      <c r="G129" s="87">
        <v>2.5349524068944899E-3</v>
      </c>
      <c r="H129" s="87">
        <v>4.6071963790660381E-3</v>
      </c>
      <c r="I129" s="87">
        <v>3.7343479826543735E-3</v>
      </c>
      <c r="J129" s="87">
        <v>6.2827121367198709E-3</v>
      </c>
      <c r="K129" s="87">
        <v>3.1861677889631164E-3</v>
      </c>
      <c r="L129" s="31">
        <v>4.3826529102771296E-3</v>
      </c>
      <c r="M129" s="31">
        <v>4.5091780894144012E-3</v>
      </c>
      <c r="N129" s="31">
        <v>6.8198213198932579E-3</v>
      </c>
      <c r="O129" s="31">
        <v>4.4531363239980947E-3</v>
      </c>
      <c r="P129" s="31">
        <v>4.7124234923107064E-3</v>
      </c>
      <c r="Q129" s="31">
        <v>6.3703244634946985E-3</v>
      </c>
      <c r="R129" s="31">
        <v>2.3617173875956011E-2</v>
      </c>
      <c r="S129" s="31">
        <v>3.371416854842138E-2</v>
      </c>
      <c r="T129" s="31">
        <v>1.9638141961694579E-2</v>
      </c>
      <c r="U129" s="31">
        <v>6.0574908910442732E-2</v>
      </c>
      <c r="V129" s="31">
        <v>0.18553876548352111</v>
      </c>
      <c r="W129" s="31">
        <v>0.14164268235104208</v>
      </c>
      <c r="X129" s="31">
        <v>1.1205383467918728</v>
      </c>
      <c r="Y129" s="31">
        <v>1.0596125338213065E-2</v>
      </c>
      <c r="Z129" s="31">
        <v>7.7837386544037431E-3</v>
      </c>
      <c r="AA129" s="31">
        <v>1.2811755326162856E-2</v>
      </c>
      <c r="AB129" s="31">
        <v>4.1964087749680442E-3</v>
      </c>
      <c r="AC129" s="31">
        <v>7.3542383832746741E-3</v>
      </c>
      <c r="AD129" s="31">
        <v>2.4186735625323346E-2</v>
      </c>
      <c r="AE129" s="31">
        <v>7.1844965515786884E-3</v>
      </c>
      <c r="AF129" s="31">
        <v>3.6813827043144023E-2</v>
      </c>
      <c r="AG129" s="31">
        <v>2.7766743926709199E-2</v>
      </c>
      <c r="AH129" s="31">
        <v>6.335561537145421E-3</v>
      </c>
      <c r="AI129" s="6">
        <v>2.6652734120871328E-2</v>
      </c>
      <c r="AJ129" s="6">
        <v>0</v>
      </c>
    </row>
    <row r="130" spans="5:36" x14ac:dyDescent="0.3">
      <c r="E130" s="86" t="s">
        <v>41</v>
      </c>
      <c r="F130" s="31">
        <v>6.6001739180536076E-2</v>
      </c>
      <c r="G130" s="87">
        <v>1.7309631179121363E-2</v>
      </c>
      <c r="H130" s="87">
        <v>3.1459710988860329E-2</v>
      </c>
      <c r="I130" s="87">
        <v>2.5499566026737475E-2</v>
      </c>
      <c r="J130" s="87">
        <v>4.2900777780060684E-2</v>
      </c>
      <c r="K130" s="87">
        <v>2.1756380574147669E-2</v>
      </c>
      <c r="L130" s="31">
        <v>0.11153166257762805</v>
      </c>
      <c r="M130" s="31">
        <v>9.9029709937319146E-2</v>
      </c>
      <c r="N130" s="31">
        <v>0.14677617513175284</v>
      </c>
      <c r="O130" s="31">
        <v>5.7518278919330416E-2</v>
      </c>
      <c r="P130" s="31">
        <v>6.0867323408904564E-2</v>
      </c>
      <c r="Q130" s="31">
        <v>0.14983189297582852</v>
      </c>
      <c r="R130" s="31">
        <v>0.11244999330727447</v>
      </c>
      <c r="S130" s="31">
        <v>2.982617697453608E-2</v>
      </c>
      <c r="T130" s="31">
        <v>1.7373428526327742E-2</v>
      </c>
      <c r="U130" s="31">
        <v>4.2517851569175105E-2</v>
      </c>
      <c r="V130" s="31">
        <v>9.8104954914067954E-2</v>
      </c>
      <c r="W130" s="31">
        <v>0.11255015519494038</v>
      </c>
      <c r="X130" s="31">
        <v>0.1047428258804451</v>
      </c>
      <c r="Y130" s="31">
        <v>1.0428668464184805</v>
      </c>
      <c r="Z130" s="31">
        <v>9.7883760387027396E-2</v>
      </c>
      <c r="AA130" s="31">
        <v>0.11986833081809654</v>
      </c>
      <c r="AB130" s="31">
        <v>4.3946135023365099E-2</v>
      </c>
      <c r="AC130" s="31">
        <v>1.4616941415462215E-2</v>
      </c>
      <c r="AD130" s="31">
        <v>5.2203066619232966E-3</v>
      </c>
      <c r="AE130" s="31">
        <v>1.7729023333848057E-2</v>
      </c>
      <c r="AF130" s="31">
        <v>2.9945875900843934E-2</v>
      </c>
      <c r="AG130" s="31">
        <v>1.6401857380786082E-2</v>
      </c>
      <c r="AH130" s="31">
        <v>4.8393532262548673E-2</v>
      </c>
      <c r="AI130" s="6">
        <v>3.8447129587977379E-2</v>
      </c>
      <c r="AJ130" s="6">
        <v>0</v>
      </c>
    </row>
    <row r="131" spans="5:36" x14ac:dyDescent="0.3">
      <c r="E131" s="86" t="s">
        <v>42</v>
      </c>
      <c r="F131" s="31">
        <v>4.7652045716056989E-2</v>
      </c>
      <c r="G131" s="87">
        <v>6.4117972759721989E-2</v>
      </c>
      <c r="H131" s="87">
        <v>0.11653240160573211</v>
      </c>
      <c r="I131" s="87">
        <v>9.4454957645728227E-2</v>
      </c>
      <c r="J131" s="87">
        <v>0.15891216124758845</v>
      </c>
      <c r="K131" s="87">
        <v>8.058952860220063E-2</v>
      </c>
      <c r="L131" s="31">
        <v>6.8345621705790227E-2</v>
      </c>
      <c r="M131" s="31">
        <v>8.7596390706478344E-2</v>
      </c>
      <c r="N131" s="31">
        <v>7.6257389524166969E-2</v>
      </c>
      <c r="O131" s="31">
        <v>5.937148504423978E-2</v>
      </c>
      <c r="P131" s="31">
        <v>6.2828433836190176E-2</v>
      </c>
      <c r="Q131" s="31">
        <v>6.4983368605829747E-2</v>
      </c>
      <c r="R131" s="31">
        <v>5.6748570547640952E-2</v>
      </c>
      <c r="S131" s="31">
        <v>9.0288599676703218E-2</v>
      </c>
      <c r="T131" s="31">
        <v>5.2592141948484543E-2</v>
      </c>
      <c r="U131" s="31">
        <v>4.9133281431757665E-2</v>
      </c>
      <c r="V131" s="31">
        <v>4.490179799712981E-2</v>
      </c>
      <c r="W131" s="31">
        <v>6.5957037604227026E-2</v>
      </c>
      <c r="X131" s="31">
        <v>4.2550093017861126E-2</v>
      </c>
      <c r="Y131" s="31">
        <v>0.11796427720177367</v>
      </c>
      <c r="Z131" s="31">
        <v>1.1870281074306421</v>
      </c>
      <c r="AA131" s="31">
        <v>7.0232332668632699E-2</v>
      </c>
      <c r="AB131" s="31">
        <v>3.7830955052258509E-2</v>
      </c>
      <c r="AC131" s="31">
        <v>2.4984824200012919E-2</v>
      </c>
      <c r="AD131" s="31">
        <v>7.2669564597039318E-3</v>
      </c>
      <c r="AE131" s="31">
        <v>3.645287604246019E-2</v>
      </c>
      <c r="AF131" s="31">
        <v>3.4258807012210117E-2</v>
      </c>
      <c r="AG131" s="31">
        <v>2.161970003352463E-2</v>
      </c>
      <c r="AH131" s="31">
        <v>2.275566844252918E-2</v>
      </c>
      <c r="AI131" s="6">
        <v>2.9013418769037125E-2</v>
      </c>
      <c r="AJ131" s="6">
        <v>0</v>
      </c>
    </row>
    <row r="132" spans="5:36" x14ac:dyDescent="0.3">
      <c r="E132" s="84" t="s">
        <v>43</v>
      </c>
      <c r="F132" s="31">
        <v>5.0628369008227144E-3</v>
      </c>
      <c r="G132" s="87">
        <v>2.6876044181513839E-3</v>
      </c>
      <c r="H132" s="87">
        <v>4.8846366148697171E-3</v>
      </c>
      <c r="I132" s="87">
        <v>3.9592262599486101E-3</v>
      </c>
      <c r="J132" s="87">
        <v>6.6610500657515725E-3</v>
      </c>
      <c r="K132" s="87">
        <v>3.3780352653955447E-3</v>
      </c>
      <c r="L132" s="31">
        <v>9.2175523140058321E-3</v>
      </c>
      <c r="M132" s="31">
        <v>8.295550328495124E-3</v>
      </c>
      <c r="N132" s="31">
        <v>8.3144923508096154E-3</v>
      </c>
      <c r="O132" s="31">
        <v>4.0408667480031028E-3</v>
      </c>
      <c r="P132" s="31">
        <v>4.2761492141993387E-3</v>
      </c>
      <c r="Q132" s="31">
        <v>7.8932710738341509E-3</v>
      </c>
      <c r="R132" s="31">
        <v>6.0814652124256009E-3</v>
      </c>
      <c r="S132" s="31">
        <v>5.133277352181739E-3</v>
      </c>
      <c r="T132" s="31">
        <v>2.9900790590790612E-3</v>
      </c>
      <c r="U132" s="31">
        <v>6.999755848001536E-3</v>
      </c>
      <c r="V132" s="31">
        <v>4.8163413490401848E-3</v>
      </c>
      <c r="W132" s="31">
        <v>5.6469096051854689E-3</v>
      </c>
      <c r="X132" s="31">
        <v>5.734429839032701E-3</v>
      </c>
      <c r="Y132" s="31">
        <v>1.131692885571536E-2</v>
      </c>
      <c r="Z132" s="31">
        <v>1.1598190471021409E-2</v>
      </c>
      <c r="AA132" s="31">
        <v>1.0175246240763409</v>
      </c>
      <c r="AB132" s="31">
        <v>1.4097197759269061E-2</v>
      </c>
      <c r="AC132" s="31">
        <v>1.5400259569026345E-2</v>
      </c>
      <c r="AD132" s="31">
        <v>2.0610619645751544E-3</v>
      </c>
      <c r="AE132" s="31">
        <v>1.0814305553936289E-2</v>
      </c>
      <c r="AF132" s="31">
        <v>1.5237702276254315E-2</v>
      </c>
      <c r="AG132" s="31">
        <v>8.7067912368039273E-3</v>
      </c>
      <c r="AH132" s="31">
        <v>6.5979910897010522E-3</v>
      </c>
      <c r="AI132" s="6">
        <v>4.3272191363815909E-2</v>
      </c>
      <c r="AJ132" s="6">
        <v>0</v>
      </c>
    </row>
    <row r="133" spans="5:36" x14ac:dyDescent="0.3">
      <c r="E133" s="86" t="s">
        <v>44</v>
      </c>
      <c r="F133" s="31">
        <v>9.5062129877712467E-3</v>
      </c>
      <c r="G133" s="87">
        <v>6.6065487758095237E-3</v>
      </c>
      <c r="H133" s="87">
        <v>1.2007194894566583E-2</v>
      </c>
      <c r="I133" s="87">
        <v>9.7323926185565145E-3</v>
      </c>
      <c r="J133" s="87">
        <v>1.6373894856061454E-2</v>
      </c>
      <c r="K133" s="87">
        <v>8.3037349531486261E-3</v>
      </c>
      <c r="L133" s="31">
        <v>1.7668174332273502E-2</v>
      </c>
      <c r="M133" s="31">
        <v>2.6328488241047623E-2</v>
      </c>
      <c r="N133" s="31">
        <v>3.4545708711832469E-2</v>
      </c>
      <c r="O133" s="31">
        <v>1.0295467925680968E-2</v>
      </c>
      <c r="P133" s="31">
        <v>1.0894929188637876E-2</v>
      </c>
      <c r="Q133" s="31">
        <v>2.5410578346759295E-2</v>
      </c>
      <c r="R133" s="31">
        <v>1.9983919556272423E-2</v>
      </c>
      <c r="S133" s="31">
        <v>2.6007042566128447E-2</v>
      </c>
      <c r="T133" s="31">
        <v>1.5148823652107483E-2</v>
      </c>
      <c r="U133" s="31">
        <v>2.9799631070779885E-2</v>
      </c>
      <c r="V133" s="31">
        <v>1.7242515460021136E-2</v>
      </c>
      <c r="W133" s="31">
        <v>2.1287114295626141E-2</v>
      </c>
      <c r="X133" s="31">
        <v>1.9040716402181829E-2</v>
      </c>
      <c r="Y133" s="31">
        <v>5.0338481883662842E-2</v>
      </c>
      <c r="Z133" s="31">
        <v>2.0218208158927331E-2</v>
      </c>
      <c r="AA133" s="31">
        <v>2.8731140073663768E-2</v>
      </c>
      <c r="AB133" s="31">
        <v>1.1645887197306839</v>
      </c>
      <c r="AC133" s="31">
        <v>3.2963175144359008E-2</v>
      </c>
      <c r="AD133" s="31">
        <v>9.8312597481927527E-3</v>
      </c>
      <c r="AE133" s="31">
        <v>5.0405883755284708E-2</v>
      </c>
      <c r="AF133" s="31">
        <v>6.1401992543569019E-2</v>
      </c>
      <c r="AG133" s="31">
        <v>3.7199238165652446E-2</v>
      </c>
      <c r="AH133" s="31">
        <v>2.7076112581225793E-2</v>
      </c>
      <c r="AI133" s="6">
        <v>4.3323512300184899E-2</v>
      </c>
      <c r="AJ133" s="6">
        <v>0</v>
      </c>
    </row>
    <row r="134" spans="5:36" x14ac:dyDescent="0.3">
      <c r="E134" s="86" t="s">
        <v>45</v>
      </c>
      <c r="F134" s="31">
        <v>2.3792265356045322E-2</v>
      </c>
      <c r="G134" s="87">
        <v>1.147413247165432E-2</v>
      </c>
      <c r="H134" s="87">
        <v>2.0853875375550637E-2</v>
      </c>
      <c r="I134" s="87">
        <v>1.6903040598195654E-2</v>
      </c>
      <c r="J134" s="87">
        <v>2.8437879599604907E-2</v>
      </c>
      <c r="K134" s="87">
        <v>1.4421774226628459E-2</v>
      </c>
      <c r="L134" s="31">
        <v>3.9016644868492399E-2</v>
      </c>
      <c r="M134" s="31">
        <v>4.7683636384599104E-2</v>
      </c>
      <c r="N134" s="31">
        <v>5.4117585043995532E-2</v>
      </c>
      <c r="O134" s="31">
        <v>2.1949237533257813E-2</v>
      </c>
      <c r="P134" s="31">
        <v>2.3227248182954192E-2</v>
      </c>
      <c r="Q134" s="31">
        <v>4.3209701115531053E-2</v>
      </c>
      <c r="R134" s="31">
        <v>3.1777568162924E-2</v>
      </c>
      <c r="S134" s="31">
        <v>4.4474719532749792E-2</v>
      </c>
      <c r="T134" s="31">
        <v>2.5906047620195185E-2</v>
      </c>
      <c r="U134" s="31">
        <v>3.2212030801327687E-2</v>
      </c>
      <c r="V134" s="31">
        <v>5.8277927018704594E-2</v>
      </c>
      <c r="W134" s="31">
        <v>6.5028555863169274E-2</v>
      </c>
      <c r="X134" s="31">
        <v>0.14082007612676381</v>
      </c>
      <c r="Y134" s="31">
        <v>5.0548561338434751E-2</v>
      </c>
      <c r="Z134" s="31">
        <v>5.9625631211416688E-2</v>
      </c>
      <c r="AA134" s="31">
        <v>3.1055392687026291E-2</v>
      </c>
      <c r="AB134" s="31">
        <v>3.3475648303605457E-2</v>
      </c>
      <c r="AC134" s="31">
        <v>1.3196555218993602</v>
      </c>
      <c r="AD134" s="31">
        <v>3.3872706809552934E-2</v>
      </c>
      <c r="AE134" s="31">
        <v>2.9094458561815185E-2</v>
      </c>
      <c r="AF134" s="31">
        <v>7.1952674238184286E-2</v>
      </c>
      <c r="AG134" s="31">
        <v>2.2797772032052722E-2</v>
      </c>
      <c r="AH134" s="31">
        <v>3.0008420821176385E-2</v>
      </c>
      <c r="AI134" s="6">
        <v>4.1227106953136777E-2</v>
      </c>
      <c r="AJ134" s="6">
        <v>0</v>
      </c>
    </row>
    <row r="135" spans="5:36" x14ac:dyDescent="0.3">
      <c r="E135" s="86" t="s">
        <v>46</v>
      </c>
      <c r="F135" s="31">
        <v>6.4753024856138838E-3</v>
      </c>
      <c r="G135" s="87">
        <v>4.9250084063584155E-3</v>
      </c>
      <c r="H135" s="87">
        <v>8.9510480886865439E-3</v>
      </c>
      <c r="I135" s="87">
        <v>7.2552428033043816E-3</v>
      </c>
      <c r="J135" s="87">
        <v>1.2206308096325249E-2</v>
      </c>
      <c r="K135" s="87">
        <v>6.1902160774432568E-3</v>
      </c>
      <c r="L135" s="31">
        <v>1.1514241760111866E-2</v>
      </c>
      <c r="M135" s="31">
        <v>3.5775138533796914E-2</v>
      </c>
      <c r="N135" s="31">
        <v>1.7999981206202748E-2</v>
      </c>
      <c r="O135" s="31">
        <v>9.1054286699767135E-3</v>
      </c>
      <c r="P135" s="31">
        <v>9.6355990138280029E-3</v>
      </c>
      <c r="Q135" s="31">
        <v>2.1443894672271611E-2</v>
      </c>
      <c r="R135" s="31">
        <v>1.592837290163816E-2</v>
      </c>
      <c r="S135" s="31">
        <v>1.0888035221084851E-2</v>
      </c>
      <c r="T135" s="31">
        <v>6.3421638605293991E-3</v>
      </c>
      <c r="U135" s="31">
        <v>3.3443282476953419E-2</v>
      </c>
      <c r="V135" s="31">
        <v>1.1983248627990424E-2</v>
      </c>
      <c r="W135" s="31">
        <v>1.3386987184314346E-2</v>
      </c>
      <c r="X135" s="31">
        <v>2.005339866936006E-2</v>
      </c>
      <c r="Y135" s="31">
        <v>5.2262628418816987E-2</v>
      </c>
      <c r="Z135" s="31">
        <v>2.2435140808438434E-2</v>
      </c>
      <c r="AA135" s="31">
        <v>5.4288757625925339E-2</v>
      </c>
      <c r="AB135" s="31">
        <v>3.7179656642838267E-2</v>
      </c>
      <c r="AC135" s="31">
        <v>4.0875992058567782E-2</v>
      </c>
      <c r="AD135" s="31">
        <v>1.0071345233884075</v>
      </c>
      <c r="AE135" s="31">
        <v>3.550680860576326E-2</v>
      </c>
      <c r="AF135" s="31">
        <v>1.9220363151059773E-2</v>
      </c>
      <c r="AG135" s="31">
        <v>2.8086413507677026E-2</v>
      </c>
      <c r="AH135" s="31">
        <v>1.2543752340630423E-2</v>
      </c>
      <c r="AI135" s="6">
        <v>5.2132249351281718E-2</v>
      </c>
      <c r="AJ135" s="6">
        <v>0</v>
      </c>
    </row>
    <row r="136" spans="5:36" x14ac:dyDescent="0.3">
      <c r="E136" s="86" t="s">
        <v>47</v>
      </c>
      <c r="F136" s="31">
        <v>2.6803386805966608E-2</v>
      </c>
      <c r="G136" s="87">
        <v>2.5610409348711491E-2</v>
      </c>
      <c r="H136" s="87">
        <v>4.6546114592475533E-2</v>
      </c>
      <c r="I136" s="87">
        <v>3.7727801210862777E-2</v>
      </c>
      <c r="J136" s="87">
        <v>6.3473708304698284E-2</v>
      </c>
      <c r="K136" s="87">
        <v>3.2189583168146928E-2</v>
      </c>
      <c r="L136" s="31">
        <v>5.5490241471068354E-2</v>
      </c>
      <c r="M136" s="31">
        <v>9.4022525221889655E-2</v>
      </c>
      <c r="N136" s="31">
        <v>0.10069250128899219</v>
      </c>
      <c r="O136" s="31">
        <v>3.2511102109166072E-2</v>
      </c>
      <c r="P136" s="31">
        <v>3.4404085164542103E-2</v>
      </c>
      <c r="Q136" s="31">
        <v>6.3004147930599094E-2</v>
      </c>
      <c r="R136" s="31">
        <v>4.5783585685887487E-2</v>
      </c>
      <c r="S136" s="31">
        <v>6.545249875524986E-2</v>
      </c>
      <c r="T136" s="31">
        <v>3.8125379258787027E-2</v>
      </c>
      <c r="U136" s="31">
        <v>0.12971292229944525</v>
      </c>
      <c r="V136" s="31">
        <v>5.3228809713266052E-2</v>
      </c>
      <c r="W136" s="31">
        <v>6.4232388541205707E-2</v>
      </c>
      <c r="X136" s="31">
        <v>5.2933384372056726E-2</v>
      </c>
      <c r="Y136" s="31">
        <v>9.3951599153063378E-2</v>
      </c>
      <c r="Z136" s="31">
        <v>5.6615018992130277E-2</v>
      </c>
      <c r="AA136" s="31">
        <v>7.6213432050578622E-2</v>
      </c>
      <c r="AB136" s="31">
        <v>0.21694239154656725</v>
      </c>
      <c r="AC136" s="31">
        <v>0.12119887579411631</v>
      </c>
      <c r="AD136" s="31">
        <v>4.1832662650886074E-2</v>
      </c>
      <c r="AE136" s="31">
        <v>1.1434381817180408</v>
      </c>
      <c r="AF136" s="31">
        <v>0.21164501035133465</v>
      </c>
      <c r="AG136" s="31">
        <v>0.12843392877722623</v>
      </c>
      <c r="AH136" s="31">
        <v>7.6235328082584E-2</v>
      </c>
      <c r="AI136" s="6">
        <v>0.109241937015158</v>
      </c>
      <c r="AJ136" s="6">
        <v>0</v>
      </c>
    </row>
    <row r="137" spans="5:36" x14ac:dyDescent="0.3">
      <c r="E137" s="86" t="s">
        <v>48</v>
      </c>
      <c r="F137" s="31">
        <v>1.6753270521639553E-3</v>
      </c>
      <c r="G137" s="87">
        <v>1.5567922744432854E-3</v>
      </c>
      <c r="H137" s="87">
        <v>2.8294210614233498E-3</v>
      </c>
      <c r="I137" s="87">
        <v>2.2933780033374679E-3</v>
      </c>
      <c r="J137" s="87">
        <v>3.8584068444026056E-3</v>
      </c>
      <c r="K137" s="87">
        <v>1.9567236786959845E-3</v>
      </c>
      <c r="L137" s="31">
        <v>2.8742983043495108E-3</v>
      </c>
      <c r="M137" s="31">
        <v>4.1489966024239027E-3</v>
      </c>
      <c r="N137" s="31">
        <v>4.8115802983492093E-3</v>
      </c>
      <c r="O137" s="31">
        <v>2.3553612329868358E-3</v>
      </c>
      <c r="P137" s="31">
        <v>2.4925038893127372E-3</v>
      </c>
      <c r="Q137" s="31">
        <v>3.1990342324736544E-3</v>
      </c>
      <c r="R137" s="31">
        <v>2.569155615778538E-3</v>
      </c>
      <c r="S137" s="31">
        <v>3.3241286122425778E-3</v>
      </c>
      <c r="T137" s="31">
        <v>1.9362693015072797E-3</v>
      </c>
      <c r="U137" s="31">
        <v>4.4259839255343944E-3</v>
      </c>
      <c r="V137" s="31">
        <v>2.4308434447607649E-3</v>
      </c>
      <c r="W137" s="31">
        <v>3.0663150877460309E-3</v>
      </c>
      <c r="X137" s="31">
        <v>2.5183812641829729E-3</v>
      </c>
      <c r="Y137" s="31">
        <v>4.5599670900112787E-3</v>
      </c>
      <c r="Z137" s="31">
        <v>4.3802581080011312E-3</v>
      </c>
      <c r="AA137" s="31">
        <v>3.5691605923015746E-3</v>
      </c>
      <c r="AB137" s="31">
        <v>7.7074518440475043E-3</v>
      </c>
      <c r="AC137" s="31">
        <v>3.7812508376024027E-3</v>
      </c>
      <c r="AD137" s="31">
        <v>1.2106100701799018E-3</v>
      </c>
      <c r="AE137" s="31">
        <v>4.6047459527912352E-3</v>
      </c>
      <c r="AF137" s="31">
        <v>1.0063353745724277</v>
      </c>
      <c r="AG137" s="31">
        <v>3.8789851271242488E-3</v>
      </c>
      <c r="AH137" s="31">
        <v>2.9886242569916606E-3</v>
      </c>
      <c r="AI137" s="6">
        <v>3.8492533580999745E-3</v>
      </c>
      <c r="AJ137" s="6">
        <v>0</v>
      </c>
    </row>
    <row r="138" spans="5:36" x14ac:dyDescent="0.3">
      <c r="E138" s="86" t="s">
        <v>49</v>
      </c>
      <c r="F138" s="31">
        <v>8.7549421892111896E-4</v>
      </c>
      <c r="G138" s="87">
        <v>9.3965291112629618E-4</v>
      </c>
      <c r="H138" s="87">
        <v>1.7077896523601764E-3</v>
      </c>
      <c r="I138" s="87">
        <v>1.3842433268238647E-3</v>
      </c>
      <c r="J138" s="87">
        <v>2.3288676872121883E-3</v>
      </c>
      <c r="K138" s="87">
        <v>1.1810445947992268E-3</v>
      </c>
      <c r="L138" s="31">
        <v>1.6081845902086954E-3</v>
      </c>
      <c r="M138" s="31">
        <v>2.9856408067593303E-3</v>
      </c>
      <c r="N138" s="31">
        <v>2.7296784840945272E-3</v>
      </c>
      <c r="O138" s="31">
        <v>1.0513296659537188E-3</v>
      </c>
      <c r="P138" s="31">
        <v>1.1125441162231067E-3</v>
      </c>
      <c r="Q138" s="31">
        <v>1.8745307089939557E-3</v>
      </c>
      <c r="R138" s="31">
        <v>1.4125224614920597E-3</v>
      </c>
      <c r="S138" s="31">
        <v>3.3005528484809149E-3</v>
      </c>
      <c r="T138" s="31">
        <v>1.9225366717097515E-3</v>
      </c>
      <c r="U138" s="31">
        <v>6.1398240788137597E-3</v>
      </c>
      <c r="V138" s="31">
        <v>1.2454235464324898E-3</v>
      </c>
      <c r="W138" s="31">
        <v>1.6410367059032597E-3</v>
      </c>
      <c r="X138" s="31">
        <v>1.5089034895079774E-3</v>
      </c>
      <c r="Y138" s="31">
        <v>2.8076998919343405E-3</v>
      </c>
      <c r="Z138" s="31">
        <v>3.3633155146703866E-3</v>
      </c>
      <c r="AA138" s="31">
        <v>2.0917416428602371E-3</v>
      </c>
      <c r="AB138" s="31">
        <v>5.1261955371951617E-3</v>
      </c>
      <c r="AC138" s="31">
        <v>5.4263855475095955E-3</v>
      </c>
      <c r="AD138" s="31">
        <v>1.6179091516215062E-3</v>
      </c>
      <c r="AE138" s="31">
        <v>3.1822001784482224E-3</v>
      </c>
      <c r="AF138" s="31">
        <v>1.2948147596001602E-2</v>
      </c>
      <c r="AG138" s="31">
        <v>1.0117772262162548</v>
      </c>
      <c r="AH138" s="31">
        <v>2.3910868841085279E-3</v>
      </c>
      <c r="AI138" s="6">
        <v>3.1002767972852464E-3</v>
      </c>
      <c r="AJ138" s="6">
        <v>0</v>
      </c>
    </row>
    <row r="139" spans="5:36" x14ac:dyDescent="0.3">
      <c r="E139" s="86" t="s">
        <v>50</v>
      </c>
      <c r="F139" s="31">
        <v>7.0219128034470612E-5</v>
      </c>
      <c r="G139" s="87">
        <v>3.6384449571808277E-5</v>
      </c>
      <c r="H139" s="87">
        <v>6.6127594295510223E-5</v>
      </c>
      <c r="I139" s="87">
        <v>5.3599505651045279E-5</v>
      </c>
      <c r="J139" s="87">
        <v>9.0176455499105785E-5</v>
      </c>
      <c r="K139" s="87">
        <v>4.5731415283992571E-5</v>
      </c>
      <c r="L139" s="31">
        <v>1.247900888959985E-4</v>
      </c>
      <c r="M139" s="31">
        <v>2.0577936993839883E-4</v>
      </c>
      <c r="N139" s="31">
        <v>1.8504108141504457E-4</v>
      </c>
      <c r="O139" s="31">
        <v>7.529094646975479E-5</v>
      </c>
      <c r="P139" s="31">
        <v>7.9674817721239879E-5</v>
      </c>
      <c r="Q139" s="31">
        <v>1.7921164533626913E-4</v>
      </c>
      <c r="R139" s="31">
        <v>1.3311642284677755E-4</v>
      </c>
      <c r="S139" s="31">
        <v>7.9461912003453298E-5</v>
      </c>
      <c r="T139" s="31">
        <v>4.6285712377283758E-5</v>
      </c>
      <c r="U139" s="31">
        <v>1.8194754404938848E-4</v>
      </c>
      <c r="V139" s="31">
        <v>1.1144190269193542E-4</v>
      </c>
      <c r="W139" s="31">
        <v>1.3039168634349058E-4</v>
      </c>
      <c r="X139" s="31">
        <v>1.4057473745918356E-4</v>
      </c>
      <c r="Y139" s="31">
        <v>2.2012092259956307E-4</v>
      </c>
      <c r="Z139" s="31">
        <v>1.5064560868196454E-4</v>
      </c>
      <c r="AA139" s="31">
        <v>2.6276159320032938E-4</v>
      </c>
      <c r="AB139" s="31">
        <v>2.3202516501128156E-4</v>
      </c>
      <c r="AC139" s="31">
        <v>1.8290069317865475E-4</v>
      </c>
      <c r="AD139" s="31">
        <v>4.2516001603957477E-5</v>
      </c>
      <c r="AE139" s="31">
        <v>1.7821645550326497E-4</v>
      </c>
      <c r="AF139" s="31">
        <v>5.4551307582506277E-4</v>
      </c>
      <c r="AG139" s="31">
        <v>1.0306677682811022E-3</v>
      </c>
      <c r="AH139" s="31">
        <v>1.4055599535932317</v>
      </c>
      <c r="AI139" s="6">
        <v>2.2034589654128489E-4</v>
      </c>
      <c r="AJ139" s="6">
        <v>0</v>
      </c>
    </row>
    <row r="140" spans="5:36" x14ac:dyDescent="0.3">
      <c r="E140" s="86" t="s">
        <v>51</v>
      </c>
      <c r="F140" s="31">
        <v>2.3480429455324885E-3</v>
      </c>
      <c r="G140" s="87">
        <v>2.4984745725333355E-3</v>
      </c>
      <c r="H140" s="87">
        <v>4.5408990608490187E-3</v>
      </c>
      <c r="I140" s="87">
        <v>3.6806109078328926E-3</v>
      </c>
      <c r="J140" s="87">
        <v>6.1923042331873358E-3</v>
      </c>
      <c r="K140" s="87">
        <v>3.1403189988491336E-3</v>
      </c>
      <c r="L140" s="31">
        <v>4.1031646056406733E-3</v>
      </c>
      <c r="M140" s="31">
        <v>2.5564920747009681E-3</v>
      </c>
      <c r="N140" s="31">
        <v>5.6666453226455289E-3</v>
      </c>
      <c r="O140" s="31">
        <v>2.9648773377888575E-3</v>
      </c>
      <c r="P140" s="31">
        <v>3.1375095217996327E-3</v>
      </c>
      <c r="Q140" s="31">
        <v>7.9754581844600977E-3</v>
      </c>
      <c r="R140" s="31">
        <v>4.8042889840434625E-3</v>
      </c>
      <c r="S140" s="31">
        <v>5.2606740368491703E-3</v>
      </c>
      <c r="T140" s="31">
        <v>3.0642862629540438E-3</v>
      </c>
      <c r="U140" s="31">
        <v>6.969089211568723E-3</v>
      </c>
      <c r="V140" s="31">
        <v>4.5475159625966554E-3</v>
      </c>
      <c r="W140" s="31">
        <v>4.5878946063905978E-3</v>
      </c>
      <c r="X140" s="31">
        <v>5.5984375634461443E-3</v>
      </c>
      <c r="Y140" s="31">
        <v>3.2691986487711914E-3</v>
      </c>
      <c r="Z140" s="31">
        <v>7.3152320798179132E-3</v>
      </c>
      <c r="AA140" s="31">
        <v>1.3494717110804527E-2</v>
      </c>
      <c r="AB140" s="31">
        <v>1.2324394625452106E-2</v>
      </c>
      <c r="AC140" s="31">
        <v>2.5930718155512452E-2</v>
      </c>
      <c r="AD140" s="31">
        <v>1.7242787175671063E-3</v>
      </c>
      <c r="AE140" s="31">
        <v>3.3876943340060703E-3</v>
      </c>
      <c r="AF140" s="31">
        <v>1.6917480274003815E-2</v>
      </c>
      <c r="AG140" s="31">
        <v>4.4173155606560049E-3</v>
      </c>
      <c r="AH140" s="31">
        <v>4.5058984140571214E-3</v>
      </c>
      <c r="AI140" s="6">
        <v>1.1041834958641474</v>
      </c>
      <c r="AJ140" s="6">
        <v>0</v>
      </c>
    </row>
    <row r="141" spans="5:36" x14ac:dyDescent="0.3">
      <c r="E141" s="86" t="s">
        <v>52</v>
      </c>
      <c r="F141" s="31">
        <v>0</v>
      </c>
      <c r="G141" s="87">
        <v>0</v>
      </c>
      <c r="H141" s="87">
        <v>0</v>
      </c>
      <c r="I141" s="87">
        <v>0</v>
      </c>
      <c r="J141" s="87">
        <v>0</v>
      </c>
      <c r="K141" s="87">
        <v>0</v>
      </c>
      <c r="L141" s="31">
        <v>0</v>
      </c>
      <c r="M141" s="31">
        <v>0</v>
      </c>
      <c r="N141" s="31">
        <v>0</v>
      </c>
      <c r="O141" s="31">
        <v>0</v>
      </c>
      <c r="P141" s="31">
        <v>0</v>
      </c>
      <c r="Q141" s="31">
        <v>0</v>
      </c>
      <c r="R141" s="31">
        <v>0</v>
      </c>
      <c r="S141" s="31">
        <v>0</v>
      </c>
      <c r="T141" s="31">
        <v>0</v>
      </c>
      <c r="U141" s="31">
        <v>0</v>
      </c>
      <c r="V141" s="31">
        <v>0</v>
      </c>
      <c r="W141" s="31">
        <v>0</v>
      </c>
      <c r="X141" s="31">
        <v>0</v>
      </c>
      <c r="Y141" s="31">
        <v>0</v>
      </c>
      <c r="Z141" s="31">
        <v>0</v>
      </c>
      <c r="AA141" s="31">
        <v>0</v>
      </c>
      <c r="AB141" s="31">
        <v>0</v>
      </c>
      <c r="AC141" s="31">
        <v>0</v>
      </c>
      <c r="AD141" s="31">
        <v>0</v>
      </c>
      <c r="AE141" s="31">
        <v>0</v>
      </c>
      <c r="AF141" s="31">
        <v>0</v>
      </c>
      <c r="AG141" s="31">
        <v>0</v>
      </c>
      <c r="AH141" s="31">
        <v>0</v>
      </c>
      <c r="AI141" s="6">
        <v>0</v>
      </c>
      <c r="AJ141" s="6">
        <v>1</v>
      </c>
    </row>
    <row r="142" spans="5:36" x14ac:dyDescent="0.3">
      <c r="AJ142" s="9"/>
    </row>
    <row r="143" spans="5:36" x14ac:dyDescent="0.3">
      <c r="AJ143" s="9"/>
    </row>
    <row r="144" spans="5:36" x14ac:dyDescent="0.3">
      <c r="AJ144" s="9"/>
    </row>
    <row r="145" spans="7:36" x14ac:dyDescent="0.3">
      <c r="AJ145" s="9"/>
    </row>
    <row r="148" spans="7:36" x14ac:dyDescent="0.3">
      <c r="G148" s="9"/>
      <c r="H148" s="9"/>
      <c r="I148" s="9"/>
      <c r="J148" s="9"/>
      <c r="K148" s="9"/>
      <c r="AI148" s="9"/>
    </row>
  </sheetData>
  <mergeCells count="17">
    <mergeCell ref="BF82:BF84"/>
    <mergeCell ref="BL82:BL84"/>
    <mergeCell ref="BF64:BF67"/>
    <mergeCell ref="BL64:BL67"/>
    <mergeCell ref="BF68:BF69"/>
    <mergeCell ref="BL68:BL69"/>
    <mergeCell ref="BF70:BF72"/>
    <mergeCell ref="BF76:BF79"/>
    <mergeCell ref="BL76:BL79"/>
    <mergeCell ref="BF80:BF81"/>
    <mergeCell ref="BL80:BL81"/>
    <mergeCell ref="BF52:BF55"/>
    <mergeCell ref="BL52:BL55"/>
    <mergeCell ref="BF56:BF57"/>
    <mergeCell ref="BL56:BL57"/>
    <mergeCell ref="BF58:BF60"/>
    <mergeCell ref="BL58:BL60"/>
  </mergeCells>
  <conditionalFormatting sqref="AT4:AT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:AY2 AU4:AU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37:BB37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{E555A1F6-ED41-427D-87C0-FAEEF2B2FF0F}</x14:id>
        </ext>
      </extLst>
    </cfRule>
  </conditionalFormatting>
  <conditionalFormatting sqref="BB4:BB34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{1EFD9A77-CF09-41C8-94DB-DB50AD01F8AD}</x14:id>
        </ext>
      </extLst>
    </cfRule>
  </conditionalFormatting>
  <conditionalFormatting sqref="BH4:BH34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{E4207052-E649-433F-960A-0A79432D8A0B}</x14:id>
        </ext>
      </extLst>
    </cfRule>
  </conditionalFormatting>
  <conditionalFormatting sqref="BI4:BI34 BK4:BK32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{53EB1315-7F7B-4E64-8B4E-8DCD40E8DC31}</x14:id>
        </ext>
      </extLst>
    </cfRule>
  </conditionalFormatting>
  <conditionalFormatting sqref="BI37 BK37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{897BF803-6886-47C9-8B1D-6588C69666E7}</x14:id>
        </ext>
      </extLst>
    </cfRule>
  </conditionalFormatting>
  <conditionalFormatting sqref="BP4:BP34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{728C7B27-7432-4373-B185-8D512D9555AC}</x14:id>
        </ext>
      </extLst>
    </cfRule>
  </conditionalFormatting>
  <conditionalFormatting sqref="BQ4:BQ34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{BBD784D2-DD6E-4AA5-89C3-AE62C3E9D2DD}</x14:id>
        </ext>
      </extLst>
    </cfRule>
  </conditionalFormatting>
  <conditionalFormatting sqref="BQ37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{62F94E2D-E206-4E93-A068-2F90CA39BAB6}</x14:id>
        </ext>
      </extLst>
    </cfRule>
  </conditionalFormatting>
  <conditionalFormatting sqref="BA4:BA34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{4A5CE102-2F66-4FE9-8C3A-888C565395D5}</x14:id>
        </ext>
      </extLst>
    </cfRule>
  </conditionalFormatting>
  <dataValidations count="1">
    <dataValidation type="list" allowBlank="1" showInputMessage="1" showErrorMessage="1" sqref="BD61" xr:uid="{556C1C46-BAAB-482D-AC19-757164FA93ED}">
      <formula1>$BV$65:$BV$67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55A1F6-ED41-427D-87C0-FAEEF2B2FF0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BA37:BB37</xm:sqref>
        </x14:conditionalFormatting>
        <x14:conditionalFormatting xmlns:xm="http://schemas.microsoft.com/office/excel/2006/main">
          <x14:cfRule type="dataBar" id="{1EFD9A77-CF09-41C8-94DB-DB50AD01F8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BB4:BB34</xm:sqref>
        </x14:conditionalFormatting>
        <x14:conditionalFormatting xmlns:xm="http://schemas.microsoft.com/office/excel/2006/main">
          <x14:cfRule type="dataBar" id="{E4207052-E649-433F-960A-0A79432D8A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BH4:BH34</xm:sqref>
        </x14:conditionalFormatting>
        <x14:conditionalFormatting xmlns:xm="http://schemas.microsoft.com/office/excel/2006/main">
          <x14:cfRule type="dataBar" id="{53EB1315-7F7B-4E64-8B4E-8DCD40E8DC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BI4:BI34 BK4:BK32</xm:sqref>
        </x14:conditionalFormatting>
        <x14:conditionalFormatting xmlns:xm="http://schemas.microsoft.com/office/excel/2006/main">
          <x14:cfRule type="dataBar" id="{897BF803-6886-47C9-8B1D-6588C69666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BI37 BK37</xm:sqref>
        </x14:conditionalFormatting>
        <x14:conditionalFormatting xmlns:xm="http://schemas.microsoft.com/office/excel/2006/main">
          <x14:cfRule type="dataBar" id="{728C7B27-7432-4373-B185-8D512D9555A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BP4:BP34</xm:sqref>
        </x14:conditionalFormatting>
        <x14:conditionalFormatting xmlns:xm="http://schemas.microsoft.com/office/excel/2006/main">
          <x14:cfRule type="dataBar" id="{BBD784D2-DD6E-4AA5-89C3-AE62C3E9D2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BQ4:BQ34</xm:sqref>
        </x14:conditionalFormatting>
        <x14:conditionalFormatting xmlns:xm="http://schemas.microsoft.com/office/excel/2006/main">
          <x14:cfRule type="dataBar" id="{62F94E2D-E206-4E93-A068-2F90CA39BA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BQ37</xm:sqref>
        </x14:conditionalFormatting>
        <x14:conditionalFormatting xmlns:xm="http://schemas.microsoft.com/office/excel/2006/main">
          <x14:cfRule type="dataBar" id="{4A5CE102-2F66-4FE9-8C3A-888C565395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BA4:BA34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A611F-54CF-4A65-BD6D-59FC37232466}">
  <sheetPr codeName="Hoja1"/>
  <dimension ref="C3:L32"/>
  <sheetViews>
    <sheetView workbookViewId="0">
      <selection activeCell="L6" sqref="L6"/>
    </sheetView>
  </sheetViews>
  <sheetFormatPr baseColWidth="10" defaultRowHeight="14.3" x14ac:dyDescent="0.25"/>
  <cols>
    <col min="3" max="3" width="40.875" customWidth="1"/>
    <col min="4" max="4" width="5.625" customWidth="1"/>
    <col min="8" max="8" width="55.75" customWidth="1"/>
  </cols>
  <sheetData>
    <row r="3" spans="3:12" x14ac:dyDescent="0.25">
      <c r="C3" t="s">
        <v>53</v>
      </c>
      <c r="D3" s="3">
        <v>8.9079120996209439E-3</v>
      </c>
      <c r="H3" t="s">
        <v>192</v>
      </c>
      <c r="I3" t="s">
        <v>187</v>
      </c>
      <c r="J3" t="s">
        <v>188</v>
      </c>
      <c r="K3" t="s">
        <v>189</v>
      </c>
      <c r="L3" t="s">
        <v>190</v>
      </c>
    </row>
    <row r="4" spans="3:12" x14ac:dyDescent="0.25">
      <c r="C4" t="s">
        <v>7</v>
      </c>
      <c r="D4" s="3">
        <v>6.4553741459672451E-2</v>
      </c>
      <c r="H4" s="77" t="s">
        <v>53</v>
      </c>
      <c r="I4" s="78">
        <v>176729.17119916249</v>
      </c>
      <c r="J4" s="78">
        <v>1063.002933</v>
      </c>
      <c r="K4" s="79">
        <v>9.8911597003815011E-3</v>
      </c>
      <c r="L4" s="79">
        <v>8.9079120996209439E-3</v>
      </c>
    </row>
    <row r="5" spans="3:12" x14ac:dyDescent="0.25">
      <c r="C5" t="s">
        <v>186</v>
      </c>
      <c r="D5" s="3">
        <v>5.7087206528068826E-2</v>
      </c>
      <c r="H5" s="80" t="s">
        <v>0</v>
      </c>
      <c r="I5" s="81">
        <v>20843.31227998796</v>
      </c>
      <c r="J5" s="81">
        <v>1174.136673</v>
      </c>
      <c r="K5" s="82">
        <v>5.385412706910523E-2</v>
      </c>
      <c r="L5" s="82">
        <v>9.8392073543087585E-3</v>
      </c>
    </row>
    <row r="6" spans="3:12" x14ac:dyDescent="0.25">
      <c r="C6" t="s">
        <v>64</v>
      </c>
      <c r="D6" s="3">
        <v>1.645519338632595E-2</v>
      </c>
      <c r="H6" s="80" t="s">
        <v>191</v>
      </c>
      <c r="I6" s="81">
        <v>27104.238961696836</v>
      </c>
      <c r="J6" s="81">
        <v>7703.3558190000003</v>
      </c>
      <c r="K6" s="82">
        <v>0.14486403961257557</v>
      </c>
      <c r="L6" s="82">
        <v>6.4553741459672451E-2</v>
      </c>
    </row>
    <row r="7" spans="3:12" x14ac:dyDescent="0.25">
      <c r="H7" s="80" t="s">
        <v>8</v>
      </c>
      <c r="I7" s="81">
        <v>5300.8467491794554</v>
      </c>
      <c r="J7" s="81">
        <v>638.61946799999998</v>
      </c>
      <c r="K7" s="82">
        <v>0.11517652678098907</v>
      </c>
      <c r="L7" s="82">
        <v>5.3515996141194943E-3</v>
      </c>
    </row>
    <row r="8" spans="3:12" x14ac:dyDescent="0.25">
      <c r="H8" s="80" t="s">
        <v>1</v>
      </c>
      <c r="I8" s="81">
        <v>6391.3261851668058</v>
      </c>
      <c r="J8" s="81">
        <v>149.38992300000001</v>
      </c>
      <c r="K8" s="82">
        <v>2.2345876480312121E-2</v>
      </c>
      <c r="L8" s="82">
        <v>1.2518801795753289E-3</v>
      </c>
    </row>
    <row r="9" spans="3:12" x14ac:dyDescent="0.25">
      <c r="H9" s="80" t="s">
        <v>2</v>
      </c>
      <c r="I9" s="81">
        <v>16658.013461205926</v>
      </c>
      <c r="J9" s="81">
        <v>1878.5033870000002</v>
      </c>
      <c r="K9" s="82">
        <v>0.10780920580425953</v>
      </c>
      <c r="L9" s="82">
        <v>1.5741765644061705E-2</v>
      </c>
    </row>
    <row r="10" spans="3:12" x14ac:dyDescent="0.25">
      <c r="H10" s="77" t="s">
        <v>54</v>
      </c>
      <c r="I10" s="78">
        <v>140857.90663400749</v>
      </c>
      <c r="J10" s="78">
        <v>6812.3559479999994</v>
      </c>
      <c r="K10" s="79">
        <v>5.5378254261675391E-2</v>
      </c>
      <c r="L10" s="79">
        <v>5.7087206528068826E-2</v>
      </c>
    </row>
    <row r="11" spans="3:12" x14ac:dyDescent="0.25">
      <c r="H11" t="s">
        <v>55</v>
      </c>
      <c r="I11" s="5">
        <v>27699.579149169505</v>
      </c>
      <c r="J11" s="5">
        <v>1868.8324850000001</v>
      </c>
      <c r="K11" s="3">
        <v>6.8922459339848779E-2</v>
      </c>
      <c r="L11" s="3">
        <v>1.5660723962740167E-2</v>
      </c>
    </row>
    <row r="12" spans="3:12" x14ac:dyDescent="0.25">
      <c r="H12" t="s">
        <v>56</v>
      </c>
      <c r="I12" s="5">
        <v>24381.001536536656</v>
      </c>
      <c r="J12" s="5">
        <v>1476.459335</v>
      </c>
      <c r="K12" s="3">
        <v>6.7096538741195186E-2</v>
      </c>
      <c r="L12" s="3">
        <v>1.2372656336635708E-2</v>
      </c>
    </row>
    <row r="13" spans="3:12" x14ac:dyDescent="0.25">
      <c r="H13" t="s">
        <v>57</v>
      </c>
      <c r="I13" s="5">
        <v>164933.42825960575</v>
      </c>
      <c r="J13" s="5">
        <v>6563.7351650000001</v>
      </c>
      <c r="K13" s="3">
        <v>4.2830245774877686E-2</v>
      </c>
      <c r="L13" s="3">
        <v>5.5003776640577699E-2</v>
      </c>
    </row>
    <row r="14" spans="3:12" x14ac:dyDescent="0.25">
      <c r="H14" t="s">
        <v>58</v>
      </c>
      <c r="I14" s="5">
        <v>54243.122780672493</v>
      </c>
      <c r="J14" s="5">
        <v>2986.6373269999999</v>
      </c>
      <c r="K14" s="3">
        <v>5.7332795711515908E-2</v>
      </c>
      <c r="L14" s="3">
        <v>2.5027873354290034E-2</v>
      </c>
    </row>
    <row r="15" spans="3:12" x14ac:dyDescent="0.25">
      <c r="H15" t="s">
        <v>59</v>
      </c>
      <c r="I15" s="5">
        <v>11582.045067589219</v>
      </c>
      <c r="J15" s="5">
        <v>1160.304065</v>
      </c>
      <c r="K15" s="3">
        <v>0.10088723284931758</v>
      </c>
      <c r="L15" s="3">
        <v>9.7232907821646307E-3</v>
      </c>
    </row>
    <row r="16" spans="3:12" x14ac:dyDescent="0.25">
      <c r="H16" t="s">
        <v>60</v>
      </c>
      <c r="I16" s="5">
        <v>62973.303951866917</v>
      </c>
      <c r="J16" s="5">
        <v>4635.6739079999998</v>
      </c>
      <c r="K16" s="3">
        <v>7.4762904733489302E-2</v>
      </c>
      <c r="L16" s="3">
        <v>3.8846718492516433E-2</v>
      </c>
    </row>
    <row r="17" spans="8:12" x14ac:dyDescent="0.25">
      <c r="H17" t="s">
        <v>61</v>
      </c>
      <c r="I17" s="5">
        <v>19750.525496779075</v>
      </c>
      <c r="J17" s="5">
        <v>858.39298100000008</v>
      </c>
      <c r="K17" s="3">
        <v>4.4382037174913479E-2</v>
      </c>
      <c r="L17" s="3">
        <v>7.1932908031586704E-3</v>
      </c>
    </row>
    <row r="18" spans="8:12" x14ac:dyDescent="0.25">
      <c r="H18" t="s">
        <v>3</v>
      </c>
      <c r="I18" s="5">
        <v>72641.065727165129</v>
      </c>
      <c r="J18" s="5">
        <v>1065.825564</v>
      </c>
      <c r="K18" s="3">
        <v>1.4673718785709377E-2</v>
      </c>
      <c r="L18" s="3">
        <v>8.9315656080517294E-3</v>
      </c>
    </row>
    <row r="19" spans="8:12" x14ac:dyDescent="0.25">
      <c r="H19" t="s">
        <v>4</v>
      </c>
      <c r="I19" s="5">
        <v>57623.887691440672</v>
      </c>
      <c r="J19" s="5">
        <v>1812.925876</v>
      </c>
      <c r="K19" s="3">
        <v>3.1460206781661039E-2</v>
      </c>
      <c r="L19" s="3">
        <v>1.5192229339348681E-2</v>
      </c>
    </row>
    <row r="20" spans="8:12" x14ac:dyDescent="0.25">
      <c r="H20" t="s">
        <v>5</v>
      </c>
      <c r="I20" s="5">
        <v>40038.231417815914</v>
      </c>
      <c r="J20" s="5">
        <v>687.38566500000002</v>
      </c>
      <c r="K20" s="3">
        <v>1.7206149311639551E-2</v>
      </c>
      <c r="L20" s="3">
        <v>5.7602579374628022E-3</v>
      </c>
    </row>
    <row r="21" spans="8:12" x14ac:dyDescent="0.25">
      <c r="H21" t="s">
        <v>62</v>
      </c>
      <c r="I21" s="5">
        <v>170367.32382255909</v>
      </c>
      <c r="J21" s="5">
        <v>18578.827311000001</v>
      </c>
      <c r="K21" s="3">
        <v>0.11407711627635668</v>
      </c>
      <c r="L21" s="3">
        <v>0.15568965565631696</v>
      </c>
    </row>
    <row r="22" spans="8:12" x14ac:dyDescent="0.25">
      <c r="H22" t="s">
        <v>63</v>
      </c>
      <c r="I22" s="5">
        <v>103070.12777164887</v>
      </c>
      <c r="J22" s="5">
        <v>7775.234238</v>
      </c>
      <c r="K22" s="3">
        <v>7.4573283312392602E-2</v>
      </c>
      <c r="L22" s="3">
        <v>6.5156079062358749E-2</v>
      </c>
    </row>
    <row r="23" spans="8:12" x14ac:dyDescent="0.25">
      <c r="H23" s="77" t="s">
        <v>64</v>
      </c>
      <c r="I23" s="78">
        <v>81924.331149112841</v>
      </c>
      <c r="J23" s="78">
        <v>1963.6384639999999</v>
      </c>
      <c r="K23" s="79">
        <v>2.4063017303073378E-2</v>
      </c>
      <c r="L23" s="79">
        <v>1.645519338632595E-2</v>
      </c>
    </row>
    <row r="24" spans="8:12" x14ac:dyDescent="0.25">
      <c r="H24" t="s">
        <v>65</v>
      </c>
      <c r="I24" s="5">
        <v>56415.479716515147</v>
      </c>
      <c r="J24" s="5">
        <v>9309.9839339999999</v>
      </c>
      <c r="K24" s="3">
        <v>0.1666723465573417</v>
      </c>
      <c r="L24" s="3">
        <v>7.801720574646355E-2</v>
      </c>
    </row>
    <row r="25" spans="8:12" x14ac:dyDescent="0.25">
      <c r="H25" t="s">
        <v>66</v>
      </c>
      <c r="I25" s="5">
        <v>86529.866017232795</v>
      </c>
      <c r="J25" s="5">
        <v>17176.196866000002</v>
      </c>
      <c r="K25" s="3">
        <v>0.20328303626292973</v>
      </c>
      <c r="L25" s="3">
        <v>0.14393568177305563</v>
      </c>
    </row>
    <row r="26" spans="8:12" x14ac:dyDescent="0.25">
      <c r="H26" t="s">
        <v>6</v>
      </c>
      <c r="I26" s="5">
        <v>103190.03377491041</v>
      </c>
      <c r="J26" s="5">
        <v>2299.6882620000001</v>
      </c>
      <c r="K26" s="3">
        <v>2.2357676644727251E-2</v>
      </c>
      <c r="L26" s="3">
        <v>1.9271274103272923E-2</v>
      </c>
    </row>
    <row r="27" spans="8:12" x14ac:dyDescent="0.25">
      <c r="H27" t="s">
        <v>67</v>
      </c>
      <c r="I27" s="5">
        <v>101246.23332234262</v>
      </c>
      <c r="J27" s="5">
        <v>10659.087244</v>
      </c>
      <c r="K27" s="3">
        <v>0.10599307151664614</v>
      </c>
      <c r="L27" s="3">
        <v>8.9322624880982221E-2</v>
      </c>
    </row>
    <row r="28" spans="8:12" x14ac:dyDescent="0.25">
      <c r="H28" t="s">
        <v>9</v>
      </c>
      <c r="I28" s="5">
        <v>113575.31834798465</v>
      </c>
      <c r="J28" s="5">
        <v>3382.8928969999997</v>
      </c>
      <c r="K28" s="3">
        <v>2.979866018057685E-2</v>
      </c>
      <c r="L28" s="3">
        <v>2.8348475468325023E-2</v>
      </c>
    </row>
    <row r="29" spans="8:12" x14ac:dyDescent="0.25">
      <c r="H29" t="s">
        <v>68</v>
      </c>
      <c r="I29" s="5">
        <v>70577.964821065834</v>
      </c>
      <c r="J29" s="5">
        <v>785.71291500000007</v>
      </c>
      <c r="K29" s="3">
        <v>1.1133966968498922E-2</v>
      </c>
      <c r="L29" s="3">
        <v>6.5842354381885262E-3</v>
      </c>
    </row>
    <row r="30" spans="8:12" x14ac:dyDescent="0.25">
      <c r="H30" t="s">
        <v>10</v>
      </c>
      <c r="I30" s="5">
        <v>86087.712229494369</v>
      </c>
      <c r="J30" s="5">
        <v>2527.9792469999998</v>
      </c>
      <c r="K30" s="3">
        <v>2.936710632884924E-2</v>
      </c>
      <c r="L30" s="3">
        <v>2.1184341287176809E-2</v>
      </c>
    </row>
    <row r="31" spans="8:12" x14ac:dyDescent="0.25">
      <c r="H31" t="s">
        <v>69</v>
      </c>
      <c r="I31" s="5">
        <v>35597.254381574858</v>
      </c>
      <c r="J31" s="5">
        <v>2337.342517</v>
      </c>
      <c r="K31" s="3">
        <v>6.570921584999008E-2</v>
      </c>
      <c r="L31" s="3">
        <v>1.9586814901236753E-2</v>
      </c>
    </row>
    <row r="32" spans="8:12" x14ac:dyDescent="0.25">
      <c r="H32" t="s">
        <v>70</v>
      </c>
      <c r="I32" s="5">
        <v>6555</v>
      </c>
      <c r="J32" s="5">
        <v>0.32484199999999996</v>
      </c>
      <c r="K32" s="3">
        <v>4.9556369183829135E-5</v>
      </c>
      <c r="L32" s="3">
        <v>2.7221599230197672E-6</v>
      </c>
    </row>
  </sheetData>
  <conditionalFormatting sqref="K4:L3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{A96E0CA9-D3F2-4941-81D0-1F5B853E9D1D}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96E0CA9-D3F2-4941-81D0-1F5B853E9D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K4:L32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578B6-D813-4645-834A-3F843C056DB8}">
  <sheetPr codeName="Hoja2"/>
  <dimension ref="A1:L35"/>
  <sheetViews>
    <sheetView topLeftCell="F1" workbookViewId="0">
      <selection activeCell="L12" sqref="L12"/>
    </sheetView>
  </sheetViews>
  <sheetFormatPr baseColWidth="10" defaultRowHeight="14.3" x14ac:dyDescent="0.25"/>
  <cols>
    <col min="1" max="1" width="11" customWidth="1"/>
    <col min="2" max="2" width="23.125" customWidth="1"/>
    <col min="3" max="3" width="22.5" customWidth="1"/>
    <col min="4" max="4" width="17.625" customWidth="1"/>
    <col min="5" max="7" width="16.625" customWidth="1"/>
  </cols>
  <sheetData>
    <row r="1" spans="1:12" x14ac:dyDescent="0.25">
      <c r="D1" t="s">
        <v>138</v>
      </c>
      <c r="E1" t="s">
        <v>132</v>
      </c>
      <c r="F1" t="s">
        <v>133</v>
      </c>
      <c r="G1" t="s">
        <v>137</v>
      </c>
    </row>
    <row r="2" spans="1:12" x14ac:dyDescent="0.25">
      <c r="A2" t="e">
        <f>VLOOKUP(B2,#REF!,2,FALSE)</f>
        <v>#REF!</v>
      </c>
      <c r="B2" t="s">
        <v>70</v>
      </c>
      <c r="C2" t="s">
        <v>106</v>
      </c>
      <c r="D2" t="s">
        <v>131</v>
      </c>
      <c r="E2" s="3">
        <v>0</v>
      </c>
      <c r="F2" s="3">
        <v>0</v>
      </c>
      <c r="G2" s="3">
        <v>0</v>
      </c>
    </row>
    <row r="3" spans="1:12" x14ac:dyDescent="0.25">
      <c r="A3" t="e">
        <f>VLOOKUP(B3,#REF!,2,FALSE)</f>
        <v>#REF!</v>
      </c>
      <c r="B3" t="s">
        <v>10</v>
      </c>
      <c r="C3" t="s">
        <v>104</v>
      </c>
      <c r="D3" t="s">
        <v>129</v>
      </c>
      <c r="E3" s="3">
        <v>-2.4904173256401485E-5</v>
      </c>
      <c r="F3" s="3">
        <v>-1.2452086628145231E-5</v>
      </c>
      <c r="G3" s="3">
        <v>-4.980834651280297E-6</v>
      </c>
    </row>
    <row r="4" spans="1:12" x14ac:dyDescent="0.25">
      <c r="A4" t="e">
        <f>VLOOKUP(B4,#REF!,2,FALSE)</f>
        <v>#REF!</v>
      </c>
      <c r="B4" t="s">
        <v>4</v>
      </c>
      <c r="C4" t="s">
        <v>93</v>
      </c>
      <c r="D4" t="s">
        <v>120</v>
      </c>
      <c r="E4" s="3">
        <v>-1.3285039024502066E-4</v>
      </c>
      <c r="F4" s="3">
        <v>-6.6425195122565839E-5</v>
      </c>
      <c r="G4" s="3">
        <v>-2.6570078049292789E-5</v>
      </c>
    </row>
    <row r="5" spans="1:12" x14ac:dyDescent="0.25">
      <c r="A5" t="e">
        <f>VLOOKUP(B5,#REF!,2,FALSE)</f>
        <v>#REF!</v>
      </c>
      <c r="B5" t="s">
        <v>3</v>
      </c>
      <c r="C5" t="s">
        <v>92</v>
      </c>
      <c r="D5" t="s">
        <v>119</v>
      </c>
      <c r="E5" s="3">
        <v>-1.5631681355032789E-4</v>
      </c>
      <c r="F5" s="3">
        <v>-7.8158406775163947E-5</v>
      </c>
      <c r="G5" s="3">
        <v>-3.1263362710198805E-5</v>
      </c>
    </row>
    <row r="6" spans="1:12" x14ac:dyDescent="0.25">
      <c r="A6" t="e">
        <f>VLOOKUP(B6,#REF!,2,FALSE)</f>
        <v>#REF!</v>
      </c>
      <c r="B6" t="s">
        <v>68</v>
      </c>
      <c r="C6" t="s">
        <v>103</v>
      </c>
      <c r="D6" t="s">
        <v>103</v>
      </c>
      <c r="E6" s="3">
        <v>-7.6505730084397428E-4</v>
      </c>
      <c r="F6" s="3">
        <v>-3.8252865042165407E-4</v>
      </c>
      <c r="G6" s="3">
        <v>-1.5301146016855061E-4</v>
      </c>
    </row>
    <row r="7" spans="1:12" x14ac:dyDescent="0.25">
      <c r="A7" t="e">
        <f>VLOOKUP(B7,#REF!,2,FALSE)</f>
        <v>#REF!</v>
      </c>
      <c r="B7" t="s">
        <v>9</v>
      </c>
      <c r="C7" t="s">
        <v>102</v>
      </c>
      <c r="D7" t="s">
        <v>128</v>
      </c>
      <c r="E7" s="3">
        <v>-7.9660162114503219E-4</v>
      </c>
      <c r="F7" s="3">
        <v>-3.9830081057234956E-4</v>
      </c>
      <c r="G7" s="3">
        <v>-1.5932032422871778E-4</v>
      </c>
    </row>
    <row r="8" spans="1:12" x14ac:dyDescent="0.25">
      <c r="A8">
        <v>1</v>
      </c>
      <c r="B8" t="s">
        <v>53</v>
      </c>
      <c r="C8" t="s">
        <v>78</v>
      </c>
      <c r="D8" t="s">
        <v>107</v>
      </c>
      <c r="E8" s="3">
        <v>-9.5597098002042635E-4</v>
      </c>
      <c r="F8" s="3">
        <v>-4.7798549001021318E-4</v>
      </c>
      <c r="G8" s="3">
        <v>-1.9119419600410748E-4</v>
      </c>
    </row>
    <row r="9" spans="1:12" x14ac:dyDescent="0.25">
      <c r="A9" t="e">
        <f>VLOOKUP(B9,#REF!,2,FALSE)</f>
        <v>#REF!</v>
      </c>
      <c r="B9" t="s">
        <v>54</v>
      </c>
      <c r="C9" t="s">
        <v>84</v>
      </c>
      <c r="D9" t="s">
        <v>111</v>
      </c>
      <c r="E9" s="3">
        <v>-1.1836416559567464E-3</v>
      </c>
      <c r="F9" s="3">
        <v>-5.9182082797826219E-4</v>
      </c>
      <c r="G9" s="3">
        <v>-2.3672833119137149E-4</v>
      </c>
    </row>
    <row r="10" spans="1:12" x14ac:dyDescent="0.25">
      <c r="A10" t="e">
        <f>VLOOKUP(B10,#REF!,2,FALSE)</f>
        <v>#REF!</v>
      </c>
      <c r="B10" t="s">
        <v>64</v>
      </c>
      <c r="C10" t="s">
        <v>97</v>
      </c>
      <c r="D10" t="s">
        <v>123</v>
      </c>
      <c r="E10" s="3">
        <v>-1.5420185241755702E-3</v>
      </c>
      <c r="F10" s="3">
        <v>-7.7100926208772957E-4</v>
      </c>
      <c r="G10" s="3">
        <v>-3.0840370483498081E-4</v>
      </c>
    </row>
    <row r="11" spans="1:12" x14ac:dyDescent="0.25">
      <c r="A11" t="e">
        <f>VLOOKUP(B11,#REF!,2,FALSE)</f>
        <v>#REF!</v>
      </c>
      <c r="B11" t="s">
        <v>6</v>
      </c>
      <c r="C11" t="s">
        <v>100</v>
      </c>
      <c r="D11" t="s">
        <v>126</v>
      </c>
      <c r="E11" s="3">
        <v>-2.790902494213765E-3</v>
      </c>
      <c r="F11" s="3">
        <v>-1.395451247106827E-3</v>
      </c>
      <c r="G11" s="3">
        <v>-5.5818049884270859E-4</v>
      </c>
    </row>
    <row r="12" spans="1:12" x14ac:dyDescent="0.25">
      <c r="A12">
        <v>8</v>
      </c>
      <c r="B12" t="s">
        <v>55</v>
      </c>
      <c r="C12" t="s">
        <v>85</v>
      </c>
      <c r="D12" t="s">
        <v>112</v>
      </c>
      <c r="E12" s="3">
        <v>-2.8754841159901456E-3</v>
      </c>
      <c r="F12" s="3">
        <v>-1.4377420579951838E-3</v>
      </c>
      <c r="G12" s="3">
        <v>-5.7509682319811795E-4</v>
      </c>
    </row>
    <row r="13" spans="1:12" x14ac:dyDescent="0.25">
      <c r="A13">
        <v>13</v>
      </c>
      <c r="B13" t="s">
        <v>58</v>
      </c>
      <c r="C13" t="s">
        <v>88</v>
      </c>
      <c r="D13" t="s">
        <v>115</v>
      </c>
      <c r="E13" s="3">
        <v>-3.4053259565584026E-3</v>
      </c>
      <c r="F13" s="3">
        <v>-1.7026629782793679E-3</v>
      </c>
      <c r="G13" s="3">
        <v>-6.8106519131172494E-4</v>
      </c>
    </row>
    <row r="14" spans="1:12" x14ac:dyDescent="0.25">
      <c r="A14" t="e">
        <f>VLOOKUP(B14,#REF!,2,FALSE)</f>
        <v>#REF!</v>
      </c>
      <c r="B14" t="s">
        <v>5</v>
      </c>
      <c r="C14" t="s">
        <v>94</v>
      </c>
      <c r="D14" t="s">
        <v>121</v>
      </c>
      <c r="E14" s="3">
        <v>-3.77633050787618E-3</v>
      </c>
      <c r="F14" s="3">
        <v>-1.888165253938201E-3</v>
      </c>
      <c r="G14" s="3">
        <v>-7.5526610157539142E-4</v>
      </c>
      <c r="I14" t="s">
        <v>138</v>
      </c>
      <c r="J14" t="s">
        <v>142</v>
      </c>
      <c r="K14" t="s">
        <v>147</v>
      </c>
      <c r="L14" t="s">
        <v>148</v>
      </c>
    </row>
    <row r="15" spans="1:12" x14ac:dyDescent="0.25">
      <c r="A15" t="e">
        <f>VLOOKUP(B15,#REF!,2,FALSE)</f>
        <v>#REF!</v>
      </c>
      <c r="B15" t="s">
        <v>69</v>
      </c>
      <c r="C15" t="s">
        <v>105</v>
      </c>
      <c r="D15" t="s">
        <v>130</v>
      </c>
      <c r="E15" s="3">
        <v>-4.0234169546696785E-3</v>
      </c>
      <c r="F15" s="3">
        <v>-2.0117084773347838E-3</v>
      </c>
      <c r="G15" s="3">
        <v>-8.0468339093353602E-4</v>
      </c>
      <c r="I15" t="s">
        <v>139</v>
      </c>
      <c r="J15" s="1">
        <f>(-1)*SUM(E2:E15)*100</f>
        <v>2.2428821488501671</v>
      </c>
      <c r="K15" s="1">
        <f t="shared" ref="K15:L15" si="0">(-1)*SUM(F2:F15)*100</f>
        <v>1.1214410744250447</v>
      </c>
      <c r="L15" s="1">
        <f t="shared" si="0"/>
        <v>0.4485764297699979</v>
      </c>
    </row>
    <row r="16" spans="1:12" x14ac:dyDescent="0.25">
      <c r="A16">
        <v>9</v>
      </c>
      <c r="B16" t="s">
        <v>56</v>
      </c>
      <c r="C16" t="s">
        <v>86</v>
      </c>
      <c r="D16" t="s">
        <v>113</v>
      </c>
      <c r="E16" s="3">
        <v>-4.6208552465338837E-3</v>
      </c>
      <c r="F16" s="3">
        <v>-2.3104276232668308E-3</v>
      </c>
      <c r="G16" s="3">
        <v>-9.2417104930653249E-4</v>
      </c>
      <c r="I16" t="str">
        <f t="shared" ref="I16:I29" si="1">D16</f>
        <v>Wood and paper production</v>
      </c>
      <c r="J16" s="1">
        <f>E16*100*-1</f>
        <v>0.46208552465338837</v>
      </c>
      <c r="K16" s="1">
        <f t="shared" ref="K16:L30" si="2">F16*100*-1</f>
        <v>0.23104276232668308</v>
      </c>
      <c r="L16" s="1">
        <f t="shared" si="2"/>
        <v>9.2417104930653249E-2</v>
      </c>
    </row>
    <row r="17" spans="1:12" x14ac:dyDescent="0.25">
      <c r="A17" t="e">
        <f>VLOOKUP(B17,#REF!,2,FALSE)</f>
        <v>#REF!</v>
      </c>
      <c r="B17" t="s">
        <v>61</v>
      </c>
      <c r="C17" t="s">
        <v>91</v>
      </c>
      <c r="D17" t="s">
        <v>118</v>
      </c>
      <c r="E17" s="3">
        <v>-5.3165560874016693E-3</v>
      </c>
      <c r="F17" s="3">
        <v>-2.6582780437008902E-3</v>
      </c>
      <c r="G17" s="3">
        <v>-1.0633112174802672E-3</v>
      </c>
      <c r="I17" t="str">
        <f t="shared" si="1"/>
        <v>Water management</v>
      </c>
      <c r="J17" s="1">
        <f t="shared" ref="J17:J30" si="3">E17*100*-1</f>
        <v>0.53165560874016693</v>
      </c>
      <c r="K17" s="1">
        <f t="shared" si="2"/>
        <v>0.26582780437008902</v>
      </c>
      <c r="L17" s="1">
        <f t="shared" si="2"/>
        <v>0.10633112174802672</v>
      </c>
    </row>
    <row r="18" spans="1:12" x14ac:dyDescent="0.25">
      <c r="A18" t="e">
        <f>VLOOKUP(B18,#REF!,2,FALSE)</f>
        <v>#REF!</v>
      </c>
      <c r="B18" t="s">
        <v>62</v>
      </c>
      <c r="C18" t="s">
        <v>95</v>
      </c>
      <c r="D18" t="s">
        <v>122</v>
      </c>
      <c r="E18" s="3">
        <v>-6.5201983780054373E-3</v>
      </c>
      <c r="F18" s="3">
        <v>-3.2600991890026076E-3</v>
      </c>
      <c r="G18" s="3">
        <v>-1.3040396756008876E-3</v>
      </c>
      <c r="I18" t="str">
        <f t="shared" si="1"/>
        <v>Trade and vehicle repair</v>
      </c>
      <c r="J18" s="1">
        <f t="shared" si="3"/>
        <v>0.65201983780054373</v>
      </c>
      <c r="K18" s="1">
        <f t="shared" si="2"/>
        <v>0.32600991890026076</v>
      </c>
      <c r="L18" s="1">
        <f t="shared" si="2"/>
        <v>0.13040396756008876</v>
      </c>
    </row>
    <row r="19" spans="1:12" x14ac:dyDescent="0.25">
      <c r="A19" t="e">
        <f>VLOOKUP(B19,#REF!,2,FALSE)</f>
        <v>#REF!</v>
      </c>
      <c r="B19" t="s">
        <v>65</v>
      </c>
      <c r="C19" t="s">
        <v>98</v>
      </c>
      <c r="D19" t="s">
        <v>124</v>
      </c>
      <c r="E19" s="3">
        <v>-6.888928872808564E-3</v>
      </c>
      <c r="F19" s="3">
        <v>-3.4444644364042265E-3</v>
      </c>
      <c r="G19" s="3">
        <v>-1.3777857745616018E-3</v>
      </c>
      <c r="I19" t="str">
        <f t="shared" si="1"/>
        <v>Media and telecom</v>
      </c>
      <c r="J19" s="1">
        <f t="shared" si="3"/>
        <v>0.6888928872808564</v>
      </c>
      <c r="K19" s="1">
        <f t="shared" si="2"/>
        <v>0.34444644364042265</v>
      </c>
      <c r="L19" s="1">
        <f t="shared" si="2"/>
        <v>0.13777857745616018</v>
      </c>
    </row>
    <row r="20" spans="1:12" x14ac:dyDescent="0.25">
      <c r="A20" t="e">
        <f>VLOOKUP(B20,#REF!,2,FALSE)</f>
        <v>#REF!</v>
      </c>
      <c r="B20" t="s">
        <v>59</v>
      </c>
      <c r="C20" t="s">
        <v>89</v>
      </c>
      <c r="D20" t="s">
        <v>116</v>
      </c>
      <c r="E20" s="3">
        <v>-7.413029856490172E-3</v>
      </c>
      <c r="F20" s="3">
        <v>-3.7065149282450305E-3</v>
      </c>
      <c r="G20" s="3">
        <v>-1.4826059712979012E-3</v>
      </c>
      <c r="I20" t="str">
        <f t="shared" si="1"/>
        <v>Furniture and crafts manufacturing</v>
      </c>
      <c r="J20" s="1">
        <f t="shared" si="3"/>
        <v>0.7413029856490172</v>
      </c>
      <c r="K20" s="1">
        <f t="shared" si="2"/>
        <v>0.37065149282450305</v>
      </c>
      <c r="L20" s="1">
        <f t="shared" si="2"/>
        <v>0.14826059712979012</v>
      </c>
    </row>
    <row r="21" spans="1:12" x14ac:dyDescent="0.25">
      <c r="A21" t="e">
        <f>VLOOKUP(B21,#REF!,2,FALSE)</f>
        <v>#REF!</v>
      </c>
      <c r="B21" t="s">
        <v>66</v>
      </c>
      <c r="C21" t="s">
        <v>99</v>
      </c>
      <c r="D21" t="s">
        <v>125</v>
      </c>
      <c r="E21" s="3">
        <v>-8.0150730764999567E-3</v>
      </c>
      <c r="F21" s="3">
        <v>-4.0075365382495898E-3</v>
      </c>
      <c r="G21" s="3">
        <v>-1.6030146152995473E-3</v>
      </c>
      <c r="I21" t="str">
        <f t="shared" si="1"/>
        <v>Finance and insurance</v>
      </c>
      <c r="J21" s="1">
        <f t="shared" si="3"/>
        <v>0.80150730764999567</v>
      </c>
      <c r="K21" s="1">
        <f t="shared" si="2"/>
        <v>0.40075365382495898</v>
      </c>
      <c r="L21" s="1">
        <f t="shared" si="2"/>
        <v>0.16030146152995473</v>
      </c>
    </row>
    <row r="22" spans="1:12" x14ac:dyDescent="0.25">
      <c r="A22" t="e">
        <f>VLOOKUP(B22,#REF!,2,FALSE)</f>
        <v>#REF!</v>
      </c>
      <c r="B22" t="s">
        <v>67</v>
      </c>
      <c r="C22" t="s">
        <v>101</v>
      </c>
      <c r="D22" t="s">
        <v>127</v>
      </c>
      <c r="E22" s="3">
        <v>-1.4673387697744955E-2</v>
      </c>
      <c r="F22" s="3">
        <v>-7.3366938488724776E-3</v>
      </c>
      <c r="G22" s="3">
        <v>-2.9346775395487912E-3</v>
      </c>
      <c r="I22" t="str">
        <f t="shared" si="1"/>
        <v>Professional and technical services</v>
      </c>
      <c r="J22" s="1">
        <f t="shared" si="3"/>
        <v>1.4673387697744955</v>
      </c>
      <c r="K22" s="1">
        <f t="shared" si="2"/>
        <v>0.73366938488724776</v>
      </c>
      <c r="L22" s="1">
        <f t="shared" si="2"/>
        <v>0.29346775395487912</v>
      </c>
    </row>
    <row r="23" spans="1:12" x14ac:dyDescent="0.25">
      <c r="A23" t="e">
        <f>VLOOKUP(B23,#REF!,2,FALSE)</f>
        <v>#REF!</v>
      </c>
      <c r="B23" t="s">
        <v>60</v>
      </c>
      <c r="C23" t="s">
        <v>90</v>
      </c>
      <c r="D23" t="s">
        <v>117</v>
      </c>
      <c r="E23" s="3">
        <v>-1.4790827721718136E-2</v>
      </c>
      <c r="F23" s="3">
        <v>-7.3954138608592901E-3</v>
      </c>
      <c r="G23" s="3">
        <v>-2.9581655443439159E-3</v>
      </c>
      <c r="I23" t="str">
        <f t="shared" si="1"/>
        <v>Energy supply</v>
      </c>
      <c r="J23" s="1">
        <f t="shared" si="3"/>
        <v>1.4790827721718136</v>
      </c>
      <c r="K23" s="1">
        <f t="shared" si="2"/>
        <v>0.73954138608592901</v>
      </c>
      <c r="L23" s="1">
        <f t="shared" si="2"/>
        <v>0.29581655443439159</v>
      </c>
    </row>
    <row r="24" spans="1:12" x14ac:dyDescent="0.25">
      <c r="A24">
        <v>10</v>
      </c>
      <c r="B24" t="s">
        <v>57</v>
      </c>
      <c r="C24" t="s">
        <v>87</v>
      </c>
      <c r="D24" t="s">
        <v>114</v>
      </c>
      <c r="E24" s="3">
        <v>-2.5879733926543746E-2</v>
      </c>
      <c r="F24" s="3">
        <v>-1.2939866963272095E-2</v>
      </c>
      <c r="G24" s="3">
        <v>-5.1759467853090824E-3</v>
      </c>
      <c r="I24" t="str">
        <f t="shared" si="1"/>
        <v>Chemicals and pharmaceuticals manufacturing</v>
      </c>
      <c r="J24" s="1">
        <f t="shared" si="3"/>
        <v>2.5879733926543746</v>
      </c>
      <c r="K24" s="1">
        <f t="shared" si="2"/>
        <v>1.2939866963272095</v>
      </c>
      <c r="L24" s="1">
        <f t="shared" si="2"/>
        <v>0.51759467853090824</v>
      </c>
    </row>
    <row r="25" spans="1:12" x14ac:dyDescent="0.25">
      <c r="A25" t="e">
        <f>VLOOKUP(B25,#REF!,2,FALSE)</f>
        <v>#REF!</v>
      </c>
      <c r="B25" t="s">
        <v>0</v>
      </c>
      <c r="C25" t="s">
        <v>79</v>
      </c>
      <c r="D25" t="s">
        <v>108</v>
      </c>
      <c r="E25" s="3">
        <v>-3.3091363010707475E-2</v>
      </c>
      <c r="F25" s="3">
        <v>-1.6545681505353294E-2</v>
      </c>
      <c r="G25" s="3">
        <v>-6.6182726021409843E-3</v>
      </c>
      <c r="I25" t="str">
        <f t="shared" si="1"/>
        <v>Coal mining</v>
      </c>
      <c r="J25" s="1">
        <f t="shared" si="3"/>
        <v>3.3091363010707475</v>
      </c>
      <c r="K25" s="1">
        <f t="shared" si="2"/>
        <v>1.6545681505353294</v>
      </c>
      <c r="L25" s="1">
        <f t="shared" si="2"/>
        <v>0.66182726021409843</v>
      </c>
    </row>
    <row r="26" spans="1:12" x14ac:dyDescent="0.25">
      <c r="A26" t="e">
        <f>VLOOKUP(B26,#REF!,2,FALSE)</f>
        <v>#REF!</v>
      </c>
      <c r="B26" t="s">
        <v>1</v>
      </c>
      <c r="C26" t="s">
        <v>82</v>
      </c>
      <c r="D26" t="s">
        <v>82</v>
      </c>
      <c r="E26" s="3">
        <v>-3.3091363010707586E-2</v>
      </c>
      <c r="F26" s="3">
        <v>-1.6545681505353405E-2</v>
      </c>
      <c r="G26" s="3">
        <v>-6.6182726021410954E-3</v>
      </c>
      <c r="I26" t="str">
        <f t="shared" si="1"/>
        <v>Extraction of metal ores</v>
      </c>
      <c r="J26" s="1">
        <f t="shared" si="3"/>
        <v>3.3091363010707586</v>
      </c>
      <c r="K26" s="1">
        <f t="shared" si="2"/>
        <v>1.6545681505353405</v>
      </c>
      <c r="L26" s="1">
        <f t="shared" si="2"/>
        <v>0.66182726021410954</v>
      </c>
    </row>
    <row r="27" spans="1:12" x14ac:dyDescent="0.25">
      <c r="A27" t="e">
        <f>VLOOKUP(B27,#REF!,2,FALSE)</f>
        <v>#REF!</v>
      </c>
      <c r="B27" t="s">
        <v>2</v>
      </c>
      <c r="C27" t="s">
        <v>83</v>
      </c>
      <c r="D27" t="s">
        <v>83</v>
      </c>
      <c r="E27" s="3">
        <v>-3.309136301070803E-2</v>
      </c>
      <c r="F27" s="3">
        <v>-1.6545681505353849E-2</v>
      </c>
      <c r="G27" s="3">
        <v>-6.6182726021415395E-3</v>
      </c>
      <c r="I27" t="str">
        <f t="shared" si="1"/>
        <v>Extraction of other mines and quarries</v>
      </c>
      <c r="J27" s="1">
        <f t="shared" si="3"/>
        <v>3.309136301070803</v>
      </c>
      <c r="K27" s="1">
        <f t="shared" si="2"/>
        <v>1.6545681505353849</v>
      </c>
      <c r="L27" s="1">
        <f t="shared" si="2"/>
        <v>0.66182726021415395</v>
      </c>
    </row>
    <row r="28" spans="1:12" x14ac:dyDescent="0.25">
      <c r="A28" t="e">
        <f>VLOOKUP(B28,#REF!,2,FALSE)</f>
        <v>#REF!</v>
      </c>
      <c r="B28" t="s">
        <v>8</v>
      </c>
      <c r="C28" t="s">
        <v>81</v>
      </c>
      <c r="D28" t="s">
        <v>110</v>
      </c>
      <c r="E28" s="3">
        <v>-3.3091363010708141E-2</v>
      </c>
      <c r="F28" s="3">
        <v>-1.6545681505353849E-2</v>
      </c>
      <c r="G28" s="3">
        <v>-6.6182726021415395E-3</v>
      </c>
      <c r="I28" t="str">
        <f t="shared" si="1"/>
        <v>Mining support services</v>
      </c>
      <c r="J28" s="1">
        <f t="shared" si="3"/>
        <v>3.3091363010708141</v>
      </c>
      <c r="K28" s="1">
        <f t="shared" si="2"/>
        <v>1.6545681505353849</v>
      </c>
      <c r="L28" s="1">
        <f t="shared" si="2"/>
        <v>0.66182726021415395</v>
      </c>
    </row>
    <row r="29" spans="1:12" x14ac:dyDescent="0.25">
      <c r="A29" t="e">
        <f>VLOOKUP(B29,#REF!,2,FALSE)</f>
        <v>#REF!</v>
      </c>
      <c r="B29" t="s">
        <v>63</v>
      </c>
      <c r="C29" t="s">
        <v>96</v>
      </c>
      <c r="D29" t="s">
        <v>96</v>
      </c>
      <c r="E29" s="3">
        <v>-3.5011855343468512E-2</v>
      </c>
      <c r="F29" s="3">
        <v>-1.7505927671734312E-2</v>
      </c>
      <c r="G29" s="3">
        <v>-7.0023710686938356E-3</v>
      </c>
      <c r="I29" t="str">
        <f t="shared" si="1"/>
        <v>Transportation and storage</v>
      </c>
      <c r="J29" s="1">
        <f t="shared" si="3"/>
        <v>3.5011855343468512</v>
      </c>
      <c r="K29" s="1">
        <f t="shared" si="2"/>
        <v>1.7505927671734312</v>
      </c>
      <c r="L29" s="1">
        <f>G29*100*-1</f>
        <v>0.70023710686938356</v>
      </c>
    </row>
    <row r="30" spans="1:12" x14ac:dyDescent="0.25">
      <c r="A30" t="e">
        <f>VLOOKUP(B30,#REF!,2,FALSE)</f>
        <v>#REF!</v>
      </c>
      <c r="B30" t="s">
        <v>7</v>
      </c>
      <c r="C30" t="s">
        <v>80</v>
      </c>
      <c r="D30" t="s">
        <v>109</v>
      </c>
      <c r="E30" s="3">
        <v>-0.31795925010558967</v>
      </c>
      <c r="F30" s="3">
        <v>-0.15897962505279473</v>
      </c>
      <c r="G30" s="3">
        <v>-6.3591850021118002E-2</v>
      </c>
      <c r="I30" t="str">
        <f>D30</f>
        <v>Oil and gas extraction</v>
      </c>
      <c r="J30" s="1">
        <f t="shared" si="3"/>
        <v>31.795925010558967</v>
      </c>
      <c r="K30" s="1">
        <f t="shared" si="2"/>
        <v>15.897962505279473</v>
      </c>
      <c r="L30" s="1">
        <f t="shared" si="2"/>
        <v>6.3591850021118006</v>
      </c>
    </row>
    <row r="33" spans="4:7" x14ac:dyDescent="0.25">
      <c r="D33" t="s">
        <v>134</v>
      </c>
      <c r="E33" s="2">
        <v>-1.7536174100866227E-2</v>
      </c>
      <c r="F33" s="2">
        <v>-8.7680870504331758E-3</v>
      </c>
      <c r="G33" s="2">
        <v>-3.5072348201733708E-3</v>
      </c>
    </row>
    <row r="34" spans="4:7" x14ac:dyDescent="0.25">
      <c r="D34" t="s">
        <v>135</v>
      </c>
      <c r="E34" s="2">
        <v>-8.5546281805944126E-3</v>
      </c>
      <c r="F34" s="2">
        <v>-4.2773140902972089E-3</v>
      </c>
      <c r="G34" s="2">
        <v>-1.7109256361188176E-3</v>
      </c>
    </row>
    <row r="35" spans="4:7" x14ac:dyDescent="0.25">
      <c r="D35" t="s">
        <v>136</v>
      </c>
      <c r="E35" s="4">
        <f>E34/E33</f>
        <v>0.4878275119412645</v>
      </c>
      <c r="F35" s="4">
        <f t="shared" ref="F35:G35" si="4">F34/F33</f>
        <v>0.48782751194126134</v>
      </c>
      <c r="G35" s="4">
        <f t="shared" si="4"/>
        <v>0.48782751194122859</v>
      </c>
    </row>
  </sheetData>
  <autoFilter ref="A1:G1" xr:uid="{CB461B06-3595-416E-823A-66E282C759E7}">
    <sortState xmlns:xlrd2="http://schemas.microsoft.com/office/spreadsheetml/2017/richdata2" ref="A2:G30">
      <sortCondition descending="1" ref="E1"/>
    </sortState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0E46C-6ED3-4E9F-9B5D-F7C6AF58C980}">
  <sheetPr codeName="Hoja3"/>
  <dimension ref="A1:L35"/>
  <sheetViews>
    <sheetView topLeftCell="H1" workbookViewId="0">
      <selection activeCell="L15" sqref="L15"/>
    </sheetView>
  </sheetViews>
  <sheetFormatPr baseColWidth="10" defaultRowHeight="14.3" x14ac:dyDescent="0.25"/>
  <cols>
    <col min="1" max="1" width="11" customWidth="1"/>
    <col min="2" max="2" width="23.125" customWidth="1"/>
    <col min="3" max="3" width="22.5" customWidth="1"/>
    <col min="4" max="4" width="17.625" customWidth="1"/>
    <col min="5" max="7" width="16.625" customWidth="1"/>
  </cols>
  <sheetData>
    <row r="1" spans="1:12" x14ac:dyDescent="0.25">
      <c r="D1" t="s">
        <v>138</v>
      </c>
      <c r="E1" t="s">
        <v>132</v>
      </c>
      <c r="F1" t="s">
        <v>133</v>
      </c>
      <c r="G1" t="s">
        <v>137</v>
      </c>
    </row>
    <row r="2" spans="1:12" x14ac:dyDescent="0.25">
      <c r="A2">
        <v>29</v>
      </c>
      <c r="B2" t="s">
        <v>70</v>
      </c>
      <c r="C2" t="s">
        <v>106</v>
      </c>
      <c r="D2" t="s">
        <v>131</v>
      </c>
      <c r="E2" s="3">
        <v>0</v>
      </c>
      <c r="F2" s="3">
        <v>0</v>
      </c>
      <c r="G2" s="3">
        <v>0</v>
      </c>
    </row>
    <row r="3" spans="1:12" x14ac:dyDescent="0.25">
      <c r="A3">
        <v>27</v>
      </c>
      <c r="B3" t="s">
        <v>10</v>
      </c>
      <c r="C3" t="s">
        <v>104</v>
      </c>
      <c r="D3" t="s">
        <v>129</v>
      </c>
      <c r="E3" s="3">
        <v>-4.6849422071004732E-5</v>
      </c>
      <c r="F3" s="3">
        <v>-2.5474418259285869E-5</v>
      </c>
      <c r="G3" s="3">
        <v>-1.070255617718896E-5</v>
      </c>
    </row>
    <row r="4" spans="1:12" x14ac:dyDescent="0.25">
      <c r="A4">
        <v>16</v>
      </c>
      <c r="B4" t="s">
        <v>4</v>
      </c>
      <c r="C4" t="s">
        <v>93</v>
      </c>
      <c r="D4" t="s">
        <v>120</v>
      </c>
      <c r="E4" s="3">
        <v>-2.4991650759853545E-4</v>
      </c>
      <c r="F4" s="3">
        <v>-1.3589234109934178E-4</v>
      </c>
      <c r="G4" s="3">
        <v>-5.7092389703972124E-5</v>
      </c>
    </row>
    <row r="5" spans="1:12" x14ac:dyDescent="0.25">
      <c r="A5">
        <v>15</v>
      </c>
      <c r="B5" t="s">
        <v>3</v>
      </c>
      <c r="C5" t="s">
        <v>92</v>
      </c>
      <c r="D5" t="s">
        <v>119</v>
      </c>
      <c r="E5" s="3">
        <v>-2.9406125228148561E-4</v>
      </c>
      <c r="F5" s="3">
        <v>-1.5989608843036685E-4</v>
      </c>
      <c r="G5" s="3">
        <v>-6.7177073549085087E-5</v>
      </c>
    </row>
    <row r="6" spans="1:12" x14ac:dyDescent="0.25">
      <c r="A6">
        <v>26</v>
      </c>
      <c r="B6" t="s">
        <v>68</v>
      </c>
      <c r="C6" t="s">
        <v>103</v>
      </c>
      <c r="D6" t="s">
        <v>103</v>
      </c>
      <c r="E6" s="3">
        <v>-1.4392163123340129E-3</v>
      </c>
      <c r="F6" s="3">
        <v>-7.8257525247615867E-4</v>
      </c>
      <c r="G6" s="3">
        <v>-3.2878299781424758E-4</v>
      </c>
    </row>
    <row r="7" spans="1:12" x14ac:dyDescent="0.25">
      <c r="A7">
        <v>25</v>
      </c>
      <c r="B7" t="s">
        <v>9</v>
      </c>
      <c r="C7" t="s">
        <v>102</v>
      </c>
      <c r="D7" t="s">
        <v>128</v>
      </c>
      <c r="E7" s="3">
        <v>-1.4985570967283035E-3</v>
      </c>
      <c r="F7" s="3">
        <v>-8.1484186099878286E-4</v>
      </c>
      <c r="G7" s="3">
        <v>-3.4233915390979863E-4</v>
      </c>
    </row>
    <row r="8" spans="1:12" x14ac:dyDescent="0.25">
      <c r="A8">
        <v>1</v>
      </c>
      <c r="B8" t="s">
        <v>53</v>
      </c>
      <c r="C8" t="s">
        <v>78</v>
      </c>
      <c r="D8" t="s">
        <v>107</v>
      </c>
      <c r="E8" s="3">
        <v>-1.7983607594421747E-3</v>
      </c>
      <c r="F8" s="3">
        <v>-9.7786039061886765E-4</v>
      </c>
      <c r="G8" s="3">
        <v>-4.1082805730707772E-4</v>
      </c>
    </row>
    <row r="9" spans="1:12" x14ac:dyDescent="0.25">
      <c r="A9">
        <v>7</v>
      </c>
      <c r="B9" t="s">
        <v>54</v>
      </c>
      <c r="C9" t="s">
        <v>84</v>
      </c>
      <c r="D9" t="s">
        <v>111</v>
      </c>
      <c r="E9" s="3">
        <v>-2.2266520132947498E-3</v>
      </c>
      <c r="F9" s="3">
        <v>-1.2107441713573586E-3</v>
      </c>
      <c r="G9" s="3">
        <v>-5.0866941803451304E-4</v>
      </c>
    </row>
    <row r="10" spans="1:12" x14ac:dyDescent="0.25">
      <c r="A10">
        <v>20</v>
      </c>
      <c r="B10" t="s">
        <v>64</v>
      </c>
      <c r="C10" t="s">
        <v>97</v>
      </c>
      <c r="D10" t="s">
        <v>123</v>
      </c>
      <c r="E10" s="3">
        <v>-2.9008261361144205E-3</v>
      </c>
      <c r="F10" s="3">
        <v>-1.5773269983146987E-3</v>
      </c>
      <c r="G10" s="3">
        <v>-6.626817004474761E-4</v>
      </c>
    </row>
    <row r="11" spans="1:12" x14ac:dyDescent="0.25">
      <c r="A11">
        <v>23</v>
      </c>
      <c r="B11" t="s">
        <v>6</v>
      </c>
      <c r="C11" t="s">
        <v>100</v>
      </c>
      <c r="D11" t="s">
        <v>126</v>
      </c>
      <c r="E11" s="3">
        <v>-5.2502111820550423E-3</v>
      </c>
      <c r="F11" s="3">
        <v>-2.8548073740810587E-3</v>
      </c>
      <c r="G11" s="3">
        <v>-1.1993889707891947E-3</v>
      </c>
    </row>
    <row r="12" spans="1:12" x14ac:dyDescent="0.25">
      <c r="A12">
        <v>8</v>
      </c>
      <c r="B12" t="s">
        <v>55</v>
      </c>
      <c r="C12" t="s">
        <v>85</v>
      </c>
      <c r="D12" t="s">
        <v>112</v>
      </c>
      <c r="E12" s="3">
        <v>-5.4093250806476201E-3</v>
      </c>
      <c r="F12" s="3">
        <v>-2.9413257093003908E-3</v>
      </c>
      <c r="G12" s="3">
        <v>-1.2357378810434749E-3</v>
      </c>
    </row>
    <row r="13" spans="1:12" x14ac:dyDescent="0.25">
      <c r="A13">
        <v>12</v>
      </c>
      <c r="B13" t="s">
        <v>59</v>
      </c>
      <c r="C13" t="s">
        <v>89</v>
      </c>
      <c r="D13" t="s">
        <v>116</v>
      </c>
      <c r="E13" s="3">
        <v>-6.4060569843377158E-3</v>
      </c>
      <c r="F13" s="3">
        <v>-3.4832996394851268E-3</v>
      </c>
      <c r="G13" s="3">
        <v>-1.4634371507797894E-3</v>
      </c>
    </row>
    <row r="14" spans="1:12" x14ac:dyDescent="0.25">
      <c r="A14">
        <v>17</v>
      </c>
      <c r="B14" t="s">
        <v>5</v>
      </c>
      <c r="C14" t="s">
        <v>94</v>
      </c>
      <c r="D14" t="s">
        <v>121</v>
      </c>
      <c r="E14" s="3">
        <v>-7.1039861480978184E-3</v>
      </c>
      <c r="F14" s="3">
        <v>-3.8627992927748878E-3</v>
      </c>
      <c r="G14" s="3">
        <v>-1.6228761737796527E-3</v>
      </c>
      <c r="I14" t="s">
        <v>138</v>
      </c>
      <c r="J14" t="s">
        <v>140</v>
      </c>
      <c r="K14" t="s">
        <v>143</v>
      </c>
      <c r="L14" t="s">
        <v>144</v>
      </c>
    </row>
    <row r="15" spans="1:12" x14ac:dyDescent="0.25">
      <c r="A15">
        <v>28</v>
      </c>
      <c r="B15" t="s">
        <v>69</v>
      </c>
      <c r="C15" t="s">
        <v>105</v>
      </c>
      <c r="D15" t="s">
        <v>130</v>
      </c>
      <c r="E15" s="3">
        <v>-7.5688021094508784E-3</v>
      </c>
      <c r="F15" s="3">
        <v>-4.1155434183061113E-3</v>
      </c>
      <c r="G15" s="3">
        <v>-1.7290614524587689E-3</v>
      </c>
      <c r="I15" t="s">
        <v>139</v>
      </c>
      <c r="J15" s="1">
        <f>(-1)*SUM(E2:E15)*100</f>
        <v>4.2192821004453762</v>
      </c>
      <c r="K15" s="1">
        <f t="shared" ref="K15:L15" si="0">(-1)*SUM(F2:F15)*100</f>
        <v>2.2942386955502436</v>
      </c>
      <c r="L15" s="1">
        <f t="shared" si="0"/>
        <v>0.96387749757942398</v>
      </c>
    </row>
    <row r="16" spans="1:12" x14ac:dyDescent="0.25">
      <c r="A16">
        <v>9</v>
      </c>
      <c r="B16" t="s">
        <v>56</v>
      </c>
      <c r="C16" t="s">
        <v>86</v>
      </c>
      <c r="D16" t="s">
        <v>113</v>
      </c>
      <c r="E16" s="3">
        <v>-8.6926956195378935E-3</v>
      </c>
      <c r="F16" s="3">
        <v>-4.7266615941322643E-3</v>
      </c>
      <c r="G16" s="3">
        <v>-1.9858102638110608E-3</v>
      </c>
      <c r="I16" t="str">
        <f>D16</f>
        <v>Wood and paper production</v>
      </c>
      <c r="J16" s="1">
        <f>E16*100*-1</f>
        <v>0.86926956195378935</v>
      </c>
      <c r="K16" s="1">
        <f t="shared" ref="K16:L16" si="1">F16*100*-1</f>
        <v>0.47266615941322643</v>
      </c>
      <c r="L16" s="1">
        <f t="shared" si="1"/>
        <v>0.19858102638110608</v>
      </c>
    </row>
    <row r="17" spans="1:12" x14ac:dyDescent="0.25">
      <c r="A17">
        <v>14</v>
      </c>
      <c r="B17" t="s">
        <v>61</v>
      </c>
      <c r="C17" t="s">
        <v>91</v>
      </c>
      <c r="D17" t="s">
        <v>118</v>
      </c>
      <c r="E17" s="3">
        <v>-1.0001439418957703E-2</v>
      </c>
      <c r="F17" s="3">
        <v>-5.4382922923666976E-3</v>
      </c>
      <c r="G17" s="3">
        <v>-2.2847873571474331E-3</v>
      </c>
      <c r="I17" t="str">
        <f t="shared" ref="I17:I30" si="2">D17</f>
        <v>Water management</v>
      </c>
      <c r="J17" s="1">
        <f t="shared" ref="J17:J30" si="3">E17*100*-1</f>
        <v>1.0001439418957703</v>
      </c>
      <c r="K17" s="1">
        <f t="shared" ref="K17:K30" si="4">F17*100*-1</f>
        <v>0.54382922923666976</v>
      </c>
      <c r="L17" s="1">
        <f t="shared" ref="L17:L30" si="5">G17*100*-1</f>
        <v>0.22847873571474331</v>
      </c>
    </row>
    <row r="18" spans="1:12" x14ac:dyDescent="0.25">
      <c r="A18">
        <v>18</v>
      </c>
      <c r="B18" t="s">
        <v>62</v>
      </c>
      <c r="C18" t="s">
        <v>95</v>
      </c>
      <c r="D18" t="s">
        <v>122</v>
      </c>
      <c r="E18" s="3">
        <v>-1.2265716378265901E-2</v>
      </c>
      <c r="F18" s="3">
        <v>-6.6694950642647299E-3</v>
      </c>
      <c r="G18" s="3">
        <v>-2.8020520380597214E-3</v>
      </c>
      <c r="I18" t="str">
        <f t="shared" si="2"/>
        <v>Trade and vehicle repair</v>
      </c>
      <c r="J18" s="1">
        <f t="shared" si="3"/>
        <v>1.2265716378265901</v>
      </c>
      <c r="K18" s="1">
        <f t="shared" si="4"/>
        <v>0.66694950642647299</v>
      </c>
      <c r="L18" s="1">
        <f t="shared" si="5"/>
        <v>0.28020520380597214</v>
      </c>
    </row>
    <row r="19" spans="1:12" x14ac:dyDescent="0.25">
      <c r="A19">
        <v>21</v>
      </c>
      <c r="B19" t="s">
        <v>65</v>
      </c>
      <c r="C19" t="s">
        <v>98</v>
      </c>
      <c r="D19" t="s">
        <v>124</v>
      </c>
      <c r="E19" s="3">
        <v>-1.2959367615094641E-2</v>
      </c>
      <c r="F19" s="3">
        <v>-7.0466685906757087E-3</v>
      </c>
      <c r="G19" s="3">
        <v>-2.9605137863925046E-3</v>
      </c>
      <c r="I19" t="str">
        <f t="shared" si="2"/>
        <v>Media and telecom</v>
      </c>
      <c r="J19" s="1">
        <f t="shared" si="3"/>
        <v>1.2959367615094641</v>
      </c>
      <c r="K19" s="1">
        <f t="shared" si="4"/>
        <v>0.70466685906757087</v>
      </c>
      <c r="L19" s="1">
        <f t="shared" si="5"/>
        <v>0.29605137863925046</v>
      </c>
    </row>
    <row r="20" spans="1:12" x14ac:dyDescent="0.25">
      <c r="A20">
        <v>13</v>
      </c>
      <c r="B20" t="s">
        <v>58</v>
      </c>
      <c r="C20" t="s">
        <v>88</v>
      </c>
      <c r="D20" t="s">
        <v>115</v>
      </c>
      <c r="E20" s="3">
        <v>-1.3945299889961293E-2</v>
      </c>
      <c r="F20" s="3">
        <v>-7.5827702123123508E-3</v>
      </c>
      <c r="G20" s="3">
        <v>-3.1857459257133014E-3</v>
      </c>
      <c r="I20" t="str">
        <f t="shared" si="2"/>
        <v>Metals and electrical equipment</v>
      </c>
      <c r="J20" s="1">
        <f t="shared" si="3"/>
        <v>1.3945299889961293</v>
      </c>
      <c r="K20" s="1">
        <f t="shared" si="4"/>
        <v>0.75827702123123508</v>
      </c>
      <c r="L20" s="1">
        <f t="shared" si="5"/>
        <v>0.31857459257133014</v>
      </c>
    </row>
    <row r="21" spans="1:12" x14ac:dyDescent="0.25">
      <c r="A21">
        <v>22</v>
      </c>
      <c r="B21" t="s">
        <v>66</v>
      </c>
      <c r="C21" t="s">
        <v>99</v>
      </c>
      <c r="D21" t="s">
        <v>125</v>
      </c>
      <c r="E21" s="3">
        <v>-1.5077856133804413E-2</v>
      </c>
      <c r="F21" s="3">
        <v>-8.1985987579408226E-3</v>
      </c>
      <c r="G21" s="3">
        <v>-3.4444737026659844E-3</v>
      </c>
      <c r="I21" t="str">
        <f t="shared" si="2"/>
        <v>Finance and insurance</v>
      </c>
      <c r="J21" s="1">
        <f t="shared" si="3"/>
        <v>1.5077856133804413</v>
      </c>
      <c r="K21" s="1">
        <f t="shared" si="4"/>
        <v>0.81985987579408226</v>
      </c>
      <c r="L21" s="1">
        <f t="shared" si="5"/>
        <v>0.34444737026659844</v>
      </c>
    </row>
    <row r="22" spans="1:12" x14ac:dyDescent="0.25">
      <c r="A22">
        <v>24</v>
      </c>
      <c r="B22" t="s">
        <v>67</v>
      </c>
      <c r="C22" t="s">
        <v>101</v>
      </c>
      <c r="D22" t="s">
        <v>127</v>
      </c>
      <c r="E22" s="3">
        <v>-2.7603395077057447E-2</v>
      </c>
      <c r="F22" s="3">
        <v>-1.5009372591526238E-2</v>
      </c>
      <c r="G22" s="3">
        <v>-6.3058811281566651E-3</v>
      </c>
      <c r="I22" t="str">
        <f t="shared" si="2"/>
        <v>Professional and technical services</v>
      </c>
      <c r="J22" s="1">
        <f t="shared" si="3"/>
        <v>2.7603395077057447</v>
      </c>
      <c r="K22" s="1">
        <f t="shared" si="4"/>
        <v>1.5009372591526238</v>
      </c>
      <c r="L22" s="1">
        <f t="shared" si="5"/>
        <v>0.63058811281566651</v>
      </c>
    </row>
    <row r="23" spans="1:12" x14ac:dyDescent="0.25">
      <c r="A23">
        <v>13</v>
      </c>
      <c r="B23" t="s">
        <v>60</v>
      </c>
      <c r="C23" t="s">
        <v>90</v>
      </c>
      <c r="D23" t="s">
        <v>117</v>
      </c>
      <c r="E23" s="3">
        <v>-2.7824321794619689E-2</v>
      </c>
      <c r="F23" s="3">
        <v>-1.5129501706444115E-2</v>
      </c>
      <c r="G23" s="3">
        <v>-6.3563509205535329E-3</v>
      </c>
      <c r="I23" t="str">
        <f t="shared" si="2"/>
        <v>Energy supply</v>
      </c>
      <c r="J23" s="1">
        <f t="shared" si="3"/>
        <v>2.7824321794619689</v>
      </c>
      <c r="K23" s="1">
        <f t="shared" si="4"/>
        <v>1.5129501706444115</v>
      </c>
      <c r="L23" s="1">
        <f t="shared" si="5"/>
        <v>0.63563509205535329</v>
      </c>
    </row>
    <row r="24" spans="1:12" x14ac:dyDescent="0.25">
      <c r="A24">
        <v>10</v>
      </c>
      <c r="B24" t="s">
        <v>57</v>
      </c>
      <c r="C24" t="s">
        <v>87</v>
      </c>
      <c r="D24" t="s">
        <v>114</v>
      </c>
      <c r="E24" s="3">
        <v>-4.8684634712765185E-2</v>
      </c>
      <c r="F24" s="3">
        <v>-2.6472316896033243E-2</v>
      </c>
      <c r="G24" s="3">
        <v>-1.1121802894514254E-2</v>
      </c>
      <c r="I24" t="str">
        <f t="shared" si="2"/>
        <v>Chemicals and pharmaceuticals manufacturing</v>
      </c>
      <c r="J24" s="1">
        <f t="shared" si="3"/>
        <v>4.8684634712765185</v>
      </c>
      <c r="K24" s="1">
        <f t="shared" si="4"/>
        <v>2.6472316896033243</v>
      </c>
      <c r="L24" s="1">
        <f t="shared" si="5"/>
        <v>1.1121802894514254</v>
      </c>
    </row>
    <row r="25" spans="1:12" x14ac:dyDescent="0.25">
      <c r="A25">
        <v>6</v>
      </c>
      <c r="B25" t="s">
        <v>2</v>
      </c>
      <c r="C25" t="s">
        <v>83</v>
      </c>
      <c r="D25" t="s">
        <v>83</v>
      </c>
      <c r="E25" s="3">
        <v>-6.2251061965960086E-2</v>
      </c>
      <c r="F25" s="3">
        <v>-3.3849074748123931E-2</v>
      </c>
      <c r="G25" s="3">
        <v>-1.4220996937624242E-2</v>
      </c>
      <c r="I25" t="str">
        <f t="shared" si="2"/>
        <v>Extraction of other mines and quarries</v>
      </c>
      <c r="J25" s="1">
        <f t="shared" si="3"/>
        <v>6.2251061965960091</v>
      </c>
      <c r="K25" s="1">
        <f t="shared" si="4"/>
        <v>3.3849074748123931</v>
      </c>
      <c r="L25" s="1">
        <f t="shared" si="5"/>
        <v>1.4220996937624242</v>
      </c>
    </row>
    <row r="26" spans="1:12" x14ac:dyDescent="0.25">
      <c r="A26">
        <v>5</v>
      </c>
      <c r="B26" t="s">
        <v>1</v>
      </c>
      <c r="C26" t="s">
        <v>82</v>
      </c>
      <c r="D26" t="s">
        <v>82</v>
      </c>
      <c r="E26" s="3">
        <v>-6.2251061965960641E-2</v>
      </c>
      <c r="F26" s="3">
        <v>-3.3849074748124042E-2</v>
      </c>
      <c r="G26" s="3">
        <v>-1.4220996937624686E-2</v>
      </c>
      <c r="I26" t="str">
        <f t="shared" si="2"/>
        <v>Extraction of metal ores</v>
      </c>
      <c r="J26" s="1">
        <f t="shared" si="3"/>
        <v>6.2251061965960641</v>
      </c>
      <c r="K26" s="1">
        <f t="shared" si="4"/>
        <v>3.3849074748124042</v>
      </c>
      <c r="L26" s="1">
        <f t="shared" si="5"/>
        <v>1.4220996937624686</v>
      </c>
    </row>
    <row r="27" spans="1:12" x14ac:dyDescent="0.25">
      <c r="A27">
        <v>4</v>
      </c>
      <c r="B27" t="s">
        <v>8</v>
      </c>
      <c r="C27" t="s">
        <v>81</v>
      </c>
      <c r="D27" t="s">
        <v>110</v>
      </c>
      <c r="E27" s="3">
        <v>-6.2251061965960752E-2</v>
      </c>
      <c r="F27" s="3">
        <v>-3.3849074748124264E-2</v>
      </c>
      <c r="G27" s="3">
        <v>-1.4220996937624131E-2</v>
      </c>
      <c r="I27" t="str">
        <f t="shared" si="2"/>
        <v>Mining support services</v>
      </c>
      <c r="J27" s="1">
        <f t="shared" si="3"/>
        <v>6.2251061965960748</v>
      </c>
      <c r="K27" s="1">
        <f t="shared" si="4"/>
        <v>3.3849074748124264</v>
      </c>
      <c r="L27" s="1">
        <f t="shared" si="5"/>
        <v>1.4220996937624131</v>
      </c>
    </row>
    <row r="28" spans="1:12" x14ac:dyDescent="0.25">
      <c r="A28">
        <v>2</v>
      </c>
      <c r="B28" t="s">
        <v>0</v>
      </c>
      <c r="C28" t="s">
        <v>79</v>
      </c>
      <c r="D28" t="s">
        <v>108</v>
      </c>
      <c r="E28" s="3">
        <v>-6.2251061965960863E-2</v>
      </c>
      <c r="F28" s="3">
        <v>-3.3849074748123931E-2</v>
      </c>
      <c r="G28" s="3">
        <v>-1.4220996937624131E-2</v>
      </c>
      <c r="I28" t="str">
        <f t="shared" si="2"/>
        <v>Coal mining</v>
      </c>
      <c r="J28" s="1">
        <f t="shared" si="3"/>
        <v>6.2251061965960863</v>
      </c>
      <c r="K28" s="1">
        <f t="shared" si="4"/>
        <v>3.3849074748123931</v>
      </c>
      <c r="L28" s="1">
        <f t="shared" si="5"/>
        <v>1.4220996937624131</v>
      </c>
    </row>
    <row r="29" spans="1:12" x14ac:dyDescent="0.25">
      <c r="A29">
        <v>19</v>
      </c>
      <c r="B29" t="s">
        <v>63</v>
      </c>
      <c r="C29" t="s">
        <v>96</v>
      </c>
      <c r="D29" t="s">
        <v>96</v>
      </c>
      <c r="E29" s="3">
        <v>-6.5863868340032439E-2</v>
      </c>
      <c r="F29" s="3">
        <v>-3.5813541684821981E-2</v>
      </c>
      <c r="G29" s="3">
        <v>-1.5046327570698681E-2</v>
      </c>
      <c r="I29" t="str">
        <f t="shared" si="2"/>
        <v>Transportation and storage</v>
      </c>
      <c r="J29" s="1">
        <f t="shared" si="3"/>
        <v>6.5863868340032443</v>
      </c>
      <c r="K29" s="1">
        <f t="shared" si="4"/>
        <v>3.5813541684821981</v>
      </c>
      <c r="L29" s="1">
        <f t="shared" si="5"/>
        <v>1.5046327570698681</v>
      </c>
    </row>
    <row r="30" spans="1:12" x14ac:dyDescent="0.25">
      <c r="A30">
        <v>3</v>
      </c>
      <c r="B30" t="s">
        <v>7</v>
      </c>
      <c r="C30" t="s">
        <v>80</v>
      </c>
      <c r="D30" t="s">
        <v>109</v>
      </c>
      <c r="E30" s="3">
        <v>-0.19628200111119443</v>
      </c>
      <c r="F30" s="3">
        <v>-0.10031965824230105</v>
      </c>
      <c r="G30" s="3">
        <v>-4.0714256619963862E-2</v>
      </c>
      <c r="I30" t="str">
        <f t="shared" si="2"/>
        <v>Oil and gas extraction</v>
      </c>
      <c r="J30" s="1">
        <f t="shared" si="3"/>
        <v>19.628200111119444</v>
      </c>
      <c r="K30" s="1">
        <f t="shared" si="4"/>
        <v>10.031965824230104</v>
      </c>
      <c r="L30" s="1">
        <f t="shared" si="5"/>
        <v>4.0714256619963862</v>
      </c>
    </row>
    <row r="33" spans="4:7" x14ac:dyDescent="0.25">
      <c r="D33" t="s">
        <v>134</v>
      </c>
      <c r="E33" s="2">
        <v>-2.1484085583560741E-2</v>
      </c>
      <c r="F33" s="2">
        <v>-1.149851385361933E-2</v>
      </c>
      <c r="G33" s="2">
        <v>-4.7898405642110417E-3</v>
      </c>
    </row>
    <row r="34" spans="4:7" x14ac:dyDescent="0.25">
      <c r="D34" t="s">
        <v>135</v>
      </c>
      <c r="E34" s="2">
        <v>-1.4208379897823994E-2</v>
      </c>
      <c r="F34" s="2">
        <v>-7.6957664235765867E-3</v>
      </c>
      <c r="G34" s="2">
        <v>-3.2264990655286761E-3</v>
      </c>
    </row>
    <row r="35" spans="4:7" x14ac:dyDescent="0.25">
      <c r="D35" t="s">
        <v>136</v>
      </c>
      <c r="E35" s="4">
        <f>E34/E33</f>
        <v>0.66134440968230013</v>
      </c>
      <c r="F35" s="4">
        <f t="shared" ref="F35:G35" si="6">F34/F33</f>
        <v>0.66928357190735821</v>
      </c>
      <c r="G35" s="4">
        <f t="shared" si="6"/>
        <v>0.67361304040818915</v>
      </c>
    </row>
  </sheetData>
  <autoFilter ref="A1:G1" xr:uid="{F540E46C-6ED3-4E9F-9B5D-F7C6AF58C980}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61B06-3595-416E-823A-66E282C759E7}">
  <sheetPr codeName="Hoja4"/>
  <dimension ref="A1:L37"/>
  <sheetViews>
    <sheetView topLeftCell="F2" workbookViewId="0">
      <selection activeCell="T23" sqref="T23"/>
    </sheetView>
  </sheetViews>
  <sheetFormatPr baseColWidth="10" defaultRowHeight="14.3" x14ac:dyDescent="0.25"/>
  <cols>
    <col min="1" max="1" width="11" customWidth="1"/>
    <col min="2" max="2" width="23.125" customWidth="1"/>
    <col min="3" max="3" width="22.5" customWidth="1"/>
    <col min="4" max="4" width="17.625" customWidth="1"/>
    <col min="5" max="7" width="16.625" customWidth="1"/>
  </cols>
  <sheetData>
    <row r="1" spans="1:12" x14ac:dyDescent="0.25">
      <c r="D1" t="s">
        <v>138</v>
      </c>
      <c r="E1" t="s">
        <v>132</v>
      </c>
      <c r="F1" t="s">
        <v>133</v>
      </c>
      <c r="G1" t="s">
        <v>137</v>
      </c>
    </row>
    <row r="2" spans="1:12" x14ac:dyDescent="0.25">
      <c r="A2" t="e">
        <f>VLOOKUP(B2,#REF!,2,FALSE)</f>
        <v>#REF!</v>
      </c>
      <c r="B2" t="s">
        <v>70</v>
      </c>
      <c r="C2" t="s">
        <v>106</v>
      </c>
      <c r="D2" t="s">
        <v>131</v>
      </c>
      <c r="E2" s="3">
        <v>0</v>
      </c>
      <c r="F2" s="3">
        <v>0</v>
      </c>
      <c r="G2" s="3">
        <v>0</v>
      </c>
    </row>
    <row r="3" spans="1:12" x14ac:dyDescent="0.25">
      <c r="A3" t="e">
        <f>VLOOKUP(B3,#REF!,2,FALSE)</f>
        <v>#REF!</v>
      </c>
      <c r="B3" t="s">
        <v>10</v>
      </c>
      <c r="C3" t="s">
        <v>104</v>
      </c>
      <c r="D3" t="s">
        <v>129</v>
      </c>
      <c r="E3" s="3">
        <v>-5.908470903126517E-5</v>
      </c>
      <c r="F3" s="3">
        <v>-3.471794026266295E-5</v>
      </c>
      <c r="G3" s="3">
        <v>-1.5165274810602369E-5</v>
      </c>
    </row>
    <row r="4" spans="1:12" x14ac:dyDescent="0.25">
      <c r="A4" t="e">
        <f>VLOOKUP(B4,#REF!,2,FALSE)</f>
        <v>#REF!</v>
      </c>
      <c r="B4" t="s">
        <v>4</v>
      </c>
      <c r="C4" t="s">
        <v>93</v>
      </c>
      <c r="D4" t="s">
        <v>120</v>
      </c>
      <c r="E4" s="3">
        <v>-3.1518519291839908E-4</v>
      </c>
      <c r="F4" s="3">
        <v>-1.8520156701751223E-4</v>
      </c>
      <c r="G4" s="3">
        <v>-8.089859703641622E-5</v>
      </c>
    </row>
    <row r="5" spans="1:12" x14ac:dyDescent="0.25">
      <c r="A5" t="e">
        <f>VLOOKUP(B5,#REF!,2,FALSE)</f>
        <v>#REF!</v>
      </c>
      <c r="B5" t="s">
        <v>3</v>
      </c>
      <c r="C5" t="s">
        <v>92</v>
      </c>
      <c r="D5" t="s">
        <v>119</v>
      </c>
      <c r="E5" s="3">
        <v>-3.7085886570953353E-4</v>
      </c>
      <c r="F5" s="3">
        <v>-2.1791519593883368E-4</v>
      </c>
      <c r="G5" s="3">
        <v>-9.5188361028619717E-5</v>
      </c>
    </row>
    <row r="6" spans="1:12" x14ac:dyDescent="0.25">
      <c r="A6" t="e">
        <f>VLOOKUP(B6,#REF!,2,FALSE)</f>
        <v>#REF!</v>
      </c>
      <c r="B6" t="s">
        <v>68</v>
      </c>
      <c r="C6" t="s">
        <v>103</v>
      </c>
      <c r="D6" t="s">
        <v>103</v>
      </c>
      <c r="E6" s="3">
        <v>-1.8150848673939013E-3</v>
      </c>
      <c r="F6" s="3">
        <v>-1.0665366561140033E-3</v>
      </c>
      <c r="G6" s="3">
        <v>-4.6587791105945353E-4</v>
      </c>
    </row>
    <row r="7" spans="1:12" x14ac:dyDescent="0.25">
      <c r="A7" t="e">
        <f>VLOOKUP(B7,#REF!,2,FALSE)</f>
        <v>#REF!</v>
      </c>
      <c r="B7" t="s">
        <v>9</v>
      </c>
      <c r="C7" t="s">
        <v>102</v>
      </c>
      <c r="D7" t="s">
        <v>128</v>
      </c>
      <c r="E7" s="3">
        <v>-1.8899232074336414E-3</v>
      </c>
      <c r="F7" s="3">
        <v>-1.1105113673621769E-3</v>
      </c>
      <c r="G7" s="3">
        <v>-4.8508667101898606E-4</v>
      </c>
    </row>
    <row r="8" spans="1:12" x14ac:dyDescent="0.25">
      <c r="A8">
        <v>1</v>
      </c>
      <c r="B8" t="s">
        <v>53</v>
      </c>
      <c r="C8" t="s">
        <v>78</v>
      </c>
      <c r="D8" t="s">
        <v>107</v>
      </c>
      <c r="E8" s="3">
        <v>-2.2680241827475189E-3</v>
      </c>
      <c r="F8" s="3">
        <v>-1.3326819981294147E-3</v>
      </c>
      <c r="G8" s="3">
        <v>-5.8213386463179528E-4</v>
      </c>
    </row>
    <row r="9" spans="1:12" x14ac:dyDescent="0.25">
      <c r="A9" t="e">
        <f>VLOOKUP(B9,#REF!,2,FALSE)</f>
        <v>#REF!</v>
      </c>
      <c r="B9" t="s">
        <v>54</v>
      </c>
      <c r="C9" t="s">
        <v>84</v>
      </c>
      <c r="D9" t="s">
        <v>111</v>
      </c>
      <c r="E9" s="3">
        <v>-2.80816882052215E-3</v>
      </c>
      <c r="F9" s="3">
        <v>-1.6500688411023035E-3</v>
      </c>
      <c r="G9" s="3">
        <v>-7.2077281206472943E-4</v>
      </c>
    </row>
    <row r="10" spans="1:12" x14ac:dyDescent="0.25">
      <c r="A10" t="e">
        <f>VLOOKUP(B10,#REF!,2,FALSE)</f>
        <v>#REF!</v>
      </c>
      <c r="B10" t="s">
        <v>64</v>
      </c>
      <c r="C10" t="s">
        <v>97</v>
      </c>
      <c r="D10" t="s">
        <v>123</v>
      </c>
      <c r="E10" s="3">
        <v>-3.6584115796068906E-3</v>
      </c>
      <c r="F10" s="3">
        <v>-2.149668108028524E-3</v>
      </c>
      <c r="G10" s="3">
        <v>-9.3900465764407137E-4</v>
      </c>
    </row>
    <row r="11" spans="1:12" x14ac:dyDescent="0.25">
      <c r="A11" t="e">
        <f>VLOOKUP(B11,#REF!,2,FALSE)</f>
        <v>#REF!</v>
      </c>
      <c r="B11" t="s">
        <v>6</v>
      </c>
      <c r="C11" t="s">
        <v>100</v>
      </c>
      <c r="D11" t="s">
        <v>126</v>
      </c>
      <c r="E11" s="3">
        <v>-6.6213666323136078E-3</v>
      </c>
      <c r="F11" s="3">
        <v>-3.8906887241418886E-3</v>
      </c>
      <c r="G11" s="3">
        <v>-1.6995064585872965E-3</v>
      </c>
    </row>
    <row r="12" spans="1:12" x14ac:dyDescent="0.25">
      <c r="A12">
        <v>8</v>
      </c>
      <c r="B12" t="s">
        <v>55</v>
      </c>
      <c r="C12" t="s">
        <v>85</v>
      </c>
      <c r="D12" t="s">
        <v>112</v>
      </c>
      <c r="E12" s="3">
        <v>-6.8220350287542253E-3</v>
      </c>
      <c r="F12" s="3">
        <v>-4.008600676564722E-3</v>
      </c>
      <c r="G12" s="3">
        <v>-1.7510120245416427E-3</v>
      </c>
    </row>
    <row r="13" spans="1:12" x14ac:dyDescent="0.25">
      <c r="A13">
        <v>13</v>
      </c>
      <c r="B13" t="s">
        <v>58</v>
      </c>
      <c r="C13" t="s">
        <v>88</v>
      </c>
      <c r="D13" t="s">
        <v>115</v>
      </c>
      <c r="E13" s="3">
        <v>-8.0790753914378177E-3</v>
      </c>
      <c r="F13" s="3">
        <v>-4.7472325990169928E-3</v>
      </c>
      <c r="G13" s="3">
        <v>-2.0736566285504132E-3</v>
      </c>
    </row>
    <row r="14" spans="1:12" x14ac:dyDescent="0.25">
      <c r="A14" t="e">
        <f>VLOOKUP(B14,#REF!,2,FALSE)</f>
        <v>#REF!</v>
      </c>
      <c r="B14" t="s">
        <v>5</v>
      </c>
      <c r="C14" t="s">
        <v>94</v>
      </c>
      <c r="D14" t="s">
        <v>121</v>
      </c>
      <c r="E14" s="3">
        <v>-8.9592771045488018E-3</v>
      </c>
      <c r="F14" s="3">
        <v>-5.2644356282917082E-3</v>
      </c>
      <c r="G14" s="3">
        <v>-2.2995780401509069E-3</v>
      </c>
      <c r="I14" t="s">
        <v>138</v>
      </c>
      <c r="J14" t="s">
        <v>141</v>
      </c>
      <c r="K14" t="s">
        <v>145</v>
      </c>
      <c r="L14" t="s">
        <v>146</v>
      </c>
    </row>
    <row r="15" spans="1:12" x14ac:dyDescent="0.25">
      <c r="A15" t="e">
        <f>VLOOKUP(B15,#REF!,2,FALSE)</f>
        <v>#REF!</v>
      </c>
      <c r="B15" t="s">
        <v>69</v>
      </c>
      <c r="C15" t="s">
        <v>105</v>
      </c>
      <c r="D15" t="s">
        <v>130</v>
      </c>
      <c r="E15" s="3">
        <v>-9.5454853140759521E-3</v>
      </c>
      <c r="F15" s="3">
        <v>-5.6088892429997372E-3</v>
      </c>
      <c r="G15" s="3">
        <v>-2.4500401265279415E-3</v>
      </c>
      <c r="I15" t="s">
        <v>139</v>
      </c>
      <c r="J15" s="1">
        <f>(1)*SUM(E2:E15)*100</f>
        <v>-5.3211980896493705</v>
      </c>
      <c r="K15" s="1">
        <f>(1)*SUM(F2:F15)*100</f>
        <v>-3.126714854497048</v>
      </c>
      <c r="L15" s="1">
        <f>(1)*SUM(G2:G15)*100</f>
        <v>-1.3657921427652875</v>
      </c>
    </row>
    <row r="16" spans="1:12" x14ac:dyDescent="0.25">
      <c r="A16">
        <v>9</v>
      </c>
      <c r="B16" t="s">
        <v>56</v>
      </c>
      <c r="C16" t="s">
        <v>86</v>
      </c>
      <c r="D16" t="s">
        <v>113</v>
      </c>
      <c r="E16" s="3">
        <v>-1.096289705770237E-2</v>
      </c>
      <c r="F16" s="3">
        <v>-6.4417547516822937E-3</v>
      </c>
      <c r="G16" s="3">
        <v>-2.8138472597888375E-3</v>
      </c>
      <c r="I16" t="str">
        <f>D16</f>
        <v>Wood and paper production</v>
      </c>
      <c r="J16" s="1">
        <f t="shared" ref="J16:J30" si="0">E16*100*1</f>
        <v>-1.096289705770237</v>
      </c>
      <c r="K16" s="1">
        <f t="shared" ref="K16:K30" si="1">F16*100*1</f>
        <v>-0.64417547516822937</v>
      </c>
      <c r="L16" s="1">
        <f t="shared" ref="L16:L30" si="2">G16*100*1</f>
        <v>-0.28138472597888375</v>
      </c>
    </row>
    <row r="17" spans="1:12" x14ac:dyDescent="0.25">
      <c r="A17" t="e">
        <f>VLOOKUP(B17,#REF!,2,FALSE)</f>
        <v>#REF!</v>
      </c>
      <c r="B17" t="s">
        <v>61</v>
      </c>
      <c r="C17" t="s">
        <v>91</v>
      </c>
      <c r="D17" t="s">
        <v>118</v>
      </c>
      <c r="E17" s="3">
        <v>-1.2613434954795832E-2</v>
      </c>
      <c r="F17" s="3">
        <v>-7.4116042618497247E-3</v>
      </c>
      <c r="G17" s="3">
        <v>-3.2374908928968216E-3</v>
      </c>
      <c r="I17" t="str">
        <f t="shared" ref="I17:I29" si="3">D17</f>
        <v>Water management</v>
      </c>
      <c r="J17" s="1">
        <f t="shared" si="0"/>
        <v>-1.2613434954795832</v>
      </c>
      <c r="K17" s="1">
        <f t="shared" si="1"/>
        <v>-0.74116042618497247</v>
      </c>
      <c r="L17" s="1">
        <f t="shared" si="2"/>
        <v>-0.32374908928968216</v>
      </c>
    </row>
    <row r="18" spans="1:12" x14ac:dyDescent="0.25">
      <c r="A18" t="e">
        <f>VLOOKUP(B18,#REF!,2,FALSE)</f>
        <v>#REF!</v>
      </c>
      <c r="B18" t="s">
        <v>62</v>
      </c>
      <c r="C18" t="s">
        <v>95</v>
      </c>
      <c r="D18" t="s">
        <v>122</v>
      </c>
      <c r="E18" s="3">
        <v>-1.5469054926030901E-2</v>
      </c>
      <c r="F18" s="3">
        <v>-9.0895552105707544E-3</v>
      </c>
      <c r="G18" s="3">
        <v>-3.9704429938578478E-3</v>
      </c>
      <c r="I18" t="str">
        <f t="shared" si="3"/>
        <v>Trade and vehicle repair</v>
      </c>
      <c r="J18" s="1">
        <f t="shared" si="0"/>
        <v>-1.5469054926030901</v>
      </c>
      <c r="K18" s="1">
        <f t="shared" si="1"/>
        <v>-0.90895552105707544</v>
      </c>
      <c r="L18" s="1">
        <f t="shared" si="2"/>
        <v>-0.39704429938578478</v>
      </c>
    </row>
    <row r="19" spans="1:12" x14ac:dyDescent="0.25">
      <c r="A19" t="e">
        <f>VLOOKUP(B19,#REF!,2,FALSE)</f>
        <v>#REF!</v>
      </c>
      <c r="B19" t="s">
        <v>65</v>
      </c>
      <c r="C19" t="s">
        <v>98</v>
      </c>
      <c r="D19" t="s">
        <v>124</v>
      </c>
      <c r="E19" s="3">
        <v>-1.6343861480422661E-2</v>
      </c>
      <c r="F19" s="3">
        <v>-9.6035880660186868E-3</v>
      </c>
      <c r="G19" s="3">
        <v>-4.1949796298366149E-3</v>
      </c>
      <c r="I19" t="str">
        <f t="shared" si="3"/>
        <v>Media and telecom</v>
      </c>
      <c r="J19" s="1">
        <f t="shared" si="0"/>
        <v>-1.6343861480422661</v>
      </c>
      <c r="K19" s="1">
        <f t="shared" si="1"/>
        <v>-0.96035880660186868</v>
      </c>
      <c r="L19" s="1">
        <f t="shared" si="2"/>
        <v>-0.41949796298366149</v>
      </c>
    </row>
    <row r="20" spans="1:12" x14ac:dyDescent="0.25">
      <c r="A20" t="e">
        <f>VLOOKUP(B20,#REF!,2,FALSE)</f>
        <v>#REF!</v>
      </c>
      <c r="B20" t="s">
        <v>59</v>
      </c>
      <c r="C20" t="s">
        <v>89</v>
      </c>
      <c r="D20" t="s">
        <v>116</v>
      </c>
      <c r="E20" s="3">
        <v>-1.7587281762036389E-2</v>
      </c>
      <c r="F20" s="3">
        <v>-1.0334216882951441E-2</v>
      </c>
      <c r="G20" s="3">
        <v>-4.514128367051562E-3</v>
      </c>
      <c r="I20" t="str">
        <f t="shared" si="3"/>
        <v>Furniture and crafts manufacturing</v>
      </c>
      <c r="J20" s="1">
        <f t="shared" si="0"/>
        <v>-1.7587281762036389</v>
      </c>
      <c r="K20" s="1">
        <f t="shared" si="1"/>
        <v>-1.0334216882951441</v>
      </c>
      <c r="L20" s="1">
        <f t="shared" si="2"/>
        <v>-0.4514128367051562</v>
      </c>
    </row>
    <row r="21" spans="1:12" x14ac:dyDescent="0.25">
      <c r="A21" t="e">
        <f>VLOOKUP(B21,#REF!,2,FALSE)</f>
        <v>#REF!</v>
      </c>
      <c r="B21" t="s">
        <v>66</v>
      </c>
      <c r="C21" t="s">
        <v>99</v>
      </c>
      <c r="D21" t="s">
        <v>125</v>
      </c>
      <c r="E21" s="3">
        <v>-1.901561861595813E-2</v>
      </c>
      <c r="F21" s="3">
        <v>-1.1173501943034125E-2</v>
      </c>
      <c r="G21" s="3">
        <v>-4.8807396488423915E-3</v>
      </c>
      <c r="I21" t="str">
        <f t="shared" si="3"/>
        <v>Finance and insurance</v>
      </c>
      <c r="J21" s="1">
        <f t="shared" si="0"/>
        <v>-1.901561861595813</v>
      </c>
      <c r="K21" s="1">
        <f t="shared" si="1"/>
        <v>-1.1173501943034125</v>
      </c>
      <c r="L21" s="1">
        <f t="shared" si="2"/>
        <v>-0.48807396488423915</v>
      </c>
    </row>
    <row r="22" spans="1:12" x14ac:dyDescent="0.25">
      <c r="A22" t="e">
        <f>VLOOKUP(B22,#REF!,2,FALSE)</f>
        <v>#REF!</v>
      </c>
      <c r="B22" t="s">
        <v>67</v>
      </c>
      <c r="C22" t="s">
        <v>101</v>
      </c>
      <c r="D22" t="s">
        <v>127</v>
      </c>
      <c r="E22" s="3">
        <v>-3.4812351877673731E-2</v>
      </c>
      <c r="F22" s="3">
        <v>-2.0455599641672206E-2</v>
      </c>
      <c r="G22" s="3">
        <v>-8.9352878552276804E-3</v>
      </c>
      <c r="I22" t="str">
        <f t="shared" si="3"/>
        <v>Professional and technical services</v>
      </c>
      <c r="J22" s="1">
        <f t="shared" si="0"/>
        <v>-3.4812351877673731</v>
      </c>
      <c r="K22" s="1">
        <f t="shared" si="1"/>
        <v>-2.0455599641672206</v>
      </c>
      <c r="L22" s="1">
        <f t="shared" si="2"/>
        <v>-0.89352878552276804</v>
      </c>
    </row>
    <row r="23" spans="1:12" x14ac:dyDescent="0.25">
      <c r="A23" t="e">
        <f>VLOOKUP(B23,#REF!,2,FALSE)</f>
        <v>#REF!</v>
      </c>
      <c r="B23" t="s">
        <v>60</v>
      </c>
      <c r="C23" t="s">
        <v>90</v>
      </c>
      <c r="D23" t="s">
        <v>117</v>
      </c>
      <c r="E23" s="3">
        <v>-3.5090976250128025E-2</v>
      </c>
      <c r="F23" s="3">
        <v>-2.0619318215854832E-2</v>
      </c>
      <c r="G23" s="3">
        <v>-9.006802384901369E-3</v>
      </c>
      <c r="I23" t="str">
        <f t="shared" si="3"/>
        <v>Energy supply</v>
      </c>
      <c r="J23" s="1">
        <f t="shared" si="0"/>
        <v>-3.5090976250128025</v>
      </c>
      <c r="K23" s="1">
        <f t="shared" si="1"/>
        <v>-2.0619318215854832</v>
      </c>
      <c r="L23" s="1">
        <f t="shared" si="2"/>
        <v>-0.9006802384901369</v>
      </c>
    </row>
    <row r="24" spans="1:12" x14ac:dyDescent="0.25">
      <c r="A24">
        <v>10</v>
      </c>
      <c r="B24" t="s">
        <v>57</v>
      </c>
      <c r="C24" t="s">
        <v>87</v>
      </c>
      <c r="D24" t="s">
        <v>114</v>
      </c>
      <c r="E24" s="3">
        <v>-6.1399209406144739E-2</v>
      </c>
      <c r="F24" s="3">
        <v>-3.6077931486519277E-2</v>
      </c>
      <c r="G24" s="3">
        <v>-1.5759337721711342E-2</v>
      </c>
      <c r="I24" t="str">
        <f t="shared" si="3"/>
        <v>Chemicals and pharmaceuticals manufacturing</v>
      </c>
      <c r="J24" s="1">
        <f t="shared" si="0"/>
        <v>-6.1399209406144735</v>
      </c>
      <c r="K24" s="1">
        <f t="shared" si="1"/>
        <v>-3.6077931486519277</v>
      </c>
      <c r="L24" s="1">
        <f t="shared" si="2"/>
        <v>-1.5759337721711342</v>
      </c>
    </row>
    <row r="25" spans="1:12" x14ac:dyDescent="0.25">
      <c r="A25" t="e">
        <f>VLOOKUP(B25,#REF!,2,FALSE)</f>
        <v>#REF!</v>
      </c>
      <c r="B25" t="s">
        <v>2</v>
      </c>
      <c r="C25" t="s">
        <v>83</v>
      </c>
      <c r="D25" t="s">
        <v>83</v>
      </c>
      <c r="E25" s="3">
        <v>-7.8508671410462361E-2</v>
      </c>
      <c r="F25" s="3">
        <v>-4.6131383378380297E-2</v>
      </c>
      <c r="G25" s="3">
        <v>-2.0150824070977458E-2</v>
      </c>
      <c r="I25" t="str">
        <f t="shared" si="3"/>
        <v>Extraction of other mines and quarries</v>
      </c>
      <c r="J25" s="1">
        <f t="shared" si="0"/>
        <v>-7.8508671410462361</v>
      </c>
      <c r="K25" s="1">
        <f t="shared" si="1"/>
        <v>-4.6131383378380297</v>
      </c>
      <c r="L25" s="1">
        <f t="shared" si="2"/>
        <v>-2.0150824070977458</v>
      </c>
    </row>
    <row r="26" spans="1:12" x14ac:dyDescent="0.25">
      <c r="A26" t="e">
        <f>VLOOKUP(B26,#REF!,2,FALSE)</f>
        <v>#REF!</v>
      </c>
      <c r="B26" t="s">
        <v>1</v>
      </c>
      <c r="C26" t="s">
        <v>82</v>
      </c>
      <c r="D26" t="s">
        <v>82</v>
      </c>
      <c r="E26" s="3">
        <v>-7.8508671410463027E-2</v>
      </c>
      <c r="F26" s="3">
        <v>-4.6131383378380519E-2</v>
      </c>
      <c r="G26" s="3">
        <v>-2.0150824070978013E-2</v>
      </c>
      <c r="I26" t="str">
        <f t="shared" si="3"/>
        <v>Extraction of metal ores</v>
      </c>
      <c r="J26" s="1">
        <f t="shared" si="0"/>
        <v>-7.8508671410463027</v>
      </c>
      <c r="K26" s="1">
        <f t="shared" si="1"/>
        <v>-4.6131383378380519</v>
      </c>
      <c r="L26" s="1">
        <f t="shared" si="2"/>
        <v>-2.0150824070978013</v>
      </c>
    </row>
    <row r="27" spans="1:12" x14ac:dyDescent="0.25">
      <c r="A27" t="e">
        <f>VLOOKUP(B27,#REF!,2,FALSE)</f>
        <v>#REF!</v>
      </c>
      <c r="B27" t="s">
        <v>8</v>
      </c>
      <c r="C27" t="s">
        <v>81</v>
      </c>
      <c r="D27" t="s">
        <v>110</v>
      </c>
      <c r="E27" s="3">
        <v>-7.8508671410463138E-2</v>
      </c>
      <c r="F27" s="3">
        <v>-4.6131383378380963E-2</v>
      </c>
      <c r="G27" s="3">
        <v>-2.0150824070977458E-2</v>
      </c>
      <c r="I27" t="str">
        <f t="shared" si="3"/>
        <v>Mining support services</v>
      </c>
      <c r="J27" s="1">
        <f t="shared" si="0"/>
        <v>-7.8508671410463133</v>
      </c>
      <c r="K27" s="1">
        <f t="shared" si="1"/>
        <v>-4.6131383378380963</v>
      </c>
      <c r="L27" s="1">
        <f t="shared" si="2"/>
        <v>-2.0150824070977458</v>
      </c>
    </row>
    <row r="28" spans="1:12" x14ac:dyDescent="0.25">
      <c r="A28" t="e">
        <f>VLOOKUP(B28,#REF!,2,FALSE)</f>
        <v>#REF!</v>
      </c>
      <c r="B28" t="s">
        <v>0</v>
      </c>
      <c r="C28" t="s">
        <v>79</v>
      </c>
      <c r="D28" t="s">
        <v>108</v>
      </c>
      <c r="E28" s="3">
        <v>-7.8508671410463249E-2</v>
      </c>
      <c r="F28" s="3">
        <v>-4.6131383378380408E-2</v>
      </c>
      <c r="G28" s="3">
        <v>-2.0150824070977569E-2</v>
      </c>
      <c r="I28" t="str">
        <f t="shared" si="3"/>
        <v>Coal mining</v>
      </c>
      <c r="J28" s="1">
        <f t="shared" si="0"/>
        <v>-7.8508671410463249</v>
      </c>
      <c r="K28" s="1">
        <f t="shared" si="1"/>
        <v>-4.6131383378380413</v>
      </c>
      <c r="L28" s="1">
        <f t="shared" si="2"/>
        <v>-2.0150824070977569</v>
      </c>
    </row>
    <row r="29" spans="1:12" x14ac:dyDescent="0.25">
      <c r="A29" t="e">
        <f>VLOOKUP(B29,#REF!,2,FALSE)</f>
        <v>#REF!</v>
      </c>
      <c r="B29" t="s">
        <v>63</v>
      </c>
      <c r="C29" t="s">
        <v>96</v>
      </c>
      <c r="D29" t="s">
        <v>96</v>
      </c>
      <c r="E29" s="3">
        <v>-8.3065005383475721E-2</v>
      </c>
      <c r="F29" s="3">
        <v>-4.8808667117014592E-2</v>
      </c>
      <c r="G29" s="3">
        <v>-2.1320298507996105E-2</v>
      </c>
      <c r="I29" t="str">
        <f t="shared" si="3"/>
        <v>Transportation and storage</v>
      </c>
      <c r="J29" s="1">
        <f t="shared" si="0"/>
        <v>-8.3065005383475725</v>
      </c>
      <c r="K29" s="1">
        <f t="shared" si="1"/>
        <v>-4.8808667117014597</v>
      </c>
      <c r="L29" s="1">
        <f t="shared" si="2"/>
        <v>-2.1320298507996105</v>
      </c>
    </row>
    <row r="30" spans="1:12" x14ac:dyDescent="0.25">
      <c r="A30" t="e">
        <f>VLOOKUP(B30,#REF!,2,FALSE)</f>
        <v>#REF!</v>
      </c>
      <c r="B30" t="s">
        <v>7</v>
      </c>
      <c r="C30" t="s">
        <v>80</v>
      </c>
      <c r="D30" t="s">
        <v>109</v>
      </c>
      <c r="E30" s="3">
        <v>-0.50870535495194025</v>
      </c>
      <c r="F30" s="3">
        <v>-0.25767284797051049</v>
      </c>
      <c r="G30" s="3">
        <v>-0.10402192689455492</v>
      </c>
      <c r="I30" t="str">
        <f>D30</f>
        <v>Oil and gas extraction</v>
      </c>
      <c r="J30" s="1">
        <f t="shared" si="0"/>
        <v>-50.870535495194027</v>
      </c>
      <c r="K30" s="1">
        <f t="shared" si="1"/>
        <v>-25.767284797051047</v>
      </c>
      <c r="L30" s="1">
        <f t="shared" si="2"/>
        <v>-10.402192689455491</v>
      </c>
    </row>
    <row r="33" spans="4:7" x14ac:dyDescent="0.25">
      <c r="D33" t="s">
        <v>134</v>
      </c>
      <c r="E33" s="2">
        <v>-3.4571669540990176E-2</v>
      </c>
      <c r="F33" s="2">
        <v>-1.9133511864622248E-2</v>
      </c>
      <c r="G33" s="2">
        <v>-8.1134884316338644E-3</v>
      </c>
    </row>
    <row r="34" spans="4:7" x14ac:dyDescent="0.25">
      <c r="D34" t="s">
        <v>135</v>
      </c>
      <c r="E34" s="2">
        <v>-1.9143763124489517E-2</v>
      </c>
      <c r="F34" s="2">
        <v>-1.1055406118037047E-2</v>
      </c>
      <c r="G34" s="2">
        <v>-4.7891384666584663E-3</v>
      </c>
    </row>
    <row r="35" spans="4:7" x14ac:dyDescent="0.25">
      <c r="D35" t="s">
        <v>136</v>
      </c>
      <c r="E35" s="4">
        <f>E34/E33</f>
        <v>0.55374135466010865</v>
      </c>
      <c r="F35" s="4">
        <f t="shared" ref="F35:G35" si="4">F34/F33</f>
        <v>0.57780329070056546</v>
      </c>
      <c r="G35" s="4">
        <f t="shared" si="4"/>
        <v>0.5902687243610264</v>
      </c>
    </row>
    <row r="37" spans="4:7" x14ac:dyDescent="0.25">
      <c r="E37" s="5">
        <v>-371391.93361085467</v>
      </c>
      <c r="F37" s="5">
        <v>-214476.57016705477</v>
      </c>
      <c r="G37" s="5">
        <v>-92910.01899135964</v>
      </c>
    </row>
  </sheetData>
  <autoFilter ref="A1:G1" xr:uid="{CB461B06-3595-416E-823A-66E282C759E7}">
    <sortState xmlns:xlrd2="http://schemas.microsoft.com/office/spreadsheetml/2017/richdata2" ref="A2:G30">
      <sortCondition descending="1" ref="E1"/>
    </sortState>
  </autoFilter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119A0-0500-41E9-ABFE-5C7BAA1EE2F0}">
  <sheetPr codeName="Hoja5"/>
  <dimension ref="A1:L91"/>
  <sheetViews>
    <sheetView topLeftCell="A16" zoomScale="124" workbookViewId="0">
      <selection activeCell="E35" sqref="E35"/>
    </sheetView>
  </sheetViews>
  <sheetFormatPr baseColWidth="10" defaultRowHeight="14.3" x14ac:dyDescent="0.25"/>
  <cols>
    <col min="1" max="1" width="11" customWidth="1"/>
    <col min="2" max="2" width="23.125" customWidth="1"/>
    <col min="3" max="3" width="22.5" customWidth="1"/>
    <col min="4" max="4" width="17.625" customWidth="1"/>
    <col min="5" max="7" width="16.625" customWidth="1"/>
  </cols>
  <sheetData>
    <row r="1" spans="1:12" x14ac:dyDescent="0.25">
      <c r="D1" t="s">
        <v>138</v>
      </c>
      <c r="E1" t="s">
        <v>132</v>
      </c>
      <c r="F1" t="s">
        <v>133</v>
      </c>
      <c r="G1" t="s">
        <v>137</v>
      </c>
    </row>
    <row r="2" spans="1:12" x14ac:dyDescent="0.25">
      <c r="A2" t="e">
        <f>VLOOKUP(B2,#REF!,2,FALSE)</f>
        <v>#REF!</v>
      </c>
      <c r="B2" t="s">
        <v>70</v>
      </c>
      <c r="C2" t="s">
        <v>106</v>
      </c>
      <c r="D2" t="s">
        <v>131</v>
      </c>
      <c r="E2" s="3">
        <v>0</v>
      </c>
      <c r="F2" s="3">
        <f t="shared" ref="F2:F30" si="0">E2/2</f>
        <v>0</v>
      </c>
      <c r="G2" s="3">
        <f t="shared" ref="G2:G30" si="1">E2/5</f>
        <v>0</v>
      </c>
    </row>
    <row r="3" spans="1:12" x14ac:dyDescent="0.25">
      <c r="A3" t="e">
        <f>VLOOKUP(B3,#REF!,2,FALSE)</f>
        <v>#REF!</v>
      </c>
      <c r="B3" t="s">
        <v>4</v>
      </c>
      <c r="C3" t="s">
        <v>93</v>
      </c>
      <c r="D3" t="s">
        <v>120</v>
      </c>
      <c r="E3" s="3">
        <v>2.9506008403901163E-5</v>
      </c>
      <c r="F3" s="3">
        <f t="shared" si="0"/>
        <v>1.4753004201950581E-5</v>
      </c>
      <c r="G3" s="3">
        <f t="shared" si="1"/>
        <v>5.9012016807802322E-6</v>
      </c>
    </row>
    <row r="4" spans="1:12" x14ac:dyDescent="0.25">
      <c r="A4" t="e">
        <f>VLOOKUP(B4,#REF!,2,FALSE)</f>
        <v>#REF!</v>
      </c>
      <c r="B4" t="s">
        <v>10</v>
      </c>
      <c r="C4" t="s">
        <v>104</v>
      </c>
      <c r="D4" t="s">
        <v>129</v>
      </c>
      <c r="E4" s="3">
        <v>3.3013270530402039E-5</v>
      </c>
      <c r="F4" s="3">
        <f t="shared" si="0"/>
        <v>1.650663526520102E-5</v>
      </c>
      <c r="G4" s="3">
        <f t="shared" si="1"/>
        <v>6.6026541060804076E-6</v>
      </c>
    </row>
    <row r="5" spans="1:12" x14ac:dyDescent="0.25">
      <c r="A5" t="e">
        <f>VLOOKUP(B5,#REF!,2,FALSE)</f>
        <v>#REF!</v>
      </c>
      <c r="B5" t="s">
        <v>3</v>
      </c>
      <c r="C5" t="s">
        <v>92</v>
      </c>
      <c r="D5" t="s">
        <v>119</v>
      </c>
      <c r="E5" s="3">
        <v>9.6838605494697916E-5</v>
      </c>
      <c r="F5" s="3">
        <f t="shared" si="0"/>
        <v>4.8419302747348958E-5</v>
      </c>
      <c r="G5" s="3">
        <f t="shared" si="1"/>
        <v>1.9367721098939582E-5</v>
      </c>
    </row>
    <row r="6" spans="1:12" x14ac:dyDescent="0.25">
      <c r="A6" t="e">
        <f>VLOOKUP(B6,#REF!,2,FALSE)</f>
        <v>#REF!</v>
      </c>
      <c r="B6" t="s">
        <v>68</v>
      </c>
      <c r="C6" t="s">
        <v>103</v>
      </c>
      <c r="D6" t="s">
        <v>103</v>
      </c>
      <c r="E6" s="3">
        <v>3.2768071930266984E-4</v>
      </c>
      <c r="F6" s="3">
        <f t="shared" si="0"/>
        <v>1.6384035965133492E-4</v>
      </c>
      <c r="G6" s="3">
        <f t="shared" si="1"/>
        <v>6.5536143860533963E-5</v>
      </c>
    </row>
    <row r="7" spans="1:12" x14ac:dyDescent="0.25">
      <c r="A7" t="e">
        <f>VLOOKUP(B7,#REF!,2,FALSE)</f>
        <v>#REF!</v>
      </c>
      <c r="B7" t="s">
        <v>9</v>
      </c>
      <c r="C7" t="s">
        <v>102</v>
      </c>
      <c r="D7" t="s">
        <v>128</v>
      </c>
      <c r="E7" s="3">
        <v>3.4938828922936871E-4</v>
      </c>
      <c r="F7" s="3">
        <f t="shared" si="0"/>
        <v>1.7469414461468435E-4</v>
      </c>
      <c r="G7" s="3">
        <f t="shared" si="1"/>
        <v>6.9877657845873745E-5</v>
      </c>
    </row>
    <row r="8" spans="1:12" x14ac:dyDescent="0.25">
      <c r="A8">
        <v>13</v>
      </c>
      <c r="B8" t="s">
        <v>58</v>
      </c>
      <c r="C8" t="s">
        <v>88</v>
      </c>
      <c r="D8" t="s">
        <v>115</v>
      </c>
      <c r="E8" s="3">
        <v>1.2289591835472624E-3</v>
      </c>
      <c r="F8" s="3">
        <f t="shared" si="0"/>
        <v>6.1447959177363121E-4</v>
      </c>
      <c r="G8" s="3">
        <f t="shared" si="1"/>
        <v>2.4579183670945246E-4</v>
      </c>
    </row>
    <row r="9" spans="1:12" x14ac:dyDescent="0.25">
      <c r="A9" t="e">
        <f>VLOOKUP(B9,#REF!,2,FALSE)</f>
        <v>#REF!</v>
      </c>
      <c r="B9" t="s">
        <v>7</v>
      </c>
      <c r="C9" t="s">
        <v>80</v>
      </c>
      <c r="D9" t="s">
        <v>109</v>
      </c>
      <c r="E9" s="3">
        <v>2.0660959961056324E-3</v>
      </c>
      <c r="F9" s="3">
        <f t="shared" si="0"/>
        <v>1.0330479980528162E-3</v>
      </c>
      <c r="G9" s="3">
        <f t="shared" si="1"/>
        <v>4.1321919922112651E-4</v>
      </c>
    </row>
    <row r="10" spans="1:12" x14ac:dyDescent="0.25">
      <c r="A10" t="e">
        <f>VLOOKUP(B10,#REF!,2,FALSE)</f>
        <v>#REF!</v>
      </c>
      <c r="B10" t="s">
        <v>8</v>
      </c>
      <c r="C10" t="s">
        <v>81</v>
      </c>
      <c r="D10" t="s">
        <v>110</v>
      </c>
      <c r="E10" s="3">
        <v>2.0660959961056324E-3</v>
      </c>
      <c r="F10" s="3">
        <f t="shared" si="0"/>
        <v>1.0330479980528162E-3</v>
      </c>
      <c r="G10" s="3">
        <f t="shared" si="1"/>
        <v>4.1321919922112651E-4</v>
      </c>
    </row>
    <row r="11" spans="1:12" x14ac:dyDescent="0.25">
      <c r="A11" t="e">
        <f>VLOOKUP(B11,#REF!,2,FALSE)</f>
        <v>#REF!</v>
      </c>
      <c r="B11" t="s">
        <v>2</v>
      </c>
      <c r="C11" t="s">
        <v>83</v>
      </c>
      <c r="D11" t="s">
        <v>83</v>
      </c>
      <c r="E11" s="3">
        <v>2.0660959961056324E-3</v>
      </c>
      <c r="F11" s="3">
        <f t="shared" si="0"/>
        <v>1.0330479980528162E-3</v>
      </c>
      <c r="G11" s="3">
        <f t="shared" si="1"/>
        <v>4.1321919922112651E-4</v>
      </c>
    </row>
    <row r="12" spans="1:12" x14ac:dyDescent="0.25">
      <c r="A12" t="e">
        <f>VLOOKUP(B12,#REF!,2,FALSE)</f>
        <v>#REF!</v>
      </c>
      <c r="B12" t="s">
        <v>1</v>
      </c>
      <c r="C12" t="s">
        <v>82</v>
      </c>
      <c r="D12" t="s">
        <v>82</v>
      </c>
      <c r="E12" s="3">
        <v>2.0660959961060765E-3</v>
      </c>
      <c r="F12" s="3">
        <f t="shared" si="0"/>
        <v>1.0330479980530383E-3</v>
      </c>
      <c r="G12" s="3">
        <f t="shared" si="1"/>
        <v>4.1321919922121531E-4</v>
      </c>
    </row>
    <row r="13" spans="1:12" x14ac:dyDescent="0.25">
      <c r="A13" t="e">
        <f>VLOOKUP(B13,#REF!,2,FALSE)</f>
        <v>#REF!</v>
      </c>
      <c r="B13" t="s">
        <v>0</v>
      </c>
      <c r="C13" t="s">
        <v>79</v>
      </c>
      <c r="D13" t="s">
        <v>108</v>
      </c>
      <c r="E13" s="3">
        <v>2.0660959961062986E-3</v>
      </c>
      <c r="F13" s="3">
        <f t="shared" si="0"/>
        <v>1.0330479980531493E-3</v>
      </c>
      <c r="G13" s="3">
        <f t="shared" si="1"/>
        <v>4.132191992212597E-4</v>
      </c>
    </row>
    <row r="14" spans="1:12" x14ac:dyDescent="0.25">
      <c r="A14">
        <v>8</v>
      </c>
      <c r="B14" t="s">
        <v>55</v>
      </c>
      <c r="C14" t="s">
        <v>85</v>
      </c>
      <c r="D14" t="s">
        <v>112</v>
      </c>
      <c r="E14" s="3">
        <v>3.1670429333632288E-3</v>
      </c>
      <c r="F14" s="3">
        <f t="shared" si="0"/>
        <v>1.5835214666816144E-3</v>
      </c>
      <c r="G14" s="3">
        <f t="shared" si="1"/>
        <v>6.3340858667264581E-4</v>
      </c>
      <c r="I14" t="s">
        <v>138</v>
      </c>
      <c r="J14" t="s">
        <v>142</v>
      </c>
      <c r="K14" t="s">
        <v>147</v>
      </c>
      <c r="L14" t="s">
        <v>148</v>
      </c>
    </row>
    <row r="15" spans="1:12" x14ac:dyDescent="0.25">
      <c r="A15" t="e">
        <f>VLOOKUP(B15,#REF!,2,FALSE)</f>
        <v>#REF!</v>
      </c>
      <c r="B15" t="s">
        <v>5</v>
      </c>
      <c r="C15" t="s">
        <v>94</v>
      </c>
      <c r="D15" t="s">
        <v>121</v>
      </c>
      <c r="E15" s="3">
        <v>3.5065403750069724E-3</v>
      </c>
      <c r="F15" s="3">
        <f t="shared" si="0"/>
        <v>1.7532701875034862E-3</v>
      </c>
      <c r="G15" s="3">
        <f t="shared" si="1"/>
        <v>7.0130807500139451E-4</v>
      </c>
      <c r="I15" t="s">
        <v>139</v>
      </c>
      <c r="J15" s="1">
        <f>SUM(E2:E15)*100</f>
        <v>1.9069449365407776</v>
      </c>
      <c r="K15" s="1">
        <f>SUM(F2:F15)*100</f>
        <v>0.95347246827038878</v>
      </c>
      <c r="L15" s="1">
        <f>SUM(G2:G15)*100</f>
        <v>0.38138898730815551</v>
      </c>
    </row>
    <row r="16" spans="1:12" x14ac:dyDescent="0.25">
      <c r="A16" t="e">
        <f>VLOOKUP(B16,#REF!,2,FALSE)</f>
        <v>#REF!</v>
      </c>
      <c r="B16" t="s">
        <v>61</v>
      </c>
      <c r="C16" t="s">
        <v>91</v>
      </c>
      <c r="D16" t="s">
        <v>118</v>
      </c>
      <c r="E16" s="3">
        <v>3.7004279554979647E-3</v>
      </c>
      <c r="F16" s="3">
        <f t="shared" si="0"/>
        <v>1.8502139777489823E-3</v>
      </c>
      <c r="G16" s="3">
        <f t="shared" si="1"/>
        <v>7.4008559109959291E-4</v>
      </c>
      <c r="I16" t="str">
        <f t="shared" ref="I16:I29" si="2">D16</f>
        <v>Water management</v>
      </c>
      <c r="J16" s="1">
        <f>E16*100</f>
        <v>0.37004279554979647</v>
      </c>
      <c r="K16" s="1">
        <f>F16*100</f>
        <v>0.18502139777489823</v>
      </c>
      <c r="L16" s="1">
        <f>G16*100</f>
        <v>7.4008559109959293E-2</v>
      </c>
    </row>
    <row r="17" spans="1:12" x14ac:dyDescent="0.25">
      <c r="A17" t="e">
        <f>VLOOKUP(B17,#REF!,2,FALSE)</f>
        <v>#REF!</v>
      </c>
      <c r="B17" t="s">
        <v>66</v>
      </c>
      <c r="C17" t="s">
        <v>99</v>
      </c>
      <c r="D17" t="s">
        <v>125</v>
      </c>
      <c r="E17" s="3">
        <v>4.091957029204174E-3</v>
      </c>
      <c r="F17" s="3">
        <f t="shared" si="0"/>
        <v>2.045978514602087E-3</v>
      </c>
      <c r="G17" s="3">
        <f t="shared" si="1"/>
        <v>8.1839140584083481E-4</v>
      </c>
      <c r="I17" t="str">
        <f t="shared" si="2"/>
        <v>Finance and insurance</v>
      </c>
      <c r="J17" s="1">
        <f t="shared" ref="J17:J30" si="3">E17*100</f>
        <v>0.4091957029204174</v>
      </c>
      <c r="K17" s="1">
        <f t="shared" ref="K17:K30" si="4">F17*100</f>
        <v>0.2045978514602087</v>
      </c>
      <c r="L17" s="1">
        <f t="shared" ref="L17:L30" si="5">G17*100</f>
        <v>8.1839140584083481E-2</v>
      </c>
    </row>
    <row r="18" spans="1:12" x14ac:dyDescent="0.25">
      <c r="A18" t="e">
        <f>VLOOKUP(B18,#REF!,2,FALSE)</f>
        <v>#REF!</v>
      </c>
      <c r="B18" t="s">
        <v>69</v>
      </c>
      <c r="C18" t="s">
        <v>105</v>
      </c>
      <c r="D18" t="s">
        <v>130</v>
      </c>
      <c r="E18" s="3">
        <v>4.0960325171126577E-3</v>
      </c>
      <c r="F18" s="3">
        <f t="shared" si="0"/>
        <v>2.0480162585563289E-3</v>
      </c>
      <c r="G18" s="3">
        <f t="shared" si="1"/>
        <v>8.1920650342253158E-4</v>
      </c>
      <c r="I18" t="str">
        <f t="shared" si="2"/>
        <v>Arts and entertainment</v>
      </c>
      <c r="J18" s="1">
        <f t="shared" si="3"/>
        <v>0.40960325171126577</v>
      </c>
      <c r="K18" s="1">
        <f t="shared" si="4"/>
        <v>0.20480162585563289</v>
      </c>
      <c r="L18" s="1">
        <f t="shared" si="5"/>
        <v>8.1920650342253154E-2</v>
      </c>
    </row>
    <row r="19" spans="1:12" x14ac:dyDescent="0.25">
      <c r="A19" t="e">
        <f>VLOOKUP(B19,#REF!,2,FALSE)</f>
        <v>#REF!</v>
      </c>
      <c r="B19" t="s">
        <v>60</v>
      </c>
      <c r="C19" t="s">
        <v>90</v>
      </c>
      <c r="D19" t="s">
        <v>117</v>
      </c>
      <c r="E19" s="3">
        <v>4.5510971645412734E-3</v>
      </c>
      <c r="F19" s="3">
        <f t="shared" si="0"/>
        <v>2.2755485822706367E-3</v>
      </c>
      <c r="G19" s="3">
        <f t="shared" si="1"/>
        <v>9.1021943290825469E-4</v>
      </c>
      <c r="I19" t="str">
        <f t="shared" si="2"/>
        <v>Energy supply</v>
      </c>
      <c r="J19" s="1">
        <f t="shared" si="3"/>
        <v>0.45510971645412734</v>
      </c>
      <c r="K19" s="1">
        <f t="shared" si="4"/>
        <v>0.22755485822706367</v>
      </c>
      <c r="L19" s="1">
        <f t="shared" si="5"/>
        <v>9.1021943290825469E-2</v>
      </c>
    </row>
    <row r="20" spans="1:12" x14ac:dyDescent="0.25">
      <c r="A20" t="e">
        <f>VLOOKUP(B20,#REF!,2,FALSE)</f>
        <v>#REF!</v>
      </c>
      <c r="B20" t="s">
        <v>59</v>
      </c>
      <c r="C20" t="s">
        <v>89</v>
      </c>
      <c r="D20" t="s">
        <v>116</v>
      </c>
      <c r="E20" s="3">
        <v>4.9006654769949698E-3</v>
      </c>
      <c r="F20" s="3">
        <f t="shared" si="0"/>
        <v>2.4503327384974849E-3</v>
      </c>
      <c r="G20" s="3">
        <f t="shared" si="1"/>
        <v>9.8013309539899405E-4</v>
      </c>
      <c r="I20" t="str">
        <f t="shared" si="2"/>
        <v>Furniture and crafts manufacturing</v>
      </c>
      <c r="J20" s="1">
        <f t="shared" si="3"/>
        <v>0.49006654769949698</v>
      </c>
      <c r="K20" s="1">
        <f t="shared" si="4"/>
        <v>0.24503327384974849</v>
      </c>
      <c r="L20" s="1">
        <f t="shared" si="5"/>
        <v>9.801330953989941E-2</v>
      </c>
    </row>
    <row r="21" spans="1:12" x14ac:dyDescent="0.25">
      <c r="A21" t="e">
        <f>VLOOKUP(B21,#REF!,2,FALSE)</f>
        <v>#REF!</v>
      </c>
      <c r="B21" t="s">
        <v>65</v>
      </c>
      <c r="C21" t="s">
        <v>98</v>
      </c>
      <c r="D21" t="s">
        <v>124</v>
      </c>
      <c r="E21" s="3">
        <v>5.6049567835867453E-3</v>
      </c>
      <c r="F21" s="3">
        <f t="shared" si="0"/>
        <v>2.8024783917933727E-3</v>
      </c>
      <c r="G21" s="3">
        <f t="shared" si="1"/>
        <v>1.120991356717349E-3</v>
      </c>
      <c r="I21" t="str">
        <f t="shared" si="2"/>
        <v>Media and telecom</v>
      </c>
      <c r="J21" s="1">
        <f t="shared" si="3"/>
        <v>0.56049567835867453</v>
      </c>
      <c r="K21" s="1">
        <f t="shared" si="4"/>
        <v>0.28024783917933727</v>
      </c>
      <c r="L21" s="1">
        <f t="shared" si="5"/>
        <v>0.11209913567173491</v>
      </c>
    </row>
    <row r="22" spans="1:12" x14ac:dyDescent="0.25">
      <c r="A22" t="e">
        <f>VLOOKUP(B22,#REF!,2,FALSE)</f>
        <v>#REF!</v>
      </c>
      <c r="B22" t="s">
        <v>6</v>
      </c>
      <c r="C22" t="s">
        <v>100</v>
      </c>
      <c r="D22" t="s">
        <v>126</v>
      </c>
      <c r="E22" s="3">
        <v>5.6669906474622334E-3</v>
      </c>
      <c r="F22" s="3">
        <f t="shared" si="0"/>
        <v>2.8334953237311167E-3</v>
      </c>
      <c r="G22" s="3">
        <f t="shared" si="1"/>
        <v>1.1333981294924466E-3</v>
      </c>
      <c r="I22" t="str">
        <f t="shared" si="2"/>
        <v>Real estate</v>
      </c>
      <c r="J22" s="1">
        <f t="shared" si="3"/>
        <v>0.56669906474622334</v>
      </c>
      <c r="K22" s="1">
        <f t="shared" si="4"/>
        <v>0.28334953237311167</v>
      </c>
      <c r="L22" s="1">
        <f t="shared" si="5"/>
        <v>0.11333981294924465</v>
      </c>
    </row>
    <row r="23" spans="1:12" x14ac:dyDescent="0.25">
      <c r="A23">
        <v>10</v>
      </c>
      <c r="B23" t="s">
        <v>57</v>
      </c>
      <c r="C23" t="s">
        <v>87</v>
      </c>
      <c r="D23" t="s">
        <v>114</v>
      </c>
      <c r="E23" s="3">
        <v>6.8335265552879054E-3</v>
      </c>
      <c r="F23" s="3">
        <f t="shared" si="0"/>
        <v>3.4167632776439527E-3</v>
      </c>
      <c r="G23" s="3">
        <f t="shared" si="1"/>
        <v>1.3667053110575811E-3</v>
      </c>
      <c r="I23" t="str">
        <f t="shared" si="2"/>
        <v>Chemicals and pharmaceuticals manufacturing</v>
      </c>
      <c r="J23" s="1">
        <f t="shared" si="3"/>
        <v>0.68335265552879054</v>
      </c>
      <c r="K23" s="1">
        <f t="shared" si="4"/>
        <v>0.34167632776439527</v>
      </c>
      <c r="L23" s="1">
        <f t="shared" si="5"/>
        <v>0.13667053110575811</v>
      </c>
    </row>
    <row r="24" spans="1:12" x14ac:dyDescent="0.25">
      <c r="A24">
        <v>9</v>
      </c>
      <c r="B24" t="s">
        <v>56</v>
      </c>
      <c r="C24" t="s">
        <v>86</v>
      </c>
      <c r="D24" t="s">
        <v>113</v>
      </c>
      <c r="E24" s="3">
        <v>7.3360112390867815E-3</v>
      </c>
      <c r="F24" s="3">
        <f t="shared" si="0"/>
        <v>3.6680056195433908E-3</v>
      </c>
      <c r="G24" s="3">
        <f t="shared" si="1"/>
        <v>1.4672022478173564E-3</v>
      </c>
      <c r="I24" t="str">
        <f t="shared" si="2"/>
        <v>Wood and paper production</v>
      </c>
      <c r="J24" s="1">
        <f t="shared" si="3"/>
        <v>0.73360112390867815</v>
      </c>
      <c r="K24" s="1">
        <f t="shared" si="4"/>
        <v>0.36680056195433908</v>
      </c>
      <c r="L24" s="1">
        <f t="shared" si="5"/>
        <v>0.14672022478173563</v>
      </c>
    </row>
    <row r="25" spans="1:12" x14ac:dyDescent="0.25">
      <c r="A25" t="e">
        <f>VLOOKUP(B25,#REF!,2,FALSE)</f>
        <v>#REF!</v>
      </c>
      <c r="B25" t="s">
        <v>63</v>
      </c>
      <c r="C25" t="s">
        <v>96</v>
      </c>
      <c r="D25" t="s">
        <v>96</v>
      </c>
      <c r="E25" s="3">
        <v>7.6500645805408496E-3</v>
      </c>
      <c r="F25" s="3">
        <f t="shared" si="0"/>
        <v>3.8250322902704248E-3</v>
      </c>
      <c r="G25" s="3">
        <f t="shared" si="1"/>
        <v>1.5300129161081699E-3</v>
      </c>
      <c r="I25" t="str">
        <f t="shared" si="2"/>
        <v>Transportation and storage</v>
      </c>
      <c r="J25" s="1">
        <f t="shared" si="3"/>
        <v>0.76500645805408496</v>
      </c>
      <c r="K25" s="1">
        <f t="shared" si="4"/>
        <v>0.38250322902704248</v>
      </c>
      <c r="L25" s="1">
        <f t="shared" si="5"/>
        <v>0.15300129161081699</v>
      </c>
    </row>
    <row r="26" spans="1:12" x14ac:dyDescent="0.25">
      <c r="A26" t="e">
        <f>VLOOKUP(B26,#REF!,2,FALSE)</f>
        <v>#REF!</v>
      </c>
      <c r="B26" t="s">
        <v>62</v>
      </c>
      <c r="C26" t="s">
        <v>95</v>
      </c>
      <c r="D26" t="s">
        <v>122</v>
      </c>
      <c r="E26" s="3">
        <v>8.0338474626311385E-3</v>
      </c>
      <c r="F26" s="3">
        <f t="shared" si="0"/>
        <v>4.0169237313155692E-3</v>
      </c>
      <c r="G26" s="3">
        <f t="shared" si="1"/>
        <v>1.6067694925262278E-3</v>
      </c>
      <c r="I26" t="str">
        <f t="shared" si="2"/>
        <v>Trade and vehicle repair</v>
      </c>
      <c r="J26" s="1">
        <f t="shared" si="3"/>
        <v>0.80338474626311385</v>
      </c>
      <c r="K26" s="1">
        <f t="shared" si="4"/>
        <v>0.40169237313155692</v>
      </c>
      <c r="L26" s="1">
        <f t="shared" si="5"/>
        <v>0.16067694925262277</v>
      </c>
    </row>
    <row r="27" spans="1:12" x14ac:dyDescent="0.25">
      <c r="A27" t="e">
        <f>VLOOKUP(B27,#REF!,2,FALSE)</f>
        <v>#REF!</v>
      </c>
      <c r="B27" t="s">
        <v>67</v>
      </c>
      <c r="C27" t="s">
        <v>101</v>
      </c>
      <c r="D27" t="s">
        <v>127</v>
      </c>
      <c r="E27" s="3">
        <v>8.3071864900854386E-3</v>
      </c>
      <c r="F27" s="3">
        <f t="shared" si="0"/>
        <v>4.1535932450427193E-3</v>
      </c>
      <c r="G27" s="3">
        <f t="shared" si="1"/>
        <v>1.6614372980170878E-3</v>
      </c>
      <c r="I27" t="str">
        <f t="shared" si="2"/>
        <v>Professional and technical services</v>
      </c>
      <c r="J27" s="1">
        <f t="shared" si="3"/>
        <v>0.83071864900854386</v>
      </c>
      <c r="K27" s="1">
        <f t="shared" si="4"/>
        <v>0.41535932450427193</v>
      </c>
      <c r="L27" s="1">
        <f t="shared" si="5"/>
        <v>0.16614372980170877</v>
      </c>
    </row>
    <row r="28" spans="1:12" x14ac:dyDescent="0.25">
      <c r="A28">
        <v>1</v>
      </c>
      <c r="B28" t="s">
        <v>53</v>
      </c>
      <c r="C28" t="s">
        <v>78</v>
      </c>
      <c r="D28" t="s">
        <v>107</v>
      </c>
      <c r="E28" s="3">
        <v>2.151468439019566E-2</v>
      </c>
      <c r="F28" s="3">
        <f t="shared" si="0"/>
        <v>1.075734219509783E-2</v>
      </c>
      <c r="G28" s="3">
        <f t="shared" si="1"/>
        <v>4.3029368780391321E-3</v>
      </c>
      <c r="I28" t="str">
        <f t="shared" si="2"/>
        <v>Agriculture and fishing</v>
      </c>
      <c r="J28" s="1">
        <f t="shared" si="3"/>
        <v>2.151468439019566</v>
      </c>
      <c r="K28" s="1">
        <f t="shared" si="4"/>
        <v>1.075734219509783</v>
      </c>
      <c r="L28" s="1">
        <f t="shared" si="5"/>
        <v>0.43029368780391319</v>
      </c>
    </row>
    <row r="29" spans="1:12" x14ac:dyDescent="0.25">
      <c r="A29" t="e">
        <f>VLOOKUP(B29,#REF!,2,FALSE)</f>
        <v>#REF!</v>
      </c>
      <c r="B29" t="s">
        <v>54</v>
      </c>
      <c r="C29" t="s">
        <v>84</v>
      </c>
      <c r="D29" t="s">
        <v>111</v>
      </c>
      <c r="E29" s="3">
        <v>2.3675878570316167E-2</v>
      </c>
      <c r="F29" s="3">
        <f t="shared" si="0"/>
        <v>1.1837939285158083E-2</v>
      </c>
      <c r="G29" s="3">
        <f t="shared" si="1"/>
        <v>4.7351757140632333E-3</v>
      </c>
      <c r="I29" t="str">
        <f t="shared" si="2"/>
        <v>Food and beverage processing</v>
      </c>
      <c r="J29" s="1">
        <f t="shared" si="3"/>
        <v>2.3675878570316167</v>
      </c>
      <c r="K29" s="1">
        <f t="shared" si="4"/>
        <v>1.1837939285158083</v>
      </c>
      <c r="L29" s="1">
        <f t="shared" si="5"/>
        <v>0.47351757140632333</v>
      </c>
    </row>
    <row r="30" spans="1:12" x14ac:dyDescent="0.25">
      <c r="A30" t="e">
        <f>VLOOKUP(B30,#REF!,2,FALSE)</f>
        <v>#REF!</v>
      </c>
      <c r="B30" t="s">
        <v>64</v>
      </c>
      <c r="C30" t="s">
        <v>97</v>
      </c>
      <c r="D30" t="s">
        <v>150</v>
      </c>
      <c r="E30" s="3">
        <v>0.16355752685580449</v>
      </c>
      <c r="F30" s="3">
        <f t="shared" si="0"/>
        <v>8.1778763427902246E-2</v>
      </c>
      <c r="G30" s="3">
        <f t="shared" si="1"/>
        <v>3.2711505371160896E-2</v>
      </c>
      <c r="I30" t="str">
        <f>D30</f>
        <v>Tourism and Hospitality services</v>
      </c>
      <c r="J30" s="1">
        <f t="shared" si="3"/>
        <v>16.355752685580448</v>
      </c>
      <c r="K30" s="1">
        <f t="shared" si="4"/>
        <v>8.1778763427902241</v>
      </c>
      <c r="L30" s="1">
        <f t="shared" si="5"/>
        <v>3.2711505371160894</v>
      </c>
    </row>
    <row r="33" spans="4:7" x14ac:dyDescent="0.25">
      <c r="D33" t="s">
        <v>134</v>
      </c>
      <c r="E33" s="2">
        <v>3.4738476423490677E-2</v>
      </c>
      <c r="F33" s="3">
        <f>E33/2</f>
        <v>1.7369238211745339E-2</v>
      </c>
      <c r="G33" s="3">
        <f>E33/5</f>
        <v>6.9476952846981351E-3</v>
      </c>
    </row>
    <row r="34" spans="4:7" x14ac:dyDescent="0.25">
      <c r="D34" t="s">
        <v>135</v>
      </c>
      <c r="E34" s="2">
        <v>4.9243115148509986E-2</v>
      </c>
      <c r="F34" s="3">
        <f>E34/2</f>
        <v>2.4621557574254993E-2</v>
      </c>
      <c r="G34" s="3">
        <f>E34/5</f>
        <v>9.8486230297019969E-3</v>
      </c>
    </row>
    <row r="35" spans="4:7" x14ac:dyDescent="0.25">
      <c r="D35" t="s">
        <v>136</v>
      </c>
      <c r="E35" s="4">
        <f>E34/E33</f>
        <v>1.417538136911815</v>
      </c>
      <c r="F35" s="4">
        <f t="shared" ref="F35:G35" si="6">F34/F33</f>
        <v>1.417538136911815</v>
      </c>
      <c r="G35" s="4">
        <f t="shared" si="6"/>
        <v>1.417538136911815</v>
      </c>
    </row>
    <row r="37" spans="4:7" x14ac:dyDescent="0.25">
      <c r="D37" t="s">
        <v>149</v>
      </c>
      <c r="E37" s="5">
        <v>581971.07647780585</v>
      </c>
      <c r="F37" s="5">
        <f>E37/2</f>
        <v>290985.53823890293</v>
      </c>
      <c r="G37" s="5">
        <f>E37/5</f>
        <v>116394.21529556117</v>
      </c>
    </row>
    <row r="63" spans="4:4" x14ac:dyDescent="0.25">
      <c r="D63">
        <v>2.151468439019566E-2</v>
      </c>
    </row>
    <row r="64" spans="4:4" x14ac:dyDescent="0.25">
      <c r="D64">
        <v>2.0660959961062986E-3</v>
      </c>
    </row>
    <row r="65" spans="4:4" x14ac:dyDescent="0.25">
      <c r="D65">
        <v>2.0660959961056324E-3</v>
      </c>
    </row>
    <row r="66" spans="4:4" x14ac:dyDescent="0.25">
      <c r="D66">
        <v>2.0660959961056324E-3</v>
      </c>
    </row>
    <row r="67" spans="4:4" x14ac:dyDescent="0.25">
      <c r="D67">
        <v>2.0660959961060765E-3</v>
      </c>
    </row>
    <row r="68" spans="4:4" x14ac:dyDescent="0.25">
      <c r="D68">
        <v>2.0660959961056324E-3</v>
      </c>
    </row>
    <row r="69" spans="4:4" x14ac:dyDescent="0.25">
      <c r="D69">
        <v>2.3675878570316167E-2</v>
      </c>
    </row>
    <row r="70" spans="4:4" x14ac:dyDescent="0.25">
      <c r="D70">
        <v>3.1670429333632288E-3</v>
      </c>
    </row>
    <row r="71" spans="4:4" x14ac:dyDescent="0.25">
      <c r="D71">
        <v>7.3360112390867815E-3</v>
      </c>
    </row>
    <row r="72" spans="4:4" x14ac:dyDescent="0.25">
      <c r="D72">
        <v>6.8335265552879054E-3</v>
      </c>
    </row>
    <row r="73" spans="4:4" x14ac:dyDescent="0.25">
      <c r="D73">
        <v>4.9006654769949698E-3</v>
      </c>
    </row>
    <row r="74" spans="4:4" x14ac:dyDescent="0.25">
      <c r="D74">
        <v>1.2289591835472624E-3</v>
      </c>
    </row>
    <row r="75" spans="4:4" x14ac:dyDescent="0.25">
      <c r="D75">
        <v>4.5510971645412734E-3</v>
      </c>
    </row>
    <row r="76" spans="4:4" x14ac:dyDescent="0.25">
      <c r="D76">
        <v>3.7004279554979647E-3</v>
      </c>
    </row>
    <row r="77" spans="4:4" x14ac:dyDescent="0.25">
      <c r="D77">
        <v>9.6838605494697916E-5</v>
      </c>
    </row>
    <row r="78" spans="4:4" x14ac:dyDescent="0.25">
      <c r="D78">
        <v>2.9506008403901163E-5</v>
      </c>
    </row>
    <row r="79" spans="4:4" x14ac:dyDescent="0.25">
      <c r="D79">
        <v>3.5065403750069724E-3</v>
      </c>
    </row>
    <row r="80" spans="4:4" x14ac:dyDescent="0.25">
      <c r="D80">
        <v>8.0338474626311385E-3</v>
      </c>
    </row>
    <row r="81" spans="4:4" x14ac:dyDescent="0.25">
      <c r="D81">
        <v>7.6500645805408496E-3</v>
      </c>
    </row>
    <row r="82" spans="4:4" x14ac:dyDescent="0.25">
      <c r="D82">
        <v>0.16355752685580449</v>
      </c>
    </row>
    <row r="83" spans="4:4" x14ac:dyDescent="0.25">
      <c r="D83">
        <v>5.6049567835867453E-3</v>
      </c>
    </row>
    <row r="84" spans="4:4" x14ac:dyDescent="0.25">
      <c r="D84">
        <v>4.091957029204174E-3</v>
      </c>
    </row>
    <row r="85" spans="4:4" x14ac:dyDescent="0.25">
      <c r="D85">
        <v>5.6669906474622334E-3</v>
      </c>
    </row>
    <row r="86" spans="4:4" x14ac:dyDescent="0.25">
      <c r="D86">
        <v>8.3071864900854386E-3</v>
      </c>
    </row>
    <row r="87" spans="4:4" x14ac:dyDescent="0.25">
      <c r="D87">
        <v>3.4938828922936871E-4</v>
      </c>
    </row>
    <row r="88" spans="4:4" x14ac:dyDescent="0.25">
      <c r="D88">
        <v>3.2768071930266984E-4</v>
      </c>
    </row>
    <row r="89" spans="4:4" x14ac:dyDescent="0.25">
      <c r="D89">
        <v>3.3013270530402039E-5</v>
      </c>
    </row>
    <row r="90" spans="4:4" x14ac:dyDescent="0.25">
      <c r="D90">
        <v>4.0960325171126577E-3</v>
      </c>
    </row>
    <row r="91" spans="4:4" x14ac:dyDescent="0.25">
      <c r="D91">
        <v>0</v>
      </c>
    </row>
  </sheetData>
  <autoFilter ref="A1:G1" xr:uid="{CB461B06-3595-416E-823A-66E282C759E7}">
    <sortState xmlns:xlrd2="http://schemas.microsoft.com/office/spreadsheetml/2017/richdata2" ref="A2:G30">
      <sortCondition ref="E1"/>
    </sortState>
  </autoFilter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4EBD-79F1-4537-A049-55B0F00F613B}">
  <sheetPr codeName="Hoja6"/>
  <dimension ref="A1:L37"/>
  <sheetViews>
    <sheetView topLeftCell="B4" zoomScale="86" workbookViewId="0">
      <selection activeCell="E33" sqref="E33:E34"/>
    </sheetView>
  </sheetViews>
  <sheetFormatPr baseColWidth="10" defaultRowHeight="14.3" x14ac:dyDescent="0.25"/>
  <cols>
    <col min="1" max="1" width="11" customWidth="1"/>
    <col min="2" max="2" width="23.125" customWidth="1"/>
    <col min="3" max="3" width="22.5" customWidth="1"/>
    <col min="4" max="4" width="17.625" customWidth="1"/>
    <col min="5" max="7" width="16.625" customWidth="1"/>
  </cols>
  <sheetData>
    <row r="1" spans="1:12" x14ac:dyDescent="0.25">
      <c r="D1" t="s">
        <v>138</v>
      </c>
      <c r="E1" t="s">
        <v>132</v>
      </c>
      <c r="F1" t="s">
        <v>133</v>
      </c>
      <c r="G1" t="s">
        <v>137</v>
      </c>
    </row>
    <row r="2" spans="1:12" x14ac:dyDescent="0.25">
      <c r="A2" t="e">
        <f>VLOOKUP(B2,#REF!,2,FALSE)</f>
        <v>#REF!</v>
      </c>
      <c r="B2" t="s">
        <v>70</v>
      </c>
      <c r="C2" t="s">
        <v>106</v>
      </c>
      <c r="D2" t="s">
        <v>131</v>
      </c>
      <c r="E2" s="3">
        <v>0</v>
      </c>
      <c r="F2" s="3">
        <f t="shared" ref="F2:F30" si="0">E2/2</f>
        <v>0</v>
      </c>
      <c r="G2" s="3">
        <f t="shared" ref="G2:G30" si="1">E2/5</f>
        <v>0</v>
      </c>
    </row>
    <row r="3" spans="1:12" x14ac:dyDescent="0.25">
      <c r="A3" t="e">
        <f>VLOOKUP(B3,#REF!,2,FALSE)</f>
        <v>#REF!</v>
      </c>
      <c r="B3" t="s">
        <v>10</v>
      </c>
      <c r="C3" t="s">
        <v>104</v>
      </c>
      <c r="D3" t="s">
        <v>129</v>
      </c>
      <c r="E3" s="3">
        <v>2.027820709371575E-5</v>
      </c>
      <c r="F3" s="3">
        <f t="shared" si="0"/>
        <v>1.0139103546857875E-5</v>
      </c>
      <c r="G3" s="3">
        <f t="shared" si="1"/>
        <v>4.0556414187431502E-6</v>
      </c>
    </row>
    <row r="4" spans="1:12" x14ac:dyDescent="0.25">
      <c r="A4" t="e">
        <f>VLOOKUP(B4,#REF!,2,FALSE)</f>
        <v>#REF!</v>
      </c>
      <c r="B4" t="s">
        <v>4</v>
      </c>
      <c r="C4" t="s">
        <v>93</v>
      </c>
      <c r="D4" t="s">
        <v>120</v>
      </c>
      <c r="E4" s="3">
        <v>4.6120375805758229E-5</v>
      </c>
      <c r="F4" s="3">
        <f t="shared" si="0"/>
        <v>2.3060187902879115E-5</v>
      </c>
      <c r="G4" s="3">
        <f t="shared" si="1"/>
        <v>9.2240751611516455E-6</v>
      </c>
    </row>
    <row r="5" spans="1:12" x14ac:dyDescent="0.25">
      <c r="A5" t="e">
        <f>VLOOKUP(B5,#REF!,2,FALSE)</f>
        <v>#REF!</v>
      </c>
      <c r="B5" t="s">
        <v>3</v>
      </c>
      <c r="C5" t="s">
        <v>92</v>
      </c>
      <c r="D5" t="s">
        <v>119</v>
      </c>
      <c r="E5" s="3">
        <v>7.438368615408919E-5</v>
      </c>
      <c r="F5" s="3">
        <f t="shared" si="0"/>
        <v>3.7191843077044595E-5</v>
      </c>
      <c r="G5" s="3">
        <f t="shared" si="1"/>
        <v>1.4876737230817837E-5</v>
      </c>
    </row>
    <row r="6" spans="1:12" x14ac:dyDescent="0.25">
      <c r="A6" t="e">
        <f>VLOOKUP(B6,#REF!,2,FALSE)</f>
        <v>#REF!</v>
      </c>
      <c r="B6" t="s">
        <v>68</v>
      </c>
      <c r="C6" t="s">
        <v>103</v>
      </c>
      <c r="D6" t="s">
        <v>103</v>
      </c>
      <c r="E6" s="3">
        <v>3.1930888819564629E-4</v>
      </c>
      <c r="F6" s="3">
        <f t="shared" si="0"/>
        <v>1.5965444409782314E-4</v>
      </c>
      <c r="G6" s="3">
        <f t="shared" si="1"/>
        <v>6.3861777639129255E-5</v>
      </c>
    </row>
    <row r="7" spans="1:12" x14ac:dyDescent="0.25">
      <c r="A7" t="e">
        <f>VLOOKUP(B7,#REF!,2,FALSE)</f>
        <v>#REF!</v>
      </c>
      <c r="B7" t="s">
        <v>9</v>
      </c>
      <c r="C7" t="s">
        <v>102</v>
      </c>
      <c r="D7" t="s">
        <v>128</v>
      </c>
      <c r="E7" s="3">
        <v>3.818705549563095E-4</v>
      </c>
      <c r="F7" s="3">
        <f t="shared" si="0"/>
        <v>1.9093527747815475E-4</v>
      </c>
      <c r="G7" s="3">
        <f t="shared" si="1"/>
        <v>7.6374110991261901E-5</v>
      </c>
    </row>
    <row r="8" spans="1:12" x14ac:dyDescent="0.25">
      <c r="A8" t="e">
        <f>VLOOKUP(B8,#REF!,2,FALSE)</f>
        <v>#REF!</v>
      </c>
      <c r="B8" t="s">
        <v>64</v>
      </c>
      <c r="C8" t="s">
        <v>97</v>
      </c>
      <c r="D8" t="s">
        <v>150</v>
      </c>
      <c r="E8" s="3">
        <v>1.2264664184513663E-3</v>
      </c>
      <c r="F8" s="3">
        <f t="shared" si="0"/>
        <v>6.1323320922568314E-4</v>
      </c>
      <c r="G8" s="3">
        <f t="shared" si="1"/>
        <v>2.4529328369027326E-4</v>
      </c>
    </row>
    <row r="9" spans="1:12" x14ac:dyDescent="0.25">
      <c r="A9" t="e">
        <f>VLOOKUP(B9,#REF!,2,FALSE)</f>
        <v>#REF!</v>
      </c>
      <c r="B9" t="s">
        <v>6</v>
      </c>
      <c r="C9" t="s">
        <v>100</v>
      </c>
      <c r="D9" t="s">
        <v>126</v>
      </c>
      <c r="E9" s="3">
        <v>1.6024427997354262E-3</v>
      </c>
      <c r="F9" s="3">
        <f t="shared" si="0"/>
        <v>8.0122139986771312E-4</v>
      </c>
      <c r="G9" s="3">
        <f t="shared" si="1"/>
        <v>3.2048855994708524E-4</v>
      </c>
    </row>
    <row r="10" spans="1:12" x14ac:dyDescent="0.25">
      <c r="A10" t="e">
        <f>VLOOKUP(B10,#REF!,2,FALSE)</f>
        <v>#REF!</v>
      </c>
      <c r="B10" t="s">
        <v>69</v>
      </c>
      <c r="C10" t="s">
        <v>105</v>
      </c>
      <c r="D10" t="s">
        <v>130</v>
      </c>
      <c r="E10" s="3">
        <v>1.6903573713917819E-3</v>
      </c>
      <c r="F10" s="3">
        <f t="shared" si="0"/>
        <v>8.4517868569589094E-4</v>
      </c>
      <c r="G10" s="3">
        <f t="shared" si="1"/>
        <v>3.380714742783564E-4</v>
      </c>
    </row>
    <row r="11" spans="1:12" x14ac:dyDescent="0.25">
      <c r="A11" t="e">
        <f>VLOOKUP(B11,#REF!,2,FALSE)</f>
        <v>#REF!</v>
      </c>
      <c r="B11" t="s">
        <v>5</v>
      </c>
      <c r="C11" t="s">
        <v>94</v>
      </c>
      <c r="D11" t="s">
        <v>121</v>
      </c>
      <c r="E11" s="3">
        <v>1.8273315367285381E-3</v>
      </c>
      <c r="F11" s="3">
        <f t="shared" si="0"/>
        <v>9.1366576836426905E-4</v>
      </c>
      <c r="G11" s="3">
        <f t="shared" si="1"/>
        <v>3.6546630734570764E-4</v>
      </c>
    </row>
    <row r="12" spans="1:12" x14ac:dyDescent="0.25">
      <c r="A12">
        <v>13</v>
      </c>
      <c r="B12" t="s">
        <v>58</v>
      </c>
      <c r="C12" t="s">
        <v>88</v>
      </c>
      <c r="D12" t="s">
        <v>115</v>
      </c>
      <c r="E12" s="3">
        <v>2.4508248917067821E-3</v>
      </c>
      <c r="F12" s="3">
        <f t="shared" si="0"/>
        <v>1.225412445853391E-3</v>
      </c>
      <c r="G12" s="3">
        <f t="shared" si="1"/>
        <v>4.9016497834135646E-4</v>
      </c>
    </row>
    <row r="13" spans="1:12" x14ac:dyDescent="0.25">
      <c r="A13" t="e">
        <f>VLOOKUP(B13,#REF!,2,FALSE)</f>
        <v>#REF!</v>
      </c>
      <c r="B13" t="s">
        <v>65</v>
      </c>
      <c r="C13" t="s">
        <v>98</v>
      </c>
      <c r="D13" t="s">
        <v>124</v>
      </c>
      <c r="E13" s="3">
        <v>4.2788645068205788E-3</v>
      </c>
      <c r="F13" s="3">
        <f t="shared" si="0"/>
        <v>2.1394322534102894E-3</v>
      </c>
      <c r="G13" s="3">
        <f t="shared" si="1"/>
        <v>8.5577290136411581E-4</v>
      </c>
    </row>
    <row r="14" spans="1:12" x14ac:dyDescent="0.25">
      <c r="A14">
        <v>8</v>
      </c>
      <c r="B14" t="s">
        <v>55</v>
      </c>
      <c r="C14" t="s">
        <v>85</v>
      </c>
      <c r="D14" t="s">
        <v>112</v>
      </c>
      <c r="E14" s="3">
        <v>4.5489621081276077E-3</v>
      </c>
      <c r="F14" s="3">
        <f t="shared" si="0"/>
        <v>2.2744810540638039E-3</v>
      </c>
      <c r="G14" s="3">
        <f t="shared" si="1"/>
        <v>9.0979242162552158E-4</v>
      </c>
      <c r="I14" t="s">
        <v>138</v>
      </c>
      <c r="J14" t="s">
        <v>140</v>
      </c>
      <c r="K14" t="s">
        <v>143</v>
      </c>
      <c r="L14" t="s">
        <v>144</v>
      </c>
    </row>
    <row r="15" spans="1:12" x14ac:dyDescent="0.25">
      <c r="A15" t="e">
        <f>VLOOKUP(B15,#REF!,2,FALSE)</f>
        <v>#REF!</v>
      </c>
      <c r="B15" t="s">
        <v>61</v>
      </c>
      <c r="C15" t="s">
        <v>91</v>
      </c>
      <c r="D15" t="s">
        <v>118</v>
      </c>
      <c r="E15" s="3">
        <v>5.4421909912443223E-3</v>
      </c>
      <c r="F15" s="3">
        <f t="shared" si="0"/>
        <v>2.7210954956221611E-3</v>
      </c>
      <c r="G15" s="3">
        <f t="shared" si="1"/>
        <v>1.0884381982488645E-3</v>
      </c>
      <c r="I15" t="s">
        <v>139</v>
      </c>
      <c r="J15" s="1">
        <f>SUM(E2:E15)*100</f>
        <v>2.3909402336411922</v>
      </c>
      <c r="K15" s="1">
        <f>SUM(F2:F15)*100</f>
        <v>1.1954701168205961</v>
      </c>
      <c r="L15" s="1">
        <f>SUM(G2:G15)*100</f>
        <v>0.4781880467282385</v>
      </c>
    </row>
    <row r="16" spans="1:12" x14ac:dyDescent="0.25">
      <c r="A16" t="e">
        <f>VLOOKUP(B16,#REF!,2,FALSE)</f>
        <v>#REF!</v>
      </c>
      <c r="B16" t="s">
        <v>0</v>
      </c>
      <c r="C16" t="s">
        <v>79</v>
      </c>
      <c r="D16" t="s">
        <v>108</v>
      </c>
      <c r="E16" s="3">
        <v>5.9521977256515868E-3</v>
      </c>
      <c r="F16" s="3">
        <f t="shared" si="0"/>
        <v>2.9760988628257934E-3</v>
      </c>
      <c r="G16" s="3">
        <f t="shared" si="1"/>
        <v>1.1904395451303174E-3</v>
      </c>
      <c r="I16" t="str">
        <f t="shared" ref="I16:I29" si="2">D16</f>
        <v>Coal mining</v>
      </c>
      <c r="J16" s="1">
        <f>E16*100</f>
        <v>0.59521977256515868</v>
      </c>
      <c r="K16" s="1">
        <f>F16*100</f>
        <v>0.29760988628257934</v>
      </c>
      <c r="L16" s="1">
        <f>G16*100</f>
        <v>0.11904395451303174</v>
      </c>
    </row>
    <row r="17" spans="1:12" x14ac:dyDescent="0.25">
      <c r="A17" t="e">
        <f>VLOOKUP(B17,#REF!,2,FALSE)</f>
        <v>#REF!</v>
      </c>
      <c r="B17" t="s">
        <v>1</v>
      </c>
      <c r="C17" t="s">
        <v>82</v>
      </c>
      <c r="D17" t="s">
        <v>82</v>
      </c>
      <c r="E17" s="3">
        <v>5.9521977256515868E-3</v>
      </c>
      <c r="F17" s="3">
        <f t="shared" si="0"/>
        <v>2.9760988628257934E-3</v>
      </c>
      <c r="G17" s="3">
        <f t="shared" si="1"/>
        <v>1.1904395451303174E-3</v>
      </c>
      <c r="I17" t="str">
        <f t="shared" si="2"/>
        <v>Extraction of metal ores</v>
      </c>
      <c r="J17" s="1">
        <f t="shared" ref="J17:L30" si="3">E17*100</f>
        <v>0.59521977256515868</v>
      </c>
      <c r="K17" s="1">
        <f t="shared" si="3"/>
        <v>0.29760988628257934</v>
      </c>
      <c r="L17" s="1">
        <f t="shared" si="3"/>
        <v>0.11904395451303174</v>
      </c>
    </row>
    <row r="18" spans="1:12" x14ac:dyDescent="0.25">
      <c r="A18" t="e">
        <f>VLOOKUP(B18,#REF!,2,FALSE)</f>
        <v>#REF!</v>
      </c>
      <c r="B18" t="s">
        <v>7</v>
      </c>
      <c r="C18" t="s">
        <v>80</v>
      </c>
      <c r="D18" t="s">
        <v>109</v>
      </c>
      <c r="E18" s="3">
        <v>5.9521977256518088E-3</v>
      </c>
      <c r="F18" s="3">
        <f t="shared" si="0"/>
        <v>2.9760988628259044E-3</v>
      </c>
      <c r="G18" s="3">
        <f t="shared" si="1"/>
        <v>1.1904395451303618E-3</v>
      </c>
      <c r="I18" t="str">
        <f t="shared" si="2"/>
        <v>Oil and gas extraction</v>
      </c>
      <c r="J18" s="1">
        <f t="shared" si="3"/>
        <v>0.59521977256518088</v>
      </c>
      <c r="K18" s="1">
        <f t="shared" si="3"/>
        <v>0.29760988628259044</v>
      </c>
      <c r="L18" s="1">
        <f t="shared" si="3"/>
        <v>0.11904395451303618</v>
      </c>
    </row>
    <row r="19" spans="1:12" x14ac:dyDescent="0.25">
      <c r="A19" t="e">
        <f>VLOOKUP(B19,#REF!,2,FALSE)</f>
        <v>#REF!</v>
      </c>
      <c r="B19" t="s">
        <v>8</v>
      </c>
      <c r="C19" t="s">
        <v>81</v>
      </c>
      <c r="D19" t="s">
        <v>110</v>
      </c>
      <c r="E19" s="3">
        <v>5.9521977256522529E-3</v>
      </c>
      <c r="F19" s="3">
        <f t="shared" si="0"/>
        <v>2.9760988628261265E-3</v>
      </c>
      <c r="G19" s="3">
        <f t="shared" si="1"/>
        <v>1.1904395451304505E-3</v>
      </c>
      <c r="I19" t="str">
        <f t="shared" si="2"/>
        <v>Mining support services</v>
      </c>
      <c r="J19" s="1">
        <f t="shared" si="3"/>
        <v>0.59521977256522529</v>
      </c>
      <c r="K19" s="1">
        <f t="shared" si="3"/>
        <v>0.29760988628261265</v>
      </c>
      <c r="L19" s="1">
        <f t="shared" si="3"/>
        <v>0.11904395451304504</v>
      </c>
    </row>
    <row r="20" spans="1:12" x14ac:dyDescent="0.25">
      <c r="A20" t="e">
        <f>VLOOKUP(B20,#REF!,2,FALSE)</f>
        <v>#REF!</v>
      </c>
      <c r="B20" t="s">
        <v>2</v>
      </c>
      <c r="C20" t="s">
        <v>83</v>
      </c>
      <c r="D20" t="s">
        <v>83</v>
      </c>
      <c r="E20" s="3">
        <v>5.9521977256522529E-3</v>
      </c>
      <c r="F20" s="3">
        <f t="shared" si="0"/>
        <v>2.9760988628261265E-3</v>
      </c>
      <c r="G20" s="3">
        <f t="shared" si="1"/>
        <v>1.1904395451304505E-3</v>
      </c>
      <c r="I20" t="str">
        <f t="shared" si="2"/>
        <v>Extraction of other mines and quarries</v>
      </c>
      <c r="J20" s="1">
        <f t="shared" si="3"/>
        <v>0.59521977256522529</v>
      </c>
      <c r="K20" s="1">
        <f t="shared" si="3"/>
        <v>0.29760988628261265</v>
      </c>
      <c r="L20" s="1">
        <f t="shared" si="3"/>
        <v>0.11904395451304504</v>
      </c>
    </row>
    <row r="21" spans="1:12" x14ac:dyDescent="0.25">
      <c r="A21" t="e">
        <f>VLOOKUP(B21,#REF!,2,FALSE)</f>
        <v>#REF!</v>
      </c>
      <c r="B21" t="s">
        <v>67</v>
      </c>
      <c r="C21" t="s">
        <v>101</v>
      </c>
      <c r="D21" t="s">
        <v>127</v>
      </c>
      <c r="E21" s="3">
        <v>6.8147847544153262E-3</v>
      </c>
      <c r="F21" s="3">
        <f t="shared" si="0"/>
        <v>3.4073923772076631E-3</v>
      </c>
      <c r="G21" s="3">
        <f t="shared" si="1"/>
        <v>1.3629569508830652E-3</v>
      </c>
      <c r="I21" t="str">
        <f t="shared" si="2"/>
        <v>Professional and technical services</v>
      </c>
      <c r="J21" s="1">
        <f t="shared" si="3"/>
        <v>0.68147847544153262</v>
      </c>
      <c r="K21" s="1">
        <f t="shared" si="3"/>
        <v>0.34073923772076631</v>
      </c>
      <c r="L21" s="1">
        <f t="shared" si="3"/>
        <v>0.13629569508830652</v>
      </c>
    </row>
    <row r="22" spans="1:12" x14ac:dyDescent="0.25">
      <c r="A22" t="e">
        <f>VLOOKUP(B22,#REF!,2,FALSE)</f>
        <v>#REF!</v>
      </c>
      <c r="B22" t="s">
        <v>66</v>
      </c>
      <c r="C22" t="s">
        <v>99</v>
      </c>
      <c r="D22" t="s">
        <v>125</v>
      </c>
      <c r="E22" s="3">
        <v>6.9612570415475972E-3</v>
      </c>
      <c r="F22" s="3">
        <f t="shared" si="0"/>
        <v>3.4806285207737986E-3</v>
      </c>
      <c r="G22" s="3">
        <f t="shared" si="1"/>
        <v>1.3922514083095194E-3</v>
      </c>
      <c r="I22" t="str">
        <f t="shared" si="2"/>
        <v>Finance and insurance</v>
      </c>
      <c r="J22" s="1">
        <f t="shared" si="3"/>
        <v>0.69612570415475972</v>
      </c>
      <c r="K22" s="1">
        <f t="shared" si="3"/>
        <v>0.34806285207737986</v>
      </c>
      <c r="L22" s="1">
        <f t="shared" si="3"/>
        <v>0.13922514083095194</v>
      </c>
    </row>
    <row r="23" spans="1:12" x14ac:dyDescent="0.25">
      <c r="A23" t="e">
        <f>VLOOKUP(B23,#REF!,2,FALSE)</f>
        <v>#REF!</v>
      </c>
      <c r="B23" t="s">
        <v>60</v>
      </c>
      <c r="C23" t="s">
        <v>90</v>
      </c>
      <c r="D23" t="s">
        <v>117</v>
      </c>
      <c r="E23" s="3">
        <v>8.2637376205714208E-3</v>
      </c>
      <c r="F23" s="3">
        <f t="shared" si="0"/>
        <v>4.1318688102857104E-3</v>
      </c>
      <c r="G23" s="3">
        <f t="shared" si="1"/>
        <v>1.6527475241142841E-3</v>
      </c>
      <c r="I23" t="str">
        <f t="shared" si="2"/>
        <v>Energy supply</v>
      </c>
      <c r="J23" s="1">
        <f t="shared" si="3"/>
        <v>0.82637376205714208</v>
      </c>
      <c r="K23" s="1">
        <f t="shared" si="3"/>
        <v>0.41318688102857104</v>
      </c>
      <c r="L23" s="1">
        <f t="shared" si="3"/>
        <v>0.16527475241142842</v>
      </c>
    </row>
    <row r="24" spans="1:12" x14ac:dyDescent="0.25">
      <c r="A24" t="e">
        <f>VLOOKUP(B24,#REF!,2,FALSE)</f>
        <v>#REF!</v>
      </c>
      <c r="B24" t="s">
        <v>59</v>
      </c>
      <c r="C24" t="s">
        <v>89</v>
      </c>
      <c r="D24" t="s">
        <v>116</v>
      </c>
      <c r="E24" s="3">
        <v>9.4548841733401723E-3</v>
      </c>
      <c r="F24" s="3">
        <f t="shared" si="0"/>
        <v>4.7274420866700861E-3</v>
      </c>
      <c r="G24" s="3">
        <f t="shared" si="1"/>
        <v>1.8909768346680345E-3</v>
      </c>
      <c r="I24" t="str">
        <f t="shared" si="2"/>
        <v>Furniture and crafts manufacturing</v>
      </c>
      <c r="J24" s="1">
        <f t="shared" si="3"/>
        <v>0.94548841733401723</v>
      </c>
      <c r="K24" s="1">
        <f t="shared" si="3"/>
        <v>0.47274420866700861</v>
      </c>
      <c r="L24" s="1">
        <f t="shared" si="3"/>
        <v>0.18909768346680345</v>
      </c>
    </row>
    <row r="25" spans="1:12" x14ac:dyDescent="0.25">
      <c r="A25" t="e">
        <f>VLOOKUP(B25,#REF!,2,FALSE)</f>
        <v>#REF!</v>
      </c>
      <c r="B25" t="s">
        <v>62</v>
      </c>
      <c r="C25" t="s">
        <v>95</v>
      </c>
      <c r="D25" t="s">
        <v>122</v>
      </c>
      <c r="E25" s="3">
        <v>9.8697440722188556E-3</v>
      </c>
      <c r="F25" s="3">
        <f t="shared" si="0"/>
        <v>4.9348720361094278E-3</v>
      </c>
      <c r="G25" s="3">
        <f t="shared" si="1"/>
        <v>1.9739488144437712E-3</v>
      </c>
      <c r="I25" t="str">
        <f t="shared" si="2"/>
        <v>Trade and vehicle repair</v>
      </c>
      <c r="J25" s="1">
        <f t="shared" si="3"/>
        <v>0.98697440722188556</v>
      </c>
      <c r="K25" s="1">
        <f t="shared" si="3"/>
        <v>0.49348720361094278</v>
      </c>
      <c r="L25" s="1">
        <f t="shared" si="3"/>
        <v>0.19739488144437711</v>
      </c>
    </row>
    <row r="26" spans="1:12" x14ac:dyDescent="0.25">
      <c r="A26" t="e">
        <f>VLOOKUP(B26,#REF!,2,FALSE)</f>
        <v>#REF!</v>
      </c>
      <c r="B26" t="s">
        <v>63</v>
      </c>
      <c r="C26" t="s">
        <v>96</v>
      </c>
      <c r="D26" t="s">
        <v>96</v>
      </c>
      <c r="E26" s="3">
        <v>1.1871864415154532E-2</v>
      </c>
      <c r="F26" s="3">
        <f t="shared" si="0"/>
        <v>5.9359322075772658E-3</v>
      </c>
      <c r="G26" s="3">
        <f t="shared" si="1"/>
        <v>2.3743728830309062E-3</v>
      </c>
      <c r="I26" t="str">
        <f t="shared" si="2"/>
        <v>Transportation and storage</v>
      </c>
      <c r="J26" s="1">
        <f t="shared" si="3"/>
        <v>1.1871864415154532</v>
      </c>
      <c r="K26" s="1">
        <f t="shared" si="3"/>
        <v>0.59359322075772658</v>
      </c>
      <c r="L26" s="1">
        <f t="shared" si="3"/>
        <v>0.23743728830309063</v>
      </c>
    </row>
    <row r="27" spans="1:12" x14ac:dyDescent="0.25">
      <c r="A27">
        <v>9</v>
      </c>
      <c r="B27" t="s">
        <v>56</v>
      </c>
      <c r="C27" t="s">
        <v>86</v>
      </c>
      <c r="D27" t="s">
        <v>113</v>
      </c>
      <c r="E27" s="3">
        <v>1.8958573762622555E-2</v>
      </c>
      <c r="F27" s="3">
        <f t="shared" si="0"/>
        <v>9.4792868813112774E-3</v>
      </c>
      <c r="G27" s="3">
        <f t="shared" si="1"/>
        <v>3.7917147525245109E-3</v>
      </c>
      <c r="I27" t="str">
        <f t="shared" si="2"/>
        <v>Wood and paper production</v>
      </c>
      <c r="J27" s="1">
        <f t="shared" si="3"/>
        <v>1.8958573762622555</v>
      </c>
      <c r="K27" s="1">
        <f t="shared" si="3"/>
        <v>0.94792868813112774</v>
      </c>
      <c r="L27" s="1">
        <f t="shared" si="3"/>
        <v>0.3791714752524511</v>
      </c>
    </row>
    <row r="28" spans="1:12" x14ac:dyDescent="0.25">
      <c r="A28">
        <v>10</v>
      </c>
      <c r="B28" t="s">
        <v>57</v>
      </c>
      <c r="C28" t="s">
        <v>87</v>
      </c>
      <c r="D28" t="s">
        <v>114</v>
      </c>
      <c r="E28" s="3">
        <v>2.2229027700863213E-2</v>
      </c>
      <c r="F28" s="3">
        <f t="shared" si="0"/>
        <v>1.1114513850431607E-2</v>
      </c>
      <c r="G28" s="3">
        <f t="shared" si="1"/>
        <v>4.4458055401726424E-3</v>
      </c>
      <c r="I28" t="str">
        <f t="shared" si="2"/>
        <v>Chemicals and pharmaceuticals manufacturing</v>
      </c>
      <c r="J28" s="1">
        <f t="shared" si="3"/>
        <v>2.2229027700863213</v>
      </c>
      <c r="K28" s="1">
        <f t="shared" si="3"/>
        <v>1.1114513850431607</v>
      </c>
      <c r="L28" s="1">
        <f t="shared" si="3"/>
        <v>0.44458055401726426</v>
      </c>
    </row>
    <row r="29" spans="1:12" x14ac:dyDescent="0.25">
      <c r="A29" t="e">
        <f>VLOOKUP(B29,#REF!,2,FALSE)</f>
        <v>#REF!</v>
      </c>
      <c r="B29" t="s">
        <v>54</v>
      </c>
      <c r="C29" t="s">
        <v>84</v>
      </c>
      <c r="D29" t="s">
        <v>111</v>
      </c>
      <c r="E29" s="3">
        <v>2.3503383148284263E-2</v>
      </c>
      <c r="F29" s="3">
        <f t="shared" si="0"/>
        <v>1.1751691574142131E-2</v>
      </c>
      <c r="G29" s="3">
        <f t="shared" si="1"/>
        <v>4.7006766296568527E-3</v>
      </c>
      <c r="I29" t="str">
        <f t="shared" si="2"/>
        <v>Food and beverage processing</v>
      </c>
      <c r="J29" s="1">
        <f t="shared" si="3"/>
        <v>2.3503383148284263</v>
      </c>
      <c r="K29" s="1">
        <f t="shared" si="3"/>
        <v>1.1751691574142131</v>
      </c>
      <c r="L29" s="1">
        <f t="shared" si="3"/>
        <v>0.47006766296568525</v>
      </c>
    </row>
    <row r="30" spans="1:12" x14ac:dyDescent="0.25">
      <c r="A30">
        <v>1</v>
      </c>
      <c r="B30" t="s">
        <v>53</v>
      </c>
      <c r="C30" t="s">
        <v>78</v>
      </c>
      <c r="D30" t="s">
        <v>107</v>
      </c>
      <c r="E30" s="3">
        <v>9.0826649883409605E-2</v>
      </c>
      <c r="F30" s="3">
        <f t="shared" si="0"/>
        <v>4.5413324941704802E-2</v>
      </c>
      <c r="G30" s="3">
        <f t="shared" si="1"/>
        <v>1.816532997668192E-2</v>
      </c>
      <c r="I30" t="str">
        <f>D30</f>
        <v>Agriculture and fishing</v>
      </c>
      <c r="J30" s="1">
        <f t="shared" si="3"/>
        <v>9.0826649883409605</v>
      </c>
      <c r="K30" s="1">
        <f t="shared" si="3"/>
        <v>4.5413324941704802</v>
      </c>
      <c r="L30" s="1">
        <f t="shared" si="3"/>
        <v>1.8165329976681921</v>
      </c>
    </row>
    <row r="33" spans="4:7" x14ac:dyDescent="0.25">
      <c r="D33" t="s">
        <v>134</v>
      </c>
      <c r="E33" s="2">
        <v>3.5753667480985747E-2</v>
      </c>
      <c r="F33" s="3">
        <f>E33/2</f>
        <v>1.7876833740492874E-2</v>
      </c>
      <c r="G33" s="3">
        <f>E33/5</f>
        <v>7.1507334961971496E-3</v>
      </c>
    </row>
    <row r="34" spans="4:7" x14ac:dyDescent="0.25">
      <c r="D34" t="s">
        <v>135</v>
      </c>
      <c r="E34" s="2">
        <v>5.3329174798185705E-2</v>
      </c>
      <c r="F34" s="3">
        <f>E34/2</f>
        <v>2.6664587399092853E-2</v>
      </c>
      <c r="G34" s="3">
        <f>E34/5</f>
        <v>1.0665834959637141E-2</v>
      </c>
    </row>
    <row r="35" spans="4:7" x14ac:dyDescent="0.25">
      <c r="D35" t="s">
        <v>136</v>
      </c>
      <c r="E35" s="4">
        <f>E34/E33</f>
        <v>1.4915721534454287</v>
      </c>
      <c r="F35" s="4">
        <f t="shared" ref="F35" si="4">F34/F33</f>
        <v>1.4915721534454287</v>
      </c>
      <c r="G35" s="4">
        <f>G34/G33</f>
        <v>1.4915721534454287</v>
      </c>
    </row>
    <row r="37" spans="4:7" x14ac:dyDescent="0.25">
      <c r="D37" t="s">
        <v>149</v>
      </c>
      <c r="E37" s="5">
        <v>1034594.1504485467</v>
      </c>
      <c r="F37" s="5">
        <f>E37/2</f>
        <v>517297.07522427337</v>
      </c>
      <c r="G37" s="5">
        <f>E37/5</f>
        <v>206918.83008970934</v>
      </c>
    </row>
  </sheetData>
  <autoFilter ref="A1:G1" xr:uid="{CB461B06-3595-416E-823A-66E282C759E7}">
    <sortState xmlns:xlrd2="http://schemas.microsoft.com/office/spreadsheetml/2017/richdata2" ref="A2:G30">
      <sortCondition ref="E1"/>
    </sortState>
  </autoFilter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015f6a-a652-4f80-a36a-ef015ad1466b">
      <Terms xmlns="http://schemas.microsoft.com/office/infopath/2007/PartnerControls"/>
    </lcf76f155ced4ddcb4097134ff3c332f>
    <TaxCatchAll xmlns="b454331a-cf65-4410-9f5f-a83c8e5c4f1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C3C7ADC16FAE3449E0E1BB9EC34467C" ma:contentTypeVersion="12" ma:contentTypeDescription="Crear nuevo documento." ma:contentTypeScope="" ma:versionID="9abdce45a8430f0ebaa079ca41320d19">
  <xsd:schema xmlns:xsd="http://www.w3.org/2001/XMLSchema" xmlns:xs="http://www.w3.org/2001/XMLSchema" xmlns:p="http://schemas.microsoft.com/office/2006/metadata/properties" xmlns:ns2="99015f6a-a652-4f80-a36a-ef015ad1466b" xmlns:ns3="b454331a-cf65-4410-9f5f-a83c8e5c4f12" targetNamespace="http://schemas.microsoft.com/office/2006/metadata/properties" ma:root="true" ma:fieldsID="be0de8b76bf736b5275f118b6bdf173e" ns2:_="" ns3:_="">
    <xsd:import namespace="99015f6a-a652-4f80-a36a-ef015ad1466b"/>
    <xsd:import namespace="b454331a-cf65-4410-9f5f-a83c8e5c4f1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015f6a-a652-4f80-a36a-ef015ad146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Etiquetas de imagen" ma:readOnly="false" ma:fieldId="{5cf76f15-5ced-4ddc-b409-7134ff3c332f}" ma:taxonomyMulti="true" ma:sspId="a38e7027-190f-4f90-8839-9f8250567d8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4331a-cf65-4410-9f5f-a83c8e5c4f12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4370f6e3-d09b-4d81-86f7-b4e21f9e1aa6}" ma:internalName="TaxCatchAll" ma:showField="CatchAllData" ma:web="b454331a-cf65-4410-9f5f-a83c8e5c4f1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FC30880-7F1D-4CBD-9294-66451723CA2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ED71963-7853-4DC7-AA71-1AADA49F4296}">
  <ds:schemaRefs>
    <ds:schemaRef ds:uri="http://schemas.microsoft.com/office/2006/metadata/properties"/>
    <ds:schemaRef ds:uri="http://schemas.microsoft.com/office/infopath/2007/PartnerControls"/>
    <ds:schemaRef ds:uri="99015f6a-a652-4f80-a36a-ef015ad1466b"/>
    <ds:schemaRef ds:uri="b454331a-cf65-4410-9f5f-a83c8e5c4f12"/>
  </ds:schemaRefs>
</ds:datastoreItem>
</file>

<file path=customXml/itemProps3.xml><?xml version="1.0" encoding="utf-8"?>
<ds:datastoreItem xmlns:ds="http://schemas.openxmlformats.org/officeDocument/2006/customXml" ds:itemID="{CC80A527-9749-4290-B6AA-06C6AF0FF9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015f6a-a652-4f80-a36a-ef015ad1466b"/>
    <ds:schemaRef ds:uri="b454331a-cf65-4410-9f5f-a83c8e5c4f1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Cuadro 10</vt:lpstr>
      <vt:lpstr>Herramienta choques</vt:lpstr>
      <vt:lpstr>Hoja1</vt:lpstr>
      <vt:lpstr>Graph_demand</vt:lpstr>
      <vt:lpstr>Graph_supply</vt:lpstr>
      <vt:lpstr>Graph_supply&amp;demand</vt:lpstr>
      <vt:lpstr>Graph_demand_Tourism</vt:lpstr>
      <vt:lpstr>Graph_supply_Agrop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Camilo Gomez Rodriguez</dc:creator>
  <cp:lastModifiedBy>Jorge Alberto Guerra España</cp:lastModifiedBy>
  <dcterms:created xsi:type="dcterms:W3CDTF">2019-05-31T21:02:52Z</dcterms:created>
  <dcterms:modified xsi:type="dcterms:W3CDTF">2024-04-17T15:25:55Z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0x010100AC3C7ADC16FAE3449E0E1BB9EC34467C</vt:lpwstr>
  </property>
  <property fmtid="{D5CDD505-2E9C-101B-9397-08002B2CF9AE}" pid="3" name="MediaServiceImageTags">
    <vt:lpwstr/>
  </property>
</Properties>
</file>